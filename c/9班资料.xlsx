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<sst xmlns="http://schemas.openxmlformats.org/spreadsheetml/2006/main" count="987" uniqueCount="607">
  <si>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</si>
  <si>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</si>
  <si>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</si>
  <si>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</si>
  <si>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</si>
  <si>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</si>
  <si>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</si>
  <si>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</si>
  <si>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</si>
  <si>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</si>
  <si>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</si>
  <si>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</si>
  <si>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</si>
  <si>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</si>
  <si>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</si>
  <si>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</si>
  <si>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</si>
  <si>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</si>
  <si>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</si>
  <si>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</si>
  <si>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</si>
  <si>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</si>
  <si>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</si>
  <si>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</si>
  <si>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</si>
  <si>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</si>
  <si>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</si>
  <si>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</si>
  <si>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</si>
  <si>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</si>
  <si>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</si>
  <si>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</si>
  <si>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</si>
  <si>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</si>
  <si>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</si>
  <si>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</si>
  <si>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</si>
  <si>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</si>
  <si>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</si>
  <si>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</si>
  <si>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</si>
  <si>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</si>
  <si>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</si>
  <si>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</si>
  <si>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</si>
  <si>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</si>
  <si>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</si>
  <si>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</si>
  <si>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</si>
  <si>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</si>
  <si>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</si>
  <si>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</si>
  <si>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</si>
  <si>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</si>
  <si>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</si>
  <si>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跑操回班速度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</si>
  <si>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</si>
  <si>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</si>
  <si>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</si>
  <si>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</si>
  <si>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</si>
  <si>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</si>
  <si>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</si>
  <si>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</si>
  <si>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</si>
  <si>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</si>
  <si>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</si>
  <si>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</si>
  <si>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</si>
  <si>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</si>
  <si>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</si>
  <si>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</si>
  <si>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</si>
  <si>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</si>
  <si>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</si>
  <si>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</si>
  <si>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</si>
  <si>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</si>
  <si>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</si>
  <si>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</si>
  <si>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</si>
  <si>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</si>
  <si>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</si>
  <si>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</si>
  <si>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</si>
  <si>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</si>
  <si>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</si>
  <si>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</si>
  <si>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</si>
  <si>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</si>
  <si>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</si>
  <si>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</si>
  <si>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</si>
  <si>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</si>
  <si>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</si>
  <si>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</si>
  <si>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</si>
  <si>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</si>
  <si>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</si>
  <si>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</si>
  <si>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</si>
  <si>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</si>
  <si>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</si>
  <si>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</si>
  <si>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</si>
  <si>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</si>
  <si>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</si>
  <si>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</si>
  <si>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</si>
  <si>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</si>
  <si>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</si>
  <si>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</si>
  <si>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</si>
  <si>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</si>
  <si>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</si>
  <si>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</si>
  <si>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</si>
  <si>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</si>
  <si>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</si>
  <si>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微信窗口藏下面、C读“系”、我的天哪、周末作业（周记、好段、读书笔记）、以行践言、崇拜、父亲、问得好、不说了、给你们3秒钟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</si>
  <si>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</si>
  <si>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</si>
  <si>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</si>
  <si>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</si>
  <si>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</si>
  <si>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</si>
  <si>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</si>
  <si>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</si>
  <si>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</si>
  <si>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</si>
  <si>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</si>
  <si>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</si>
  <si>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</si>
  <si>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</si>
  <si>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</si>
  <si>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</si>
  <si>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</si>
  <si>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</si>
  <si>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</si>
  <si>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</si>
  <si>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</si>
  <si>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</si>
  <si>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</si>
  <si>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</si>
  <si>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</si>
  <si>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</si>
  <si>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</si>
  <si>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</si>
  <si>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</si>
  <si>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</si>
  <si>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</si>
  <si>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</si>
  <si>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</si>
  <si>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</si>
  <si>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</si>
  <si>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</si>
  <si>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</si>
  <si>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</si>
  <si>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</si>
  <si>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</si>
  <si>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</si>
  <si>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</si>
  <si>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</si>
  <si>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</si>
  <si>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</si>
  <si>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</si>
  <si>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</si>
  <si>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</si>
  <si>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</si>
  <si>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</si>
  <si>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</si>
  <si>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</si>
  <si>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</si>
  <si>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</si>
  <si>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</si>
  <si>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</si>
  <si>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</si>
  <si>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</si>
  <si>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</si>
  <si>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</si>
  <si>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</si>
  <si>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</si>
  <si>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</si>
  <si>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</si>
  <si>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</si>
  <si>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</si>
  <si>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</si>
  <si>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下课——无跑操铃——突然响起——啊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</si>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</sst>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  <protection locked="0"/>
    </xf>
    <xf numFmtId="0" fontId="1" fillId="13" borderId="1" xfId="0" applyFont="1" applyFill="1" applyBorder="1" applyAlignment="1" applyProtection="1">
      <alignment horizontal="center" vertical="center" wrapText="1"/>
      <protection locked="0"/>
    </xf>
    <xf numFmtId="0" fontId="25" fillId="7" borderId="1" xfId="0" applyFont="1" applyFill="1" applyBorder="1" applyAlignment="1" applyProtection="1">
      <alignment horizontal="center" vertical="center"/>
      <protection locked="0"/>
    </xf>
    <xf numFmtId="0" fontId="25" fillId="7" borderId="1" xfId="0" applyFont="1" applyFill="1" applyBorder="1" applyAlignment="1">
      <alignment horizontal="center" vertical="center"/>
    </xf>
    <xf numFmtId="176" fontId="25" fillId="7" borderId="1" xfId="0" applyNumberFormat="1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tabSelected="1" zoomScale="85" zoomScaleNormal="85" topLeftCell="A3" workbookViewId="0">
      <selection activeCell="E8" sqref="E8"/>
    </sheetView>
  </sheetViews>
  <sheetFormatPr defaultColWidth="8.72727272727273" defaultRowHeight="14" outlineLevelCol="7"/>
  <cols>
    <col min="1" max="1" width="7.59090909090909" style="71" customWidth="1"/>
    <col min="2" max="7" width="25.8727272727273" style="218" customWidth="1"/>
  </cols>
  <sheetData>
    <row r="1" s="217" customFormat="1" spans="1:7">
      <c r="A1" s="68" t="s">
        <v>0</v>
      </c>
      <c r="B1" s="219" t="s">
        <v>1</v>
      </c>
      <c r="C1" s="219" t="s">
        <v>2</v>
      </c>
      <c r="D1" s="219" t="s">
        <v>3</v>
      </c>
      <c r="E1" s="219" t="s">
        <v>4</v>
      </c>
      <c r="F1" s="219" t="s">
        <v>5</v>
      </c>
      <c r="G1" s="219" t="s">
        <v>6</v>
      </c>
    </row>
    <row r="2" spans="1:7">
      <c r="A2" s="72" t="s">
        <v>7</v>
      </c>
      <c r="B2" s="218" t="s">
        <v>8</v>
      </c>
      <c r="C2" s="218" t="s">
        <v>9</v>
      </c>
    </row>
    <row r="3" ht="39" spans="1:7">
      <c r="A3" s="72" t="s">
        <v>10</v>
      </c>
      <c r="C3" s="218" t="s">
        <v>11</v>
      </c>
      <c r="D3" s="218" t="s">
        <v>12</v>
      </c>
    </row>
    <row r="4" spans="1:7">
      <c r="A4" s="72" t="s">
        <v>13</v>
      </c>
    </row>
    <row r="5" spans="1:7">
      <c r="A5" s="72" t="s">
        <v>14</v>
      </c>
      <c r="C5" s="218" t="s">
        <v>15</v>
      </c>
      <c r="D5" s="218" t="s">
        <v>16</v>
      </c>
    </row>
    <row r="6" spans="1:7">
      <c r="A6" s="72" t="s">
        <v>17</v>
      </c>
      <c r="C6" s="218" t="s">
        <v>18</v>
      </c>
    </row>
    <row r="7" ht="221" spans="1:7">
      <c r="A7" s="72" t="s">
        <v>19</v>
      </c>
      <c r="B7" s="218" t="s">
        <v>20</v>
      </c>
      <c r="C7" s="218" t="s">
        <v>21</v>
      </c>
      <c r="D7" s="218" t="s">
        <v>22</v>
      </c>
    </row>
    <row r="8" spans="1:7">
      <c r="A8" s="72" t="s">
        <v>23</v>
      </c>
    </row>
    <row r="9" spans="1:7">
      <c r="A9" s="72" t="s">
        <v>24</v>
      </c>
    </row>
    <row r="10" spans="1:7">
      <c r="A10" s="72" t="s">
        <v>25</v>
      </c>
      <c r="B10" s="218" t="s">
        <v>26</v>
      </c>
    </row>
    <row r="11" spans="1:7">
      <c r="A11" s="72" t="s">
        <v>27</v>
      </c>
    </row>
    <row r="12" spans="1:7">
      <c r="A12" s="72" t="s">
        <v>28</v>
      </c>
    </row>
    <row r="13" ht="39" spans="1:7">
      <c r="A13" s="72" t="s">
        <v>29</v>
      </c>
      <c r="D13" s="218" t="s">
        <v>30</v>
      </c>
    </row>
    <row r="14" spans="1:7">
      <c r="A14" s="72" t="s">
        <v>31</v>
      </c>
      <c r="B14" s="218" t="s">
        <v>32</v>
      </c>
    </row>
    <row r="15" spans="1:7">
      <c r="A15" s="72" t="s">
        <v>33</v>
      </c>
    </row>
    <row r="16" spans="1:7">
      <c r="A16" s="72" t="s">
        <v>34</v>
      </c>
      <c r="C16" s="218" t="s">
        <v>35</v>
      </c>
    </row>
    <row r="17" ht="26" spans="1:4">
      <c r="A17" s="72" t="s">
        <v>36</v>
      </c>
      <c r="C17" s="218" t="s">
        <v>37</v>
      </c>
    </row>
    <row r="18" spans="1:4">
      <c r="A18" s="72" t="s">
        <v>38</v>
      </c>
      <c r="D18" s="218" t="s">
        <v>39</v>
      </c>
    </row>
    <row r="19" ht="26" spans="1:4">
      <c r="A19" s="72" t="s">
        <v>40</v>
      </c>
      <c r="D19" s="218" t="s">
        <v>41</v>
      </c>
    </row>
    <row r="20" ht="26" spans="1:4">
      <c r="A20" s="72" t="s">
        <v>42</v>
      </c>
      <c r="B20" s="218" t="s">
        <v>43</v>
      </c>
      <c r="C20" s="218" t="s">
        <v>44</v>
      </c>
    </row>
    <row r="21" ht="52" spans="1:4">
      <c r="A21" s="72" t="s">
        <v>45</v>
      </c>
      <c r="B21" s="218" t="s">
        <v>46</v>
      </c>
      <c r="C21" s="218" t="s">
        <v>47</v>
      </c>
      <c r="D21" s="218" t="s">
        <v>48</v>
      </c>
    </row>
    <row r="22" spans="1:4">
      <c r="A22" s="72" t="s">
        <v>49</v>
      </c>
    </row>
    <row r="23" ht="26" spans="1:4">
      <c r="A23" s="72" t="s">
        <v>50</v>
      </c>
      <c r="B23" s="218" t="s">
        <v>51</v>
      </c>
    </row>
    <row r="24" ht="52" spans="1:4">
      <c r="A24" s="72" t="s">
        <v>52</v>
      </c>
      <c r="B24" s="218" t="s">
        <v>53</v>
      </c>
      <c r="C24" s="218" t="s">
        <v>54</v>
      </c>
      <c r="D24" s="218" t="s">
        <v>55</v>
      </c>
    </row>
    <row r="25" spans="1:4">
      <c r="A25" s="72" t="s">
        <v>56</v>
      </c>
    </row>
    <row r="26" spans="1:4">
      <c r="A26" s="72" t="s">
        <v>57</v>
      </c>
    </row>
    <row r="27" spans="1:4">
      <c r="A27" s="72" t="s">
        <v>58</v>
      </c>
      <c r="B27" s="218" t="s">
        <v>59</v>
      </c>
      <c r="C27" s="218" t="s">
        <v>60</v>
      </c>
    </row>
    <row r="28" ht="91" spans="1:4">
      <c r="A28" s="72" t="s">
        <v>61</v>
      </c>
      <c r="B28" s="218" t="s">
        <v>62</v>
      </c>
      <c r="C28" s="218" t="s">
        <v>63</v>
      </c>
      <c r="D28" s="218" t="s">
        <v>64</v>
      </c>
    </row>
    <row r="29" spans="1:4">
      <c r="A29" s="72" t="s">
        <v>65</v>
      </c>
    </row>
    <row r="30" spans="1:4">
      <c r="A30" s="72" t="s">
        <v>66</v>
      </c>
      <c r="B30" s="218" t="s">
        <v>67</v>
      </c>
      <c r="C30" s="218" t="s">
        <v>68</v>
      </c>
    </row>
    <row r="31" spans="1:4">
      <c r="A31" s="72" t="s">
        <v>69</v>
      </c>
    </row>
    <row r="32" spans="1:4">
      <c r="A32" s="72" t="s">
        <v>70</v>
      </c>
    </row>
    <row r="33" spans="1:8">
      <c r="A33" s="72" t="s">
        <v>71</v>
      </c>
    </row>
    <row r="34" spans="1:8">
      <c r="A34" s="72" t="s">
        <v>72</v>
      </c>
    </row>
    <row r="35" spans="1:8">
      <c r="A35" s="72" t="s">
        <v>73</v>
      </c>
    </row>
    <row r="36" spans="1:8">
      <c r="A36" s="72" t="s">
        <v>74</v>
      </c>
      <c r="B36" s="218" t="s">
        <v>75</v>
      </c>
    </row>
    <row r="37" ht="26" spans="1:8">
      <c r="A37" s="72" t="s">
        <v>76</v>
      </c>
      <c r="C37" s="218" t="s">
        <v>77</v>
      </c>
      <c r="D37" s="218" t="s">
        <v>78</v>
      </c>
    </row>
    <row r="38" spans="1:8">
      <c r="A38" s="72" t="s">
        <v>79</v>
      </c>
      <c r="B38" s="218" t="s">
        <v>80</v>
      </c>
      <c r="C38" s="220"/>
      <c r="D38" s="220"/>
      <c r="E38" s="220"/>
      <c r="F38" s="220"/>
      <c r="G38" s="220"/>
    </row>
    <row r="39" ht="26" spans="1:8">
      <c r="A39" s="72" t="s">
        <v>81</v>
      </c>
      <c r="C39" s="218" t="s">
        <v>82</v>
      </c>
      <c r="D39" s="218" t="s">
        <v>83</v>
      </c>
    </row>
    <row r="40" spans="1:8">
      <c r="A40" s="72" t="s">
        <v>84</v>
      </c>
      <c r="B40" s="218" t="s">
        <v>85</v>
      </c>
      <c r="C40" s="218" t="s">
        <v>86</v>
      </c>
      <c r="D40" s="218" t="s">
        <v>87</v>
      </c>
    </row>
    <row r="41" ht="238" spans="1:8">
      <c r="A41" s="72" t="s">
        <v>88</v>
      </c>
      <c r="C41" s="218" t="s">
        <v>89</v>
      </c>
      <c r="D41" s="218" t="s">
        <v>90</v>
      </c>
      <c r="H41" s="221" t="s">
        <v>91</v>
      </c>
    </row>
    <row r="42" spans="1:8">
      <c r="A42" s="72" t="s">
        <v>92</v>
      </c>
    </row>
    <row r="43" spans="1:8">
      <c r="A43" s="72" t="s">
        <v>93</v>
      </c>
      <c r="B43" s="218" t="s">
        <v>94</v>
      </c>
    </row>
    <row r="44" ht="26" spans="1:8">
      <c r="A44" s="72" t="s">
        <v>95</v>
      </c>
      <c r="B44" s="218" t="s">
        <v>96</v>
      </c>
    </row>
    <row r="45" spans="1:8">
      <c r="A45" s="72" t="s">
        <v>97</v>
      </c>
      <c r="C45" s="218" t="s">
        <v>98</v>
      </c>
      <c r="D45" s="218" t="s">
        <v>99</v>
      </c>
    </row>
    <row r="46" spans="1:8">
      <c r="A46" s="72" t="s">
        <v>100</v>
      </c>
    </row>
    <row r="47" spans="1:8">
      <c r="A47" s="72" t="s">
        <v>101</v>
      </c>
      <c r="D47" s="218" t="s">
        <v>102</v>
      </c>
    </row>
    <row r="48" spans="1:8">
      <c r="A48" s="72" t="s">
        <v>103</v>
      </c>
      <c r="C48" s="218" t="s">
        <v>104</v>
      </c>
      <c r="D48" s="218" t="s">
        <v>105</v>
      </c>
    </row>
    <row r="49" spans="1:7">
      <c r="A49" s="72" t="s">
        <v>106</v>
      </c>
    </row>
    <row r="50" ht="78" spans="1:7">
      <c r="A50" s="72" t="s">
        <v>107</v>
      </c>
      <c r="C50" s="218" t="s">
        <v>108</v>
      </c>
    </row>
    <row r="51" spans="1:7">
      <c r="A51" s="72" t="s">
        <v>109</v>
      </c>
    </row>
    <row r="52" ht="26" spans="1:7">
      <c r="A52" s="72" t="s">
        <v>110</v>
      </c>
      <c r="B52" s="218" t="s">
        <v>111</v>
      </c>
      <c r="C52" s="218" t="s">
        <v>112</v>
      </c>
    </row>
    <row r="53" ht="26" spans="1:7">
      <c r="A53" s="71" t="s">
        <v>113</v>
      </c>
      <c r="B53" s="218" t="s">
        <v>114</v>
      </c>
      <c r="D53" s="220"/>
      <c r="E53" s="220"/>
      <c r="F53" s="220"/>
      <c r="G53" s="220"/>
    </row>
    <row r="54" spans="1:7">
      <c r="A54" s="71" t="s">
        <v>115</v>
      </c>
      <c r="B54" s="218" t="s">
        <v>116</v>
      </c>
      <c r="C54" s="218" t="s">
        <v>117</v>
      </c>
      <c r="D54" s="220"/>
      <c r="E54" s="220"/>
      <c r="F54" s="220"/>
      <c r="G54" s="220"/>
    </row>
    <row r="55" ht="65" spans="1:7">
      <c r="A55" s="71" t="s">
        <v>118</v>
      </c>
      <c r="B55" s="220"/>
      <c r="C55" s="220"/>
      <c r="D55" s="218" t="s">
        <v>119</v>
      </c>
    </row>
    <row r="56" ht="65" spans="1:7">
      <c r="A56" s="71" t="s">
        <v>120</v>
      </c>
      <c r="B56" s="78" t="s">
        <v>121</v>
      </c>
      <c r="C56" s="78"/>
      <c r="D56" s="218" t="s">
        <v>122</v>
      </c>
    </row>
    <row r="57" ht="117" spans="1:7">
      <c r="A57" s="71" t="s">
        <v>123</v>
      </c>
      <c r="B57" s="78" t="s">
        <v>124</v>
      </c>
      <c r="C57" s="78" t="s">
        <v>125</v>
      </c>
      <c r="D57" s="218" t="s">
        <v>126</v>
      </c>
    </row>
    <row r="58" spans="1:7">
      <c r="A58" s="71" t="s">
        <v>127</v>
      </c>
      <c r="B58" s="218" t="s">
        <v>128</v>
      </c>
      <c r="C58" s="220"/>
      <c r="D58" s="220"/>
      <c r="E58" s="220"/>
      <c r="F58" s="220"/>
      <c r="G58" s="220"/>
    </row>
    <row r="59" spans="1:7">
      <c r="A59" s="71" t="s">
        <v>129</v>
      </c>
      <c r="B59" s="220"/>
      <c r="C59" s="218" t="s">
        <v>130</v>
      </c>
      <c r="D59" s="220"/>
      <c r="E59" s="220"/>
      <c r="F59" s="220"/>
      <c r="G59" s="220"/>
    </row>
    <row r="60" ht="52" spans="1:7">
      <c r="A60" s="71" t="s">
        <v>131</v>
      </c>
      <c r="B60" s="220" t="s">
        <v>132</v>
      </c>
      <c r="C60" s="220"/>
      <c r="D60" s="218" t="s">
        <v>133</v>
      </c>
    </row>
    <row r="61" spans="1:7">
      <c r="A61" s="71" t="s">
        <v>134</v>
      </c>
      <c r="B61" s="78" t="s">
        <v>135</v>
      </c>
      <c r="C61" s="78"/>
      <c r="D61" s="220"/>
      <c r="E61" s="220"/>
      <c r="F61" s="220"/>
      <c r="G61" s="220"/>
    </row>
    <row r="62" ht="39" spans="1:7">
      <c r="A62" s="71" t="s">
        <v>136</v>
      </c>
      <c r="B62" s="220"/>
      <c r="C62" s="220"/>
      <c r="D62" s="218" t="s">
        <v>137</v>
      </c>
    </row>
    <row r="63" ht="26" spans="1:7">
      <c r="A63" s="71" t="s">
        <v>138</v>
      </c>
      <c r="B63" s="78" t="s">
        <v>139</v>
      </c>
      <c r="C63" s="78" t="s">
        <v>140</v>
      </c>
      <c r="D63" s="220"/>
      <c r="E63" s="220"/>
      <c r="F63" s="220"/>
      <c r="G63" s="220"/>
    </row>
    <row r="64" ht="26" spans="1:7">
      <c r="A64" s="71" t="s">
        <v>141</v>
      </c>
      <c r="B64" s="220"/>
      <c r="C64" s="220"/>
      <c r="D64" s="218" t="s">
        <v>142</v>
      </c>
    </row>
    <row r="65" ht="26" spans="1:7">
      <c r="A65" s="71" t="s">
        <v>143</v>
      </c>
      <c r="B65" s="222" t="s">
        <v>144</v>
      </c>
      <c r="C65" s="220"/>
      <c r="D65" s="220"/>
      <c r="E65" s="220"/>
      <c r="F65" s="220"/>
      <c r="G65" s="220"/>
    </row>
    <row r="66" spans="1:7">
      <c r="A66" s="71" t="s">
        <v>145</v>
      </c>
      <c r="B66" s="220"/>
      <c r="C66" s="218" t="s">
        <v>146</v>
      </c>
      <c r="D66" s="220"/>
      <c r="E66" s="220"/>
      <c r="F66" s="220"/>
      <c r="G66" s="220"/>
    </row>
    <row r="67" spans="1:7">
      <c r="A67" s="71" t="s">
        <v>147</v>
      </c>
      <c r="B67" s="220"/>
      <c r="C67" s="220"/>
    </row>
    <row r="68" ht="65" spans="1:7">
      <c r="A68" s="71" t="s">
        <v>148</v>
      </c>
      <c r="B68" s="220"/>
      <c r="C68" s="220"/>
      <c r="D68" s="218" t="s">
        <v>149</v>
      </c>
    </row>
    <row r="69" spans="1:7">
      <c r="A69" s="71" t="s">
        <v>150</v>
      </c>
      <c r="B69" s="78" t="s">
        <v>151</v>
      </c>
      <c r="C69" s="78"/>
    </row>
    <row r="70" ht="26" spans="1:7">
      <c r="A70" s="71" t="s">
        <v>152</v>
      </c>
      <c r="B70" s="78" t="s">
        <v>153</v>
      </c>
      <c r="C70" s="78"/>
      <c r="D70" s="220"/>
      <c r="E70" s="220"/>
      <c r="F70" s="220"/>
      <c r="G70" s="220"/>
    </row>
    <row r="71" spans="1:7">
      <c r="A71" s="71" t="s">
        <v>154</v>
      </c>
      <c r="B71" s="220"/>
      <c r="C71" s="220"/>
    </row>
    <row r="72" spans="1:7">
      <c r="A72" s="71" t="s">
        <v>155</v>
      </c>
      <c r="B72" s="218" t="s">
        <v>156</v>
      </c>
      <c r="C72" s="218" t="s">
        <v>157</v>
      </c>
      <c r="D72" s="220"/>
      <c r="E72" s="220"/>
      <c r="F72" s="220"/>
      <c r="G72" s="220"/>
    </row>
    <row r="73" spans="1:7">
      <c r="A73" s="71" t="s">
        <v>158</v>
      </c>
      <c r="B73" s="220"/>
      <c r="C73" s="218" t="s">
        <v>159</v>
      </c>
      <c r="D73" s="220"/>
      <c r="E73" s="220"/>
      <c r="F73" s="220"/>
      <c r="G73" s="220"/>
    </row>
    <row r="74" spans="1:7">
      <c r="A74" s="71" t="s">
        <v>160</v>
      </c>
    </row>
    <row r="75" spans="1:7">
      <c r="A75" s="71" t="s">
        <v>161</v>
      </c>
      <c r="D75" s="220"/>
      <c r="E75" s="220"/>
      <c r="F75" s="220"/>
      <c r="G75" s="220"/>
    </row>
    <row r="76" spans="1:7">
      <c r="A76" s="71" t="s">
        <v>162</v>
      </c>
      <c r="B76" s="220"/>
      <c r="C76" s="220"/>
      <c r="D76" s="218" t="s">
        <v>163</v>
      </c>
    </row>
    <row r="77" spans="1:7">
      <c r="A77" s="71" t="s">
        <v>164</v>
      </c>
      <c r="B77" s="78"/>
      <c r="C77" s="78"/>
    </row>
    <row r="78" ht="26" spans="1:7">
      <c r="A78" s="223" t="s">
        <v>165</v>
      </c>
      <c r="B78" s="218" t="s">
        <v>166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6" sqref="B16"/>
    </sheetView>
  </sheetViews>
  <sheetFormatPr defaultColWidth="8.72727272727273" defaultRowHeight="14" outlineLevelCol="6"/>
  <cols>
    <col min="1" max="1" width="6.64545454545455" style="212" customWidth="1"/>
    <col min="2" max="2" width="32.6181818181818" style="66" customWidth="1"/>
    <col min="3" max="7" width="16.4909090909091" style="66" customWidth="1"/>
    <col min="8" max="16384" width="8.72727272727273" style="213"/>
  </cols>
  <sheetData>
    <row r="1" spans="1:7">
      <c r="A1" s="214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1" customFormat="1" ht="39" spans="1:7">
      <c r="A2" s="215" t="s">
        <v>167</v>
      </c>
      <c r="B2" s="78"/>
      <c r="C2" s="78"/>
      <c r="D2" s="78" t="s">
        <v>168</v>
      </c>
      <c r="E2" s="78"/>
      <c r="F2" s="78"/>
      <c r="G2" s="78"/>
    </row>
    <row r="3" spans="1:7">
      <c r="A3" s="216" t="s">
        <v>169</v>
      </c>
      <c r="C3" s="66" t="s">
        <v>170</v>
      </c>
    </row>
    <row r="4" spans="1:7">
      <c r="A4" s="216" t="s">
        <v>171</v>
      </c>
      <c r="B4" s="66" t="s">
        <v>172</v>
      </c>
      <c r="D4" s="66" t="s">
        <v>173</v>
      </c>
    </row>
    <row r="5" spans="1:7">
      <c r="A5" s="216" t="s">
        <v>174</v>
      </c>
      <c r="C5" s="66" t="s">
        <v>175</v>
      </c>
      <c r="D5" s="66" t="s">
        <v>176</v>
      </c>
    </row>
    <row r="6" spans="1:7">
      <c r="A6" s="216" t="s">
        <v>177</v>
      </c>
      <c r="B6" s="66" t="s">
        <v>178</v>
      </c>
      <c r="D6" s="66" t="s">
        <v>179</v>
      </c>
    </row>
    <row r="7" spans="1:7">
      <c r="A7" s="216" t="s">
        <v>180</v>
      </c>
      <c r="B7" s="66" t="s">
        <v>181</v>
      </c>
    </row>
    <row r="8" spans="1:7">
      <c r="A8" s="216"/>
      <c r="D8" s="66" t="s">
        <v>182</v>
      </c>
    </row>
    <row r="9" spans="1:7">
      <c r="A9" s="216"/>
    </row>
    <row r="10" spans="1:7">
      <c r="A10" s="216"/>
      <c r="B10" s="66" t="s">
        <v>183</v>
      </c>
    </row>
    <row r="11" spans="1:7">
      <c r="A11" s="216"/>
    </row>
    <row r="12" spans="1:7">
      <c r="A12" s="216"/>
      <c r="B12" s="66" t="s">
        <v>184</v>
      </c>
    </row>
    <row r="13" spans="1:7">
      <c r="A13" s="216"/>
    </row>
    <row r="14" spans="1:7">
      <c r="A14" s="216"/>
      <c r="B14" s="66" t="s">
        <v>185</v>
      </c>
    </row>
    <row r="15" spans="1:7">
      <c r="A15" s="216"/>
      <c r="B15" s="66" t="s">
        <v>186</v>
      </c>
    </row>
    <row r="16" spans="1:7">
      <c r="A16" s="216"/>
      <c r="B16" s="66" t="s">
        <v>187</v>
      </c>
    </row>
    <row r="17" spans="1:1">
      <c r="A17" s="216"/>
    </row>
    <row r="18" spans="1:1">
      <c r="A18" s="216"/>
    </row>
    <row r="19" spans="1:1">
      <c r="A19" s="216"/>
    </row>
    <row r="20" spans="1:1">
      <c r="A20" s="216"/>
    </row>
    <row r="21" spans="1:1">
      <c r="A21" s="216"/>
    </row>
    <row r="22" spans="1:1">
      <c r="A22" s="216"/>
    </row>
    <row r="23" spans="1:1">
      <c r="A23" s="216"/>
    </row>
    <row r="24" spans="1:1">
      <c r="A24" s="216"/>
    </row>
    <row r="25" spans="1:1">
      <c r="A25" s="216"/>
    </row>
    <row r="26" spans="1:1">
      <c r="A26" s="216"/>
    </row>
    <row r="27" spans="1:1">
      <c r="A27" s="216"/>
    </row>
    <row r="28" spans="1:1">
      <c r="A28" s="216"/>
    </row>
    <row r="29" spans="1:1">
      <c r="A29" s="216"/>
    </row>
    <row r="30" spans="1:1">
      <c r="A30" s="216"/>
    </row>
    <row r="31" spans="1:1">
      <c r="A31" s="216"/>
    </row>
    <row r="32" spans="1:1">
      <c r="A32" s="216"/>
    </row>
    <row r="33" spans="1:7">
      <c r="A33" s="216"/>
    </row>
    <row r="34" spans="1:7">
      <c r="A34" s="216"/>
    </row>
    <row r="35" spans="1:7">
      <c r="A35" s="216"/>
    </row>
    <row r="36" spans="1:7">
      <c r="A36" s="216"/>
    </row>
    <row r="37" spans="1:7">
      <c r="A37" s="216"/>
    </row>
    <row r="38" spans="1:7">
      <c r="A38" s="216"/>
      <c r="B38" s="78"/>
      <c r="C38" s="78"/>
      <c r="D38" s="78"/>
      <c r="E38" s="78"/>
      <c r="F38" s="78"/>
      <c r="G38" s="78"/>
    </row>
    <row r="39" spans="1:7">
      <c r="A39" s="216"/>
      <c r="B39" s="78"/>
      <c r="C39" s="78"/>
      <c r="D39" s="78"/>
      <c r="E39" s="78"/>
      <c r="F39" s="78"/>
      <c r="G39" s="78"/>
    </row>
    <row r="40" spans="1:7">
      <c r="A40" s="216"/>
    </row>
    <row r="41" spans="1:7">
      <c r="A41" s="216"/>
    </row>
    <row r="42" spans="1:7">
      <c r="A42" s="216"/>
    </row>
    <row r="43" spans="1:7">
      <c r="A43" s="216"/>
    </row>
    <row r="44" spans="1:7">
      <c r="A44" s="216"/>
    </row>
    <row r="45" spans="1:7">
      <c r="A45" s="216"/>
    </row>
    <row r="46" spans="1:7">
      <c r="A46" s="216"/>
    </row>
    <row r="47" spans="1:7">
      <c r="A47" s="216"/>
    </row>
    <row r="48" spans="1:7">
      <c r="A48" s="216"/>
    </row>
    <row r="49" spans="1:1">
      <c r="A49" s="216"/>
    </row>
    <row r="50" spans="1:1">
      <c r="A50" s="216"/>
    </row>
    <row r="51" spans="1:1">
      <c r="A51" s="216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36"/>
  <sheetViews>
    <sheetView zoomScale="115" zoomScaleNormal="115" workbookViewId="0">
      <pane ySplit="1" topLeftCell="A19" activePane="bottomLeft" state="frozen"/>
      <selection/>
      <selection pane="bottomLeft" activeCell="C31" sqref="C31"/>
    </sheetView>
  </sheetViews>
  <sheetFormatPr defaultColWidth="8.72727272727273" defaultRowHeight="14" outlineLevelCol="2"/>
  <cols>
    <col min="1" max="1" width="24" style="200" customWidth="1"/>
    <col min="2" max="2" width="10.6363636363636" style="200" customWidth="1"/>
    <col min="3" max="3" width="91.3636363636364" style="200" customWidth="1"/>
    <col min="4" max="16384" width="8.72727272727273" style="93"/>
  </cols>
  <sheetData>
    <row r="1" s="199" customFormat="1" ht="15" spans="1:3">
      <c r="A1" s="201" t="s">
        <v>188</v>
      </c>
      <c r="B1" s="201" t="s">
        <v>189</v>
      </c>
      <c r="C1" s="201" t="s">
        <v>190</v>
      </c>
    </row>
    <row r="2" spans="1:3">
      <c r="A2" s="202" t="s">
        <v>191</v>
      </c>
      <c r="B2" s="202" t="s">
        <v>192</v>
      </c>
      <c r="C2" s="202" t="s">
        <v>193</v>
      </c>
    </row>
    <row r="3" spans="1:3">
      <c r="A3" s="202" t="s">
        <v>194</v>
      </c>
      <c r="B3" s="202" t="s">
        <v>195</v>
      </c>
      <c r="C3" s="202" t="s">
        <v>196</v>
      </c>
    </row>
    <row r="4" spans="1:3">
      <c r="A4" s="202" t="s">
        <v>197</v>
      </c>
      <c r="B4" s="202" t="s">
        <v>195</v>
      </c>
      <c r="C4" s="202" t="s">
        <v>198</v>
      </c>
    </row>
    <row r="5" ht="56" spans="1:3">
      <c r="A5" s="203" t="s">
        <v>199</v>
      </c>
      <c r="B5" s="202" t="s">
        <v>200</v>
      </c>
      <c r="C5" s="202" t="s">
        <v>201</v>
      </c>
    </row>
    <row r="6" ht="28" spans="1:3">
      <c r="A6" s="204"/>
      <c r="B6" s="202" t="s">
        <v>202</v>
      </c>
      <c r="C6" s="202" t="s">
        <v>203</v>
      </c>
    </row>
    <row r="7" spans="1:3">
      <c r="A7" s="202" t="s">
        <v>204</v>
      </c>
      <c r="B7" s="202" t="s">
        <v>205</v>
      </c>
      <c r="C7" s="202" t="s">
        <v>206</v>
      </c>
    </row>
    <row r="8" spans="1:3">
      <c r="A8" s="205" t="s">
        <v>88</v>
      </c>
      <c r="B8" s="202" t="s">
        <v>207</v>
      </c>
      <c r="C8" s="202" t="s">
        <v>208</v>
      </c>
    </row>
    <row r="9" spans="1:3">
      <c r="A9" s="206"/>
      <c r="B9" s="202" t="s">
        <v>209</v>
      </c>
      <c r="C9" s="202" t="s">
        <v>210</v>
      </c>
    </row>
    <row r="10" spans="1:3">
      <c r="A10" s="206"/>
      <c r="B10" s="202" t="s">
        <v>211</v>
      </c>
      <c r="C10" s="202" t="s">
        <v>212</v>
      </c>
    </row>
    <row r="11" spans="1:3">
      <c r="A11" s="206"/>
      <c r="B11" s="202" t="s">
        <v>211</v>
      </c>
      <c r="C11" s="202" t="s">
        <v>213</v>
      </c>
    </row>
    <row r="12" spans="1:3">
      <c r="A12" s="206"/>
      <c r="B12" s="202" t="s">
        <v>214</v>
      </c>
      <c r="C12" s="202" t="s">
        <v>215</v>
      </c>
    </row>
    <row r="13" ht="140" spans="1:3">
      <c r="A13" s="206"/>
      <c r="B13" s="202" t="s">
        <v>216</v>
      </c>
      <c r="C13" s="202" t="s">
        <v>217</v>
      </c>
    </row>
    <row r="14" spans="1:3">
      <c r="A14" s="206"/>
      <c r="B14" s="202"/>
      <c r="C14" s="202"/>
    </row>
    <row r="15" spans="1:3">
      <c r="A15" s="206"/>
      <c r="B15" s="202"/>
      <c r="C15" s="202"/>
    </row>
    <row r="16" spans="1:3">
      <c r="A16" s="206"/>
      <c r="B16" s="202"/>
      <c r="C16" s="202"/>
    </row>
    <row r="17" spans="1:3">
      <c r="A17" s="207"/>
      <c r="B17" s="202"/>
      <c r="C17" s="202"/>
    </row>
    <row r="18" spans="1:3">
      <c r="A18" s="202" t="s">
        <v>218</v>
      </c>
      <c r="B18" s="202" t="s">
        <v>219</v>
      </c>
      <c r="C18" s="202" t="s">
        <v>220</v>
      </c>
    </row>
    <row r="19" spans="1:3">
      <c r="A19" s="202" t="s">
        <v>221</v>
      </c>
      <c r="B19" s="202" t="s">
        <v>222</v>
      </c>
      <c r="C19" s="202" t="s">
        <v>223</v>
      </c>
    </row>
    <row r="20" spans="1:3">
      <c r="A20" s="202" t="s">
        <v>224</v>
      </c>
      <c r="B20" s="202" t="s">
        <v>225</v>
      </c>
      <c r="C20" s="208">
        <v>0.440972222222222</v>
      </c>
    </row>
    <row r="21" spans="1:3">
      <c r="A21" s="203" t="s">
        <v>61</v>
      </c>
      <c r="B21" s="202" t="s">
        <v>226</v>
      </c>
      <c r="C21" s="202" t="s">
        <v>227</v>
      </c>
    </row>
    <row r="22" spans="1:3">
      <c r="A22" s="204"/>
      <c r="B22" s="202" t="s">
        <v>228</v>
      </c>
      <c r="C22" s="202" t="s">
        <v>229</v>
      </c>
    </row>
    <row r="23" spans="1:3">
      <c r="A23" s="203" t="s">
        <v>230</v>
      </c>
      <c r="B23" s="202" t="s">
        <v>228</v>
      </c>
      <c r="C23" s="202" t="s">
        <v>231</v>
      </c>
    </row>
    <row r="24" spans="1:3">
      <c r="A24" s="204"/>
      <c r="B24" s="202" t="s">
        <v>232</v>
      </c>
      <c r="C24" s="202" t="s">
        <v>233</v>
      </c>
    </row>
    <row r="25" ht="28" spans="1:3">
      <c r="A25" s="205" t="s">
        <v>234</v>
      </c>
      <c r="B25" s="202" t="s">
        <v>235</v>
      </c>
      <c r="C25" s="202" t="s">
        <v>236</v>
      </c>
    </row>
    <row r="26" spans="1:3">
      <c r="A26" s="206"/>
      <c r="B26" s="202" t="s">
        <v>216</v>
      </c>
      <c r="C26" s="202" t="s">
        <v>237</v>
      </c>
    </row>
    <row r="27" spans="1:3">
      <c r="A27" s="203" t="s">
        <v>238</v>
      </c>
      <c r="B27" s="202" t="s">
        <v>239</v>
      </c>
      <c r="C27" s="202" t="s">
        <v>240</v>
      </c>
    </row>
    <row r="28" spans="1:3">
      <c r="A28" s="204"/>
      <c r="B28" s="202" t="s">
        <v>211</v>
      </c>
      <c r="C28" s="202" t="s">
        <v>241</v>
      </c>
    </row>
    <row r="29" ht="28" spans="1:3">
      <c r="A29" s="205" t="s">
        <v>45</v>
      </c>
      <c r="B29" s="202" t="s">
        <v>211</v>
      </c>
      <c r="C29" s="202" t="s">
        <v>242</v>
      </c>
    </row>
    <row r="30" spans="1:3">
      <c r="A30" s="207"/>
      <c r="B30" s="200" t="s">
        <v>243</v>
      </c>
      <c r="C30" s="200" t="s">
        <v>244</v>
      </c>
    </row>
    <row r="31" ht="98" spans="1:3">
      <c r="A31" s="209" t="s">
        <v>245</v>
      </c>
      <c r="B31" s="200" t="s">
        <v>211</v>
      </c>
      <c r="C31" s="200" t="s">
        <v>246</v>
      </c>
    </row>
    <row r="32" ht="84" spans="1:3">
      <c r="A32" s="210"/>
      <c r="B32" s="200" t="s">
        <v>247</v>
      </c>
      <c r="C32" s="200" t="s">
        <v>248</v>
      </c>
    </row>
    <row r="33" spans="1:3">
      <c r="A33" s="200" t="s">
        <v>36</v>
      </c>
      <c r="B33" s="200" t="s">
        <v>249</v>
      </c>
      <c r="C33" s="200" t="s">
        <v>250</v>
      </c>
    </row>
    <row r="34" ht="28" spans="1:3">
      <c r="A34" s="200" t="s">
        <v>251</v>
      </c>
      <c r="B34" s="200" t="s">
        <v>243</v>
      </c>
      <c r="C34" s="200" t="s">
        <v>252</v>
      </c>
    </row>
    <row r="35" spans="1:3">
      <c r="A35" s="209" t="s">
        <v>253</v>
      </c>
      <c r="B35" s="200" t="s">
        <v>216</v>
      </c>
      <c r="C35" s="200" t="s">
        <v>254</v>
      </c>
    </row>
    <row r="36" spans="1:3">
      <c r="A36" s="210"/>
      <c r="B36" s="200" t="s">
        <v>247</v>
      </c>
      <c r="C36" s="200" t="s">
        <v>255</v>
      </c>
    </row>
  </sheetData>
  <mergeCells count="9">
    <mergeCell ref="A5:A6"/>
    <mergeCell ref="A8:A17"/>
    <mergeCell ref="A21:A22"/>
    <mergeCell ref="A23:A24"/>
    <mergeCell ref="A25:A26"/>
    <mergeCell ref="A27:A28"/>
    <mergeCell ref="A29:A30"/>
    <mergeCell ref="A31:A32"/>
    <mergeCell ref="A35:A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88"/>
    <col min="6" max="6" width="9.52727272727273" style="4" customWidth="1"/>
    <col min="7" max="7" width="17.1909090909091" style="4" customWidth="1"/>
    <col min="8" max="16384" width="8.72727272727273" style="4"/>
  </cols>
  <sheetData>
    <row r="1" s="186" customFormat="1" ht="15" spans="1:7">
      <c r="A1" s="189" t="s">
        <v>256</v>
      </c>
      <c r="B1" s="190"/>
      <c r="C1" s="190"/>
      <c r="D1" s="191"/>
      <c r="E1" s="192"/>
      <c r="F1" s="186" t="s">
        <v>257</v>
      </c>
    </row>
    <row r="2" s="187" customFormat="1" spans="1:7">
      <c r="A2" s="193" t="s">
        <v>189</v>
      </c>
      <c r="B2" s="194"/>
      <c r="C2" s="187" t="s">
        <v>258</v>
      </c>
      <c r="D2" s="187" t="s">
        <v>259</v>
      </c>
      <c r="E2" s="141"/>
      <c r="F2" s="187" t="s">
        <v>189</v>
      </c>
      <c r="G2" s="187" t="s">
        <v>260</v>
      </c>
    </row>
    <row r="3" spans="1:7">
      <c r="A3" s="195">
        <v>2025.1</v>
      </c>
      <c r="B3" s="119">
        <v>11</v>
      </c>
      <c r="C3" s="119">
        <v>113</v>
      </c>
      <c r="D3" s="119"/>
      <c r="F3" s="119" t="s">
        <v>261</v>
      </c>
      <c r="G3" s="119" t="s">
        <v>262</v>
      </c>
    </row>
    <row r="4" spans="1:7">
      <c r="A4" s="196"/>
      <c r="B4" s="119">
        <v>15</v>
      </c>
      <c r="C4" s="119">
        <v>163</v>
      </c>
      <c r="D4" s="119"/>
      <c r="F4" s="119" t="s">
        <v>263</v>
      </c>
      <c r="G4" s="119" t="s">
        <v>264</v>
      </c>
    </row>
    <row r="5" spans="1:7">
      <c r="A5" s="196"/>
      <c r="B5" s="119">
        <v>17</v>
      </c>
      <c r="C5" s="119">
        <v>158</v>
      </c>
      <c r="D5" s="119"/>
      <c r="F5" s="119"/>
      <c r="G5" s="119"/>
    </row>
    <row r="6" spans="1:7">
      <c r="A6" s="196"/>
      <c r="B6" s="119">
        <v>22</v>
      </c>
      <c r="C6" s="119">
        <v>70</v>
      </c>
      <c r="D6" s="119"/>
      <c r="F6" s="119"/>
      <c r="G6" s="119"/>
    </row>
    <row r="7" spans="1:7">
      <c r="A7" s="196"/>
      <c r="B7" s="119">
        <v>24</v>
      </c>
      <c r="C7" s="119">
        <v>180</v>
      </c>
      <c r="D7" s="119"/>
      <c r="F7" s="119"/>
      <c r="G7" s="119"/>
    </row>
    <row r="8" spans="1:7">
      <c r="A8" s="196"/>
      <c r="B8" s="119">
        <v>29</v>
      </c>
      <c r="C8" s="119">
        <v>135</v>
      </c>
      <c r="D8" s="119"/>
      <c r="F8" s="119"/>
      <c r="G8" s="119"/>
    </row>
    <row r="9" spans="1:7">
      <c r="A9" s="197"/>
      <c r="B9" s="119">
        <v>31</v>
      </c>
      <c r="C9" s="119">
        <v>89</v>
      </c>
      <c r="D9" s="119"/>
      <c r="F9" s="119"/>
      <c r="G9" s="119"/>
    </row>
    <row r="10" spans="1:7">
      <c r="A10" s="198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196"/>
      <c r="B11" s="119">
        <v>7</v>
      </c>
      <c r="C11" s="119">
        <v>119</v>
      </c>
      <c r="D11" s="119"/>
      <c r="F11" s="119"/>
      <c r="G11" s="119"/>
    </row>
    <row r="12" spans="1:7">
      <c r="A12" s="197"/>
      <c r="B12" s="119">
        <v>14</v>
      </c>
      <c r="C12" s="119">
        <v>63</v>
      </c>
      <c r="D12" s="119"/>
      <c r="F12" s="119"/>
      <c r="G12" s="119"/>
    </row>
    <row r="13" spans="1:7">
      <c r="A13" s="198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197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M53"/>
  <sheetViews>
    <sheetView zoomScale="115" zoomScaleNormal="115" workbookViewId="0">
      <pane xSplit="1" ySplit="2" topLeftCell="B24" activePane="bottomRight" state="frozen"/>
      <selection/>
      <selection pane="topRight"/>
      <selection pane="bottomLeft"/>
      <selection pane="bottomRight" activeCell="M46" sqref="M46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174" t="s">
        <v>265</v>
      </c>
      <c r="B1" s="175">
        <v>45992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5">
        <v>46023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43" t="s">
        <v>266</v>
      </c>
      <c r="AH1" s="146"/>
      <c r="AI1" s="146"/>
      <c r="AJ1" s="146"/>
      <c r="AK1" s="146"/>
      <c r="AL1" s="146"/>
      <c r="AM1" s="144"/>
    </row>
    <row r="2" s="173" customFormat="1" ht="28" spans="1:39">
      <c r="A2" s="174"/>
      <c r="B2" s="177">
        <v>5</v>
      </c>
      <c r="C2" s="177">
        <v>6</v>
      </c>
      <c r="D2" s="177">
        <v>9</v>
      </c>
      <c r="E2" s="177">
        <v>10</v>
      </c>
      <c r="F2" s="177">
        <v>11</v>
      </c>
      <c r="G2" s="177">
        <v>12</v>
      </c>
      <c r="H2" s="177">
        <v>15</v>
      </c>
      <c r="I2" s="177">
        <v>16</v>
      </c>
      <c r="J2" s="177">
        <v>17</v>
      </c>
      <c r="K2" s="177">
        <v>18</v>
      </c>
      <c r="L2" s="177">
        <v>19</v>
      </c>
      <c r="M2" s="177">
        <v>22</v>
      </c>
      <c r="N2" s="177">
        <v>23</v>
      </c>
      <c r="O2" s="177">
        <v>25</v>
      </c>
      <c r="P2" s="177">
        <v>26</v>
      </c>
      <c r="Q2" s="177">
        <v>29</v>
      </c>
      <c r="R2" s="177">
        <v>30</v>
      </c>
      <c r="S2" s="177">
        <v>31</v>
      </c>
      <c r="T2" s="177">
        <v>4</v>
      </c>
      <c r="U2" s="177">
        <v>5</v>
      </c>
      <c r="V2" s="177">
        <v>6</v>
      </c>
      <c r="W2" s="177">
        <v>7</v>
      </c>
      <c r="X2" s="177">
        <v>8</v>
      </c>
      <c r="Y2" s="177">
        <v>11</v>
      </c>
      <c r="Z2" s="177">
        <v>12</v>
      </c>
      <c r="AA2" s="177">
        <v>13</v>
      </c>
      <c r="AB2" s="177">
        <v>14</v>
      </c>
      <c r="AC2" s="177">
        <v>15</v>
      </c>
      <c r="AD2" s="177">
        <v>16</v>
      </c>
      <c r="AE2" s="177">
        <v>19</v>
      </c>
      <c r="AF2" s="177">
        <v>20</v>
      </c>
      <c r="AG2" s="178" t="s">
        <v>267</v>
      </c>
      <c r="AH2" s="178" t="s">
        <v>268</v>
      </c>
      <c r="AI2" s="178" t="s">
        <v>269</v>
      </c>
      <c r="AJ2" s="178" t="s">
        <v>270</v>
      </c>
      <c r="AK2" s="179" t="s">
        <v>271</v>
      </c>
      <c r="AL2" s="179" t="s">
        <v>272</v>
      </c>
      <c r="AM2" s="179" t="s">
        <v>273</v>
      </c>
    </row>
    <row r="3" customHeight="1" spans="1:39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80">
        <f>SUM(B3:AF3)</f>
        <v>1</v>
      </c>
      <c r="AH3" s="181" cm="1">
        <f t="array" ref="AH3">SUMPRODUCT(--(B3:AF3=INT(B3:AF3)),--(B3:AF3&gt;0))</f>
        <v>1</v>
      </c>
      <c r="AI3" s="181" cm="1">
        <f t="array" ref="AI3">MAX(FREQUENCY(IF((B3:AF3=INT(B3:AF3))*(B3:AF3&gt;0),COLUMN(B3:AF3)),IF((B3:AF3&lt;&gt;INT(B3:AF3))+(B3:AF3&lt;=0),COLUMN(B3:AF3))))</f>
        <v>1</v>
      </c>
      <c r="AJ3" s="182" cm="1">
        <f t="array" ref="AJ3">SUMPRODUCT(--(B3:AF3=INT(B3:AF3)),--(B3:AF3&gt;0))/30*100%</f>
        <v>0.0333333333333333</v>
      </c>
      <c r="AK3" s="183">
        <f>RANK(AG3,AG$3:AG$53,0)</f>
        <v>34</v>
      </c>
      <c r="AL3" s="183">
        <f>RANK(AH3,AH$3:AH$53,0)</f>
        <v>34</v>
      </c>
      <c r="AM3" s="183">
        <f>RANK(AI3,AI$3:AI$53,0)</f>
        <v>18</v>
      </c>
    </row>
    <row r="4" customHeight="1" spans="1:39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/>
      <c r="AG4" s="180">
        <f t="shared" ref="AG4:AG35" si="0">SUM(B4:AF4)</f>
        <v>11</v>
      </c>
      <c r="AH4" s="181" cm="1">
        <f t="array" ref="AH4">SUMPRODUCT(--(B4:AF4=INT(B4:AF4)),--(B4:AF4&gt;0))</f>
        <v>10</v>
      </c>
      <c r="AI4" s="181" cm="1">
        <f t="array" ref="AI4">MAX(FREQUENCY(IF((B4:AF4=INT(B4:AF4))*(B4:AF4&gt;0),COLUMN(B4:AF4)),IF((B4:AF4&lt;&gt;INT(B4:AF4))+(B4:AF4&lt;=0),COLUMN(B4:AF4))))</f>
        <v>3</v>
      </c>
      <c r="AJ4" s="182" cm="1">
        <f t="array" ref="AJ4">SUMPRODUCT(--(B4:AF4=INT(B4:AF4)),--(B4:AF4&gt;0))/30*100%</f>
        <v>0.333333333333333</v>
      </c>
      <c r="AK4" s="183">
        <f t="shared" ref="AK4:AM4" si="1">RANK(AG4,AG$3:AG$53,0)</f>
        <v>6</v>
      </c>
      <c r="AL4" s="183">
        <f t="shared" si="1"/>
        <v>6</v>
      </c>
      <c r="AM4" s="183">
        <f t="shared" si="1"/>
        <v>8</v>
      </c>
    </row>
    <row r="5" customHeight="1" spans="1:39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80">
        <f t="shared" si="0"/>
        <v>2</v>
      </c>
      <c r="AH5" s="181" cm="1">
        <f t="array" ref="AH5">SUMPRODUCT(--(B5:AF5=INT(B5:AF5)),--(B5:AF5&gt;0))</f>
        <v>2</v>
      </c>
      <c r="AI5" s="181" cm="1">
        <f t="array" ref="AI5">MAX(FREQUENCY(IF((B5:AF5=INT(B5:AF5))*(B5:AF5&gt;0),COLUMN(B5:AF5)),IF((B5:AF5&lt;&gt;INT(B5:AF5))+(B5:AF5&lt;=0),COLUMN(B5:AF5))))</f>
        <v>1</v>
      </c>
      <c r="AJ5" s="182" cm="1">
        <f t="array" ref="AJ5">SUMPRODUCT(--(B5:AF5=INT(B5:AF5)),--(B5:AF5&gt;0))/30*100%</f>
        <v>0.0666666666666667</v>
      </c>
      <c r="AK5" s="183">
        <f t="shared" ref="AK5:AM5" si="2">RANK(AG5,AG$3:AG$53,0)</f>
        <v>28</v>
      </c>
      <c r="AL5" s="183">
        <f t="shared" si="2"/>
        <v>27</v>
      </c>
      <c r="AM5" s="183">
        <f t="shared" si="2"/>
        <v>18</v>
      </c>
    </row>
    <row r="6" customHeight="1" spans="1:39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80">
        <f t="shared" si="0"/>
        <v>2</v>
      </c>
      <c r="AH6" s="181" cm="1">
        <f t="array" ref="AH6">SUMPRODUCT(--(B6:AF6=INT(B6:AF6)),--(B6:AF6&gt;0))</f>
        <v>2</v>
      </c>
      <c r="AI6" s="181" cm="1">
        <f t="array" ref="AI6">MAX(FREQUENCY(IF((B6:AF6=INT(B6:AF6))*(B6:AF6&gt;0),COLUMN(B6:AF6)),IF((B6:AF6&lt;&gt;INT(B6:AF6))+(B6:AF6&lt;=0),COLUMN(B6:AF6))))</f>
        <v>1</v>
      </c>
      <c r="AJ6" s="182" cm="1">
        <f t="array" ref="AJ6">SUMPRODUCT(--(B6:AF6=INT(B6:AF6)),--(B6:AF6&gt;0))/30*100%</f>
        <v>0.0666666666666667</v>
      </c>
      <c r="AK6" s="183">
        <f t="shared" ref="AK6:AM6" si="3">RANK(AG6,AG$3:AG$53,0)</f>
        <v>28</v>
      </c>
      <c r="AL6" s="183">
        <f t="shared" si="3"/>
        <v>27</v>
      </c>
      <c r="AM6" s="183">
        <f t="shared" si="3"/>
        <v>18</v>
      </c>
    </row>
    <row r="7" customHeight="1" spans="1:39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80">
        <f t="shared" si="0"/>
        <v>4</v>
      </c>
      <c r="AH7" s="181" cm="1">
        <f t="array" ref="AH7">SUMPRODUCT(--(B7:AF7=INT(B7:AF7)),--(B7:AF7&gt;0))</f>
        <v>3</v>
      </c>
      <c r="AI7" s="181" cm="1">
        <f t="array" ref="AI7">MAX(FREQUENCY(IF((B7:AF7=INT(B7:AF7))*(B7:AF7&gt;0),COLUMN(B7:AF7)),IF((B7:AF7&lt;&gt;INT(B7:AF7))+(B7:AF7&lt;=0),COLUMN(B7:AF7))))</f>
        <v>1</v>
      </c>
      <c r="AJ7" s="182" cm="1">
        <f t="array" ref="AJ7">SUMPRODUCT(--(B7:AF7=INT(B7:AF7)),--(B7:AF7&gt;0))/30*100%</f>
        <v>0.1</v>
      </c>
      <c r="AK7" s="183">
        <f t="shared" ref="AK7:AM7" si="4">RANK(AG7,AG$3:AG$53,0)</f>
        <v>21</v>
      </c>
      <c r="AL7" s="183">
        <f t="shared" si="4"/>
        <v>22</v>
      </c>
      <c r="AM7" s="183">
        <f t="shared" si="4"/>
        <v>18</v>
      </c>
    </row>
    <row r="8" customHeight="1" spans="1:39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80">
        <f t="shared" si="0"/>
        <v>16</v>
      </c>
      <c r="AH8" s="181" cm="1">
        <f t="array" ref="AH8">SUMPRODUCT(--(B8:AF8=INT(B8:AF8)),--(B8:AF8&gt;0))</f>
        <v>16</v>
      </c>
      <c r="AI8" s="181" cm="1">
        <f t="array" ref="AI8">MAX(FREQUENCY(IF((B8:AF8=INT(B8:AF8))*(B8:AF8&gt;0),COLUMN(B8:AF8)),IF((B8:AF8&lt;&gt;INT(B8:AF8))+(B8:AF8&lt;=0),COLUMN(B8:AF8))))</f>
        <v>5</v>
      </c>
      <c r="AJ8" s="182" cm="1">
        <f t="array" ref="AJ8">SUMPRODUCT(--(B8:AF8=INT(B8:AF8)),--(B8:AF8&gt;0))/30*100%</f>
        <v>0.533333333333333</v>
      </c>
      <c r="AK8" s="183">
        <f t="shared" ref="AK8:AM8" si="5">RANK(AG8,AG$3:AG$53,0)</f>
        <v>3</v>
      </c>
      <c r="AL8" s="183">
        <f t="shared" si="5"/>
        <v>3</v>
      </c>
      <c r="AM8" s="183">
        <f t="shared" si="5"/>
        <v>3</v>
      </c>
    </row>
    <row r="9" customHeight="1" spans="1:39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/>
      <c r="AD9" s="120"/>
      <c r="AE9" s="120"/>
      <c r="AF9" s="120"/>
      <c r="AG9" s="180">
        <f t="shared" si="0"/>
        <v>9</v>
      </c>
      <c r="AH9" s="181" cm="1">
        <f t="array" ref="AH9">SUMPRODUCT(--(B9:AF9=INT(B9:AF9)),--(B9:AF9&gt;0))</f>
        <v>9</v>
      </c>
      <c r="AI9" s="181" cm="1">
        <f t="array" ref="AI9">MAX(FREQUENCY(IF((B9:AF9=INT(B9:AF9))*(B9:AF9&gt;0),COLUMN(B9:AF9)),IF((B9:AF9&lt;&gt;INT(B9:AF9))+(B9:AF9&lt;=0),COLUMN(B9:AF9))))</f>
        <v>3</v>
      </c>
      <c r="AJ9" s="182" cm="1">
        <f t="array" ref="AJ9">SUMPRODUCT(--(B9:AF9=INT(B9:AF9)),--(B9:AF9&gt;0))/30*100%</f>
        <v>0.3</v>
      </c>
      <c r="AK9" s="183">
        <f t="shared" ref="AK9:AM9" si="6">RANK(AG9,AG$3:AG$53,0)</f>
        <v>9</v>
      </c>
      <c r="AL9" s="183">
        <f t="shared" si="6"/>
        <v>7</v>
      </c>
      <c r="AM9" s="183">
        <f t="shared" si="6"/>
        <v>8</v>
      </c>
    </row>
    <row r="10" customHeight="1" spans="1:39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80">
        <f t="shared" si="0"/>
        <v>1</v>
      </c>
      <c r="AH10" s="181" cm="1">
        <f t="array" ref="AH10">SUMPRODUCT(--(B10:AF10=INT(B10:AF10)),--(B10:AF10&gt;0))</f>
        <v>1</v>
      </c>
      <c r="AI10" s="181" cm="1">
        <f t="array" ref="AI10">MAX(FREQUENCY(IF((B10:AF10=INT(B10:AF10))*(B10:AF10&gt;0),COLUMN(B10:AF10)),IF((B10:AF10&lt;&gt;INT(B10:AF10))+(B10:AF10&lt;=0),COLUMN(B10:AF10))))</f>
        <v>1</v>
      </c>
      <c r="AJ10" s="182" cm="1">
        <f t="array" ref="AJ10">SUMPRODUCT(--(B10:AF10=INT(B10:AF10)),--(B10:AF10&gt;0))/30*100%</f>
        <v>0.0333333333333333</v>
      </c>
      <c r="AK10" s="183">
        <f t="shared" ref="AK10:AM10" si="7">RANK(AG10,AG$3:AG$53,0)</f>
        <v>34</v>
      </c>
      <c r="AL10" s="183">
        <f t="shared" si="7"/>
        <v>34</v>
      </c>
      <c r="AM10" s="183">
        <f t="shared" si="7"/>
        <v>18</v>
      </c>
    </row>
    <row r="11" customHeight="1" spans="1:39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/>
      <c r="AE11" s="120"/>
      <c r="AF11" s="120"/>
      <c r="AG11" s="180">
        <f t="shared" si="0"/>
        <v>5</v>
      </c>
      <c r="AH11" s="181" cm="1">
        <f t="array" ref="AH11">SUMPRODUCT(--(B11:AF11=INT(B11:AF11)),--(B11:AF11&gt;0))</f>
        <v>5</v>
      </c>
      <c r="AI11" s="181" cm="1">
        <f t="array" ref="AI11">MAX(FREQUENCY(IF((B11:AF11=INT(B11:AF11))*(B11:AF11&gt;0),COLUMN(B11:AF11)),IF((B11:AF11&lt;&gt;INT(B11:AF11))+(B11:AF11&lt;=0),COLUMN(B11:AF11))))</f>
        <v>1</v>
      </c>
      <c r="AJ11" s="182" cm="1">
        <f t="array" ref="AJ11">SUMPRODUCT(--(B11:AF11=INT(B11:AF11)),--(B11:AF11&gt;0))/30*100%</f>
        <v>0.166666666666667</v>
      </c>
      <c r="AK11" s="183">
        <f t="shared" ref="AK11:AM11" si="8">RANK(AG11,AG$3:AG$53,0)</f>
        <v>19</v>
      </c>
      <c r="AL11" s="183">
        <f t="shared" si="8"/>
        <v>19</v>
      </c>
      <c r="AM11" s="183">
        <f t="shared" si="8"/>
        <v>18</v>
      </c>
    </row>
    <row r="12" customHeight="1" spans="1:39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80">
        <f t="shared" si="0"/>
        <v>2</v>
      </c>
      <c r="AH12" s="181" cm="1">
        <f t="array" ref="AH12">SUMPRODUCT(--(B12:AF12=INT(B12:AF12)),--(B12:AF12&gt;0))</f>
        <v>2</v>
      </c>
      <c r="AI12" s="181" cm="1">
        <f t="array" ref="AI12">MAX(FREQUENCY(IF((B12:AF12=INT(B12:AF12))*(B12:AF12&gt;0),COLUMN(B12:AF12)),IF((B12:AF12&lt;&gt;INT(B12:AF12))+(B12:AF12&lt;=0),COLUMN(B12:AF12))))</f>
        <v>1</v>
      </c>
      <c r="AJ12" s="182" cm="1">
        <f t="array" ref="AJ12">SUMPRODUCT(--(B12:AF12=INT(B12:AF12)),--(B12:AF12&gt;0))/30*100%</f>
        <v>0.0666666666666667</v>
      </c>
      <c r="AK12" s="183">
        <f t="shared" ref="AK12:AM12" si="9">RANK(AG12,AG$3:AG$53,0)</f>
        <v>28</v>
      </c>
      <c r="AL12" s="183">
        <f t="shared" si="9"/>
        <v>27</v>
      </c>
      <c r="AM12" s="183">
        <f t="shared" si="9"/>
        <v>18</v>
      </c>
    </row>
    <row r="13" customHeight="1" spans="1:39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80">
        <f t="shared" si="0"/>
        <v>8</v>
      </c>
      <c r="AH13" s="181" cm="1">
        <f t="array" ref="AH13">SUMPRODUCT(--(B13:AF13=INT(B13:AF13)),--(B13:AF13&gt;0))</f>
        <v>8</v>
      </c>
      <c r="AI13" s="181" cm="1">
        <f t="array" ref="AI13">MAX(FREQUENCY(IF((B13:AF13=INT(B13:AF13))*(B13:AF13&gt;0),COLUMN(B13:AF13)),IF((B13:AF13&lt;&gt;INT(B13:AF13))+(B13:AF13&lt;=0),COLUMN(B13:AF13))))</f>
        <v>1</v>
      </c>
      <c r="AJ13" s="182" cm="1">
        <f t="array" ref="AJ13">SUMPRODUCT(--(B13:AF13=INT(B13:AF13)),--(B13:AF13&gt;0))/30*100%</f>
        <v>0.266666666666667</v>
      </c>
      <c r="AK13" s="183">
        <f t="shared" ref="AK13:AM13" si="10">RANK(AG13,AG$3:AG$53,0)</f>
        <v>11</v>
      </c>
      <c r="AL13" s="183">
        <f t="shared" si="10"/>
        <v>10</v>
      </c>
      <c r="AM13" s="183">
        <f t="shared" si="10"/>
        <v>18</v>
      </c>
    </row>
    <row r="14" customHeight="1" spans="1:39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80">
        <f t="shared" si="0"/>
        <v>2</v>
      </c>
      <c r="AH14" s="181" cm="1">
        <f t="array" ref="AH14">SUMPRODUCT(--(B14:AF14=INT(B14:AF14)),--(B14:AF14&gt;0))</f>
        <v>2</v>
      </c>
      <c r="AI14" s="181" cm="1">
        <f t="array" ref="AI14">MAX(FREQUENCY(IF((B14:AF14=INT(B14:AF14))*(B14:AF14&gt;0),COLUMN(B14:AF14)),IF((B14:AF14&lt;&gt;INT(B14:AF14))+(B14:AF14&lt;=0),COLUMN(B14:AF14))))</f>
        <v>1</v>
      </c>
      <c r="AJ14" s="182" cm="1">
        <f t="array" ref="AJ14">SUMPRODUCT(--(B14:AF14=INT(B14:AF14)),--(B14:AF14&gt;0))/30*100%</f>
        <v>0.0666666666666667</v>
      </c>
      <c r="AK14" s="183">
        <f t="shared" ref="AK14:AM14" si="11">RANK(AG14,AG$3:AG$53,0)</f>
        <v>28</v>
      </c>
      <c r="AL14" s="183">
        <f t="shared" si="11"/>
        <v>27</v>
      </c>
      <c r="AM14" s="183">
        <f t="shared" si="11"/>
        <v>18</v>
      </c>
    </row>
    <row r="15" customHeight="1" spans="1:39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/>
      <c r="AG15" s="180">
        <f t="shared" si="0"/>
        <v>9</v>
      </c>
      <c r="AH15" s="181" cm="1">
        <f t="array" ref="AH15">SUMPRODUCT(--(B15:AF15=INT(B15:AF15)),--(B15:AF15&gt;0))</f>
        <v>8</v>
      </c>
      <c r="AI15" s="181" cm="1">
        <f t="array" ref="AI15">MAX(FREQUENCY(IF((B15:AF15=INT(B15:AF15))*(B15:AF15&gt;0),COLUMN(B15:AF15)),IF((B15:AF15&lt;&gt;INT(B15:AF15))+(B15:AF15&lt;=0),COLUMN(B15:AF15))))</f>
        <v>2</v>
      </c>
      <c r="AJ15" s="182" cm="1">
        <f t="array" ref="AJ15">SUMPRODUCT(--(B15:AF15=INT(B15:AF15)),--(B15:AF15&gt;0))/30*100%</f>
        <v>0.266666666666667</v>
      </c>
      <c r="AK15" s="183">
        <f t="shared" ref="AK15:AM15" si="12">RANK(AG15,AG$3:AG$53,0)</f>
        <v>9</v>
      </c>
      <c r="AL15" s="183">
        <f t="shared" si="12"/>
        <v>10</v>
      </c>
      <c r="AM15" s="183">
        <f t="shared" si="12"/>
        <v>13</v>
      </c>
    </row>
    <row r="16" customHeight="1" spans="1:39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80">
        <f t="shared" si="0"/>
        <v>2</v>
      </c>
      <c r="AH16" s="181" cm="1">
        <f t="array" ref="AH16">SUMPRODUCT(--(B16:AF16=INT(B16:AF16)),--(B16:AF16&gt;0))</f>
        <v>2</v>
      </c>
      <c r="AI16" s="181" cm="1">
        <f t="array" ref="AI16">MAX(FREQUENCY(IF((B16:AF16=INT(B16:AF16))*(B16:AF16&gt;0),COLUMN(B16:AF16)),IF((B16:AF16&lt;&gt;INT(B16:AF16))+(B16:AF16&lt;=0),COLUMN(B16:AF16))))</f>
        <v>1</v>
      </c>
      <c r="AJ16" s="182" cm="1">
        <f t="array" ref="AJ16">SUMPRODUCT(--(B16:AF16=INT(B16:AF16)),--(B16:AF16&gt;0))/30*100%</f>
        <v>0.0666666666666667</v>
      </c>
      <c r="AK16" s="183">
        <f t="shared" ref="AK16:AM16" si="13">RANK(AG16,AG$3:AG$53,0)</f>
        <v>28</v>
      </c>
      <c r="AL16" s="183">
        <f t="shared" si="13"/>
        <v>27</v>
      </c>
      <c r="AM16" s="183">
        <f t="shared" si="13"/>
        <v>18</v>
      </c>
    </row>
    <row r="17" customHeight="1" spans="1:39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80">
        <f t="shared" si="0"/>
        <v>3</v>
      </c>
      <c r="AH17" s="181" cm="1">
        <f t="array" ref="AH17">SUMPRODUCT(--(B17:AF17=INT(B17:AF17)),--(B17:AF17&gt;0))</f>
        <v>3</v>
      </c>
      <c r="AI17" s="181" cm="1">
        <f t="array" ref="AI17">MAX(FREQUENCY(IF((B17:AF17=INT(B17:AF17))*(B17:AF17&gt;0),COLUMN(B17:AF17)),IF((B17:AF17&lt;&gt;INT(B17:AF17))+(B17:AF17&lt;=0),COLUMN(B17:AF17))))</f>
        <v>1</v>
      </c>
      <c r="AJ17" s="182" cm="1">
        <f t="array" ref="AJ17">SUMPRODUCT(--(B17:AF17=INT(B17:AF17)),--(B17:AF17&gt;0))/30*100%</f>
        <v>0.1</v>
      </c>
      <c r="AK17" s="183">
        <f t="shared" ref="AK17:AM17" si="14">RANK(AG17,AG$3:AG$53,0)</f>
        <v>23</v>
      </c>
      <c r="AL17" s="183">
        <f t="shared" si="14"/>
        <v>22</v>
      </c>
      <c r="AM17" s="183">
        <f t="shared" si="14"/>
        <v>18</v>
      </c>
    </row>
    <row r="18" customHeight="1" spans="1:39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80">
        <f t="shared" si="0"/>
        <v>1</v>
      </c>
      <c r="AH18" s="181" cm="1">
        <f t="array" ref="AH18">SUMPRODUCT(--(B18:AF18=INT(B18:AF18)),--(B18:AF18&gt;0))</f>
        <v>1</v>
      </c>
      <c r="AI18" s="181" cm="1">
        <f t="array" ref="AI18">MAX(FREQUENCY(IF((B18:AF18=INT(B18:AF18))*(B18:AF18&gt;0),COLUMN(B18:AF18)),IF((B18:AF18&lt;&gt;INT(B18:AF18))+(B18:AF18&lt;=0),COLUMN(B18:AF18))))</f>
        <v>1</v>
      </c>
      <c r="AJ18" s="182" cm="1">
        <f t="array" ref="AJ18">SUMPRODUCT(--(B18:AF18=INT(B18:AF18)),--(B18:AF18&gt;0))/30*100%</f>
        <v>0.0333333333333333</v>
      </c>
      <c r="AK18" s="183">
        <f t="shared" ref="AK18:AM18" si="15">RANK(AG18,AG$3:AG$53,0)</f>
        <v>34</v>
      </c>
      <c r="AL18" s="183">
        <f t="shared" si="15"/>
        <v>34</v>
      </c>
      <c r="AM18" s="183">
        <f t="shared" si="15"/>
        <v>18</v>
      </c>
    </row>
    <row r="19" customHeight="1" spans="1:39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80">
        <f t="shared" si="0"/>
        <v>5</v>
      </c>
      <c r="AH19" s="181" cm="1">
        <f t="array" ref="AH19">SUMPRODUCT(--(B19:AF19=INT(B19:AF19)),--(B19:AF19&gt;0))</f>
        <v>5</v>
      </c>
      <c r="AI19" s="181" cm="1">
        <f t="array" ref="AI19">MAX(FREQUENCY(IF((B19:AF19=INT(B19:AF19))*(B19:AF19&gt;0),COLUMN(B19:AF19)),IF((B19:AF19&lt;&gt;INT(B19:AF19))+(B19:AF19&lt;=0),COLUMN(B19:AF19))))</f>
        <v>2</v>
      </c>
      <c r="AJ19" s="182" cm="1">
        <f t="array" ref="AJ19">SUMPRODUCT(--(B19:AF19=INT(B19:AF19)),--(B19:AF19&gt;0))/30*100%</f>
        <v>0.166666666666667</v>
      </c>
      <c r="AK19" s="183">
        <f t="shared" ref="AK19:AM19" si="16">RANK(AG19,AG$3:AG$53,0)</f>
        <v>19</v>
      </c>
      <c r="AL19" s="183">
        <f t="shared" si="16"/>
        <v>19</v>
      </c>
      <c r="AM19" s="183">
        <f t="shared" si="16"/>
        <v>13</v>
      </c>
    </row>
    <row r="20" customHeight="1" spans="1:39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80">
        <f t="shared" si="0"/>
        <v>1</v>
      </c>
      <c r="AH20" s="181" cm="1">
        <f t="array" ref="AH20">SUMPRODUCT(--(B20:AF20=INT(B20:AF20)),--(B20:AF20&gt;0))</f>
        <v>1</v>
      </c>
      <c r="AI20" s="181" cm="1">
        <f t="array" ref="AI20">MAX(FREQUENCY(IF((B20:AF20=INT(B20:AF20))*(B20:AF20&gt;0),COLUMN(B20:AF20)),IF((B20:AF20&lt;&gt;INT(B20:AF20))+(B20:AF20&lt;=0),COLUMN(B20:AF20))))</f>
        <v>1</v>
      </c>
      <c r="AJ20" s="182" cm="1">
        <f t="array" ref="AJ20">SUMPRODUCT(--(B20:AF20=INT(B20:AF20)),--(B20:AF20&gt;0))/30*100%</f>
        <v>0.0333333333333333</v>
      </c>
      <c r="AK20" s="183">
        <f t="shared" ref="AK20:AM20" si="17">RANK(AG20,AG$3:AG$53,0)</f>
        <v>34</v>
      </c>
      <c r="AL20" s="183">
        <f t="shared" si="17"/>
        <v>34</v>
      </c>
      <c r="AM20" s="183">
        <f t="shared" si="17"/>
        <v>18</v>
      </c>
    </row>
    <row r="21" customHeight="1" spans="1:39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80">
        <f t="shared" si="0"/>
        <v>2</v>
      </c>
      <c r="AH21" s="181" cm="1">
        <f t="array" ref="AH21">SUMPRODUCT(--(B21:AF21=INT(B21:AF21)),--(B21:AF21&gt;0))</f>
        <v>2</v>
      </c>
      <c r="AI21" s="181" cm="1">
        <f t="array" ref="AI21">MAX(FREQUENCY(IF((B21:AF21=INT(B21:AF21))*(B21:AF21&gt;0),COLUMN(B21:AF21)),IF((B21:AF21&lt;&gt;INT(B21:AF21))+(B21:AF21&lt;=0),COLUMN(B21:AF21))))</f>
        <v>1</v>
      </c>
      <c r="AJ21" s="182" cm="1">
        <f t="array" ref="AJ21">SUMPRODUCT(--(B21:AF21=INT(B21:AF21)),--(B21:AF21&gt;0))/30*100%</f>
        <v>0.0666666666666667</v>
      </c>
      <c r="AK21" s="183">
        <f t="shared" ref="AK21:AM21" si="18">RANK(AG21,AG$3:AG$53,0)</f>
        <v>28</v>
      </c>
      <c r="AL21" s="183">
        <f t="shared" si="18"/>
        <v>27</v>
      </c>
      <c r="AM21" s="183">
        <f t="shared" si="18"/>
        <v>18</v>
      </c>
    </row>
    <row r="22" customHeight="1" spans="1:39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/>
      <c r="AF22" s="120"/>
      <c r="AG22" s="180">
        <f t="shared" si="0"/>
        <v>11</v>
      </c>
      <c r="AH22" s="181" cm="1">
        <f t="array" ref="AH22">SUMPRODUCT(--(B22:AF22=INT(B22:AF22)),--(B22:AF22&gt;0))</f>
        <v>9</v>
      </c>
      <c r="AI22" s="181" cm="1">
        <f t="array" ref="AI22">MAX(FREQUENCY(IF((B22:AF22=INT(B22:AF22))*(B22:AF22&gt;0),COLUMN(B22:AF22)),IF((B22:AF22&lt;&gt;INT(B22:AF22))+(B22:AF22&lt;=0),COLUMN(B22:AF22))))</f>
        <v>4</v>
      </c>
      <c r="AJ22" s="182" cm="1">
        <f t="array" ref="AJ22">SUMPRODUCT(--(B22:AF22=INT(B22:AF22)),--(B22:AF22&gt;0))/30*100%</f>
        <v>0.3</v>
      </c>
      <c r="AK22" s="183">
        <f t="shared" ref="AK22:AM22" si="19">RANK(AG22,AG$3:AG$53,0)</f>
        <v>6</v>
      </c>
      <c r="AL22" s="183">
        <f t="shared" si="19"/>
        <v>7</v>
      </c>
      <c r="AM22" s="183">
        <f t="shared" si="19"/>
        <v>6</v>
      </c>
    </row>
    <row r="23" customHeight="1" spans="1:39">
      <c r="A23" s="184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80">
        <f t="shared" si="0"/>
        <v>0</v>
      </c>
      <c r="AH23" s="181" cm="1">
        <f t="array" ref="AH23">SUMPRODUCT(--(B23:AF23=INT(B23:AF23)),--(B23:AF23&gt;0))</f>
        <v>0</v>
      </c>
      <c r="AI23" s="181" cm="1">
        <f t="array" ref="AI23">MAX(FREQUENCY(IF((B23:AF23=INT(B23:AF23))*(B23:AF23&gt;0),COLUMN(B23:AF23)),IF((B23:AF23&lt;&gt;INT(B23:AF23))+(B23:AF23&lt;=0),COLUMN(B23:AF23))))</f>
        <v>0</v>
      </c>
      <c r="AJ23" s="182" cm="1">
        <f t="array" ref="AJ23">SUMPRODUCT(--(B23:AF23=INT(B23:AF23)),--(B23:AF23&gt;0))/30*100%</f>
        <v>0</v>
      </c>
      <c r="AK23" s="183">
        <f t="shared" ref="AK23:AM23" si="20">RANK(AG23,AG$3:AG$53,0)</f>
        <v>40</v>
      </c>
      <c r="AL23" s="183">
        <f t="shared" si="20"/>
        <v>40</v>
      </c>
      <c r="AM23" s="183">
        <f t="shared" si="20"/>
        <v>40</v>
      </c>
    </row>
    <row r="24" customHeight="1" spans="1:39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80">
        <f t="shared" si="0"/>
        <v>8</v>
      </c>
      <c r="AH24" s="181" cm="1">
        <f t="array" ref="AH24">SUMPRODUCT(--(B24:AF24=INT(B24:AF24)),--(B24:AF24&gt;0))</f>
        <v>8</v>
      </c>
      <c r="AI24" s="181" cm="1">
        <f t="array" ref="AI24">MAX(FREQUENCY(IF((B24:AF24=INT(B24:AF24))*(B24:AF24&gt;0),COLUMN(B24:AF24)),IF((B24:AF24&lt;&gt;INT(B24:AF24))+(B24:AF24&lt;=0),COLUMN(B24:AF24))))</f>
        <v>3</v>
      </c>
      <c r="AJ24" s="182" cm="1">
        <f t="array" ref="AJ24">SUMPRODUCT(--(B24:AF24=INT(B24:AF24)),--(B24:AF24&gt;0))/30*100%</f>
        <v>0.266666666666667</v>
      </c>
      <c r="AK24" s="183">
        <f t="shared" ref="AK24:AM24" si="21">RANK(AG24,AG$3:AG$53,0)</f>
        <v>11</v>
      </c>
      <c r="AL24" s="183">
        <f t="shared" si="21"/>
        <v>10</v>
      </c>
      <c r="AM24" s="183">
        <f t="shared" si="21"/>
        <v>8</v>
      </c>
    </row>
    <row r="25" customHeight="1" spans="1:39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80">
        <f t="shared" si="0"/>
        <v>1</v>
      </c>
      <c r="AH25" s="181" cm="1">
        <f t="array" ref="AH25">SUMPRODUCT(--(B25:AF25=INT(B25:AF25)),--(B25:AF25&gt;0))</f>
        <v>1</v>
      </c>
      <c r="AI25" s="181" cm="1">
        <f t="array" ref="AI25">MAX(FREQUENCY(IF((B25:AF25=INT(B25:AF25))*(B25:AF25&gt;0),COLUMN(B25:AF25)),IF((B25:AF25&lt;&gt;INT(B25:AF25))+(B25:AF25&lt;=0),COLUMN(B25:AF25))))</f>
        <v>1</v>
      </c>
      <c r="AJ25" s="182" cm="1">
        <f t="array" ref="AJ25">SUMPRODUCT(--(B25:AF25=INT(B25:AF25)),--(B25:AF25&gt;0))/30*100%</f>
        <v>0.0333333333333333</v>
      </c>
      <c r="AK25" s="183">
        <f t="shared" ref="AK25:AM25" si="22">RANK(AG25,AG$3:AG$53,0)</f>
        <v>34</v>
      </c>
      <c r="AL25" s="183">
        <f t="shared" si="22"/>
        <v>34</v>
      </c>
      <c r="AM25" s="183">
        <f t="shared" si="22"/>
        <v>18</v>
      </c>
    </row>
    <row r="26" customHeight="1" spans="1:39">
      <c r="A26" s="184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80">
        <f t="shared" si="0"/>
        <v>0</v>
      </c>
      <c r="AH26" s="181" cm="1">
        <f t="array" ref="AH26">SUMPRODUCT(--(B26:AF26=INT(B26:AF26)),--(B26:AF26&gt;0))</f>
        <v>0</v>
      </c>
      <c r="AI26" s="181" cm="1">
        <f t="array" ref="AI26">MAX(FREQUENCY(IF((B26:AF26=INT(B26:AF26))*(B26:AF26&gt;0),COLUMN(B26:AF26)),IF((B26:AF26&lt;&gt;INT(B26:AF26))+(B26:AF26&lt;=0),COLUMN(B26:AF26))))</f>
        <v>0</v>
      </c>
      <c r="AJ26" s="182" cm="1">
        <f t="array" ref="AJ26">SUMPRODUCT(--(B26:AF26=INT(B26:AF26)),--(B26:AF26&gt;0))/30*100%</f>
        <v>0</v>
      </c>
      <c r="AK26" s="183">
        <f t="shared" ref="AK26:AM26" si="23">RANK(AG26,AG$3:AG$53,0)</f>
        <v>40</v>
      </c>
      <c r="AL26" s="183">
        <f t="shared" si="23"/>
        <v>40</v>
      </c>
      <c r="AM26" s="183">
        <f t="shared" si="23"/>
        <v>40</v>
      </c>
    </row>
    <row r="27" customHeight="1" spans="1:39">
      <c r="A27" s="184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80">
        <f t="shared" si="0"/>
        <v>0</v>
      </c>
      <c r="AH27" s="181" cm="1">
        <f t="array" ref="AH27">SUMPRODUCT(--(B27:AF27=INT(B27:AF27)),--(B27:AF27&gt;0))</f>
        <v>0</v>
      </c>
      <c r="AI27" s="181" cm="1">
        <f t="array" ref="AI27">MAX(FREQUENCY(IF((B27:AF27=INT(B27:AF27))*(B27:AF27&gt;0),COLUMN(B27:AF27)),IF((B27:AF27&lt;&gt;INT(B27:AF27))+(B27:AF27&lt;=0),COLUMN(B27:AF27))))</f>
        <v>0</v>
      </c>
      <c r="AJ27" s="182" cm="1">
        <f t="array" ref="AJ27">SUMPRODUCT(--(B27:AF27=INT(B27:AF27)),--(B27:AF27&gt;0))/30*100%</f>
        <v>0</v>
      </c>
      <c r="AK27" s="183">
        <f t="shared" ref="AK27:AM27" si="24">RANK(AG27,AG$3:AG$53,0)</f>
        <v>40</v>
      </c>
      <c r="AL27" s="183">
        <f t="shared" si="24"/>
        <v>40</v>
      </c>
      <c r="AM27" s="183">
        <f t="shared" si="24"/>
        <v>40</v>
      </c>
    </row>
    <row r="28" customHeight="1" spans="1:39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80">
        <f t="shared" si="0"/>
        <v>8</v>
      </c>
      <c r="AH28" s="181" cm="1">
        <f t="array" ref="AH28">SUMPRODUCT(--(B28:AF28=INT(B28:AF28)),--(B28:AF28&gt;0))</f>
        <v>8</v>
      </c>
      <c r="AI28" s="181" cm="1">
        <f t="array" ref="AI28">MAX(FREQUENCY(IF((B28:AF28=INT(B28:AF28))*(B28:AF28&gt;0),COLUMN(B28:AF28)),IF((B28:AF28&lt;&gt;INT(B28:AF28))+(B28:AF28&lt;=0),COLUMN(B28:AF28))))</f>
        <v>2</v>
      </c>
      <c r="AJ28" s="182" cm="1">
        <f t="array" ref="AJ28">SUMPRODUCT(--(B28:AF28=INT(B28:AF28)),--(B28:AF28&gt;0))/30*100%</f>
        <v>0.266666666666667</v>
      </c>
      <c r="AK28" s="183">
        <f t="shared" ref="AK28:AM28" si="25">RANK(AG28,AG$3:AG$53,0)</f>
        <v>11</v>
      </c>
      <c r="AL28" s="183">
        <f t="shared" si="25"/>
        <v>10</v>
      </c>
      <c r="AM28" s="183">
        <f t="shared" si="25"/>
        <v>13</v>
      </c>
    </row>
    <row r="29" customHeight="1" spans="1:39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80">
        <f t="shared" si="0"/>
        <v>4</v>
      </c>
      <c r="AH29" s="181" cm="1">
        <f t="array" ref="AH29">SUMPRODUCT(--(B29:AF29=INT(B29:AF29)),--(B29:AF29&gt;0))</f>
        <v>4</v>
      </c>
      <c r="AI29" s="181" cm="1">
        <f t="array" ref="AI29">MAX(FREQUENCY(IF((B29:AF29=INT(B29:AF29))*(B29:AF29&gt;0),COLUMN(B29:AF29)),IF((B29:AF29&lt;&gt;INT(B29:AF29))+(B29:AF29&lt;=0),COLUMN(B29:AF29))))</f>
        <v>1</v>
      </c>
      <c r="AJ29" s="182" cm="1">
        <f t="array" ref="AJ29">SUMPRODUCT(--(B29:AF29=INT(B29:AF29)),--(B29:AF29&gt;0))/30*100%</f>
        <v>0.133333333333333</v>
      </c>
      <c r="AK29" s="183">
        <f t="shared" ref="AK29:AM29" si="26">RANK(AG29,AG$3:AG$53,0)</f>
        <v>21</v>
      </c>
      <c r="AL29" s="183">
        <f t="shared" si="26"/>
        <v>21</v>
      </c>
      <c r="AM29" s="183">
        <f t="shared" si="26"/>
        <v>18</v>
      </c>
    </row>
    <row r="30" customHeight="1" spans="1:39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80">
        <f t="shared" si="0"/>
        <v>8</v>
      </c>
      <c r="AH30" s="181" cm="1">
        <f t="array" ref="AH30">SUMPRODUCT(--(B30:AF30=INT(B30:AF30)),--(B30:AF30&gt;0))</f>
        <v>7</v>
      </c>
      <c r="AI30" s="181" cm="1">
        <f t="array" ref="AI30">MAX(FREQUENCY(IF((B30:AF30=INT(B30:AF30))*(B30:AF30&gt;0),COLUMN(B30:AF30)),IF((B30:AF30&lt;&gt;INT(B30:AF30))+(B30:AF30&lt;=0),COLUMN(B30:AF30))))</f>
        <v>4</v>
      </c>
      <c r="AJ30" s="182" cm="1">
        <f t="array" ref="AJ30">SUMPRODUCT(--(B30:AF30=INT(B30:AF30)),--(B30:AF30&gt;0))/30*100%</f>
        <v>0.233333333333333</v>
      </c>
      <c r="AK30" s="183">
        <f t="shared" ref="AK30:AM30" si="27">RANK(AG30,AG$3:AG$53,0)</f>
        <v>11</v>
      </c>
      <c r="AL30" s="183">
        <f t="shared" si="27"/>
        <v>14</v>
      </c>
      <c r="AM30" s="183">
        <f t="shared" si="27"/>
        <v>6</v>
      </c>
    </row>
    <row r="31" customHeight="1" spans="1:39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80">
        <f t="shared" si="0"/>
        <v>8</v>
      </c>
      <c r="AH31" s="181" cm="1">
        <f t="array" ref="AH31">SUMPRODUCT(--(B31:AF31=INT(B31:AF31)),--(B31:AF31&gt;0))</f>
        <v>7</v>
      </c>
      <c r="AI31" s="181" cm="1">
        <f t="array" ref="AI31">MAX(FREQUENCY(IF((B31:AF31=INT(B31:AF31))*(B31:AF31&gt;0),COLUMN(B31:AF31)),IF((B31:AF31&lt;&gt;INT(B31:AF31))+(B31:AF31&lt;=0),COLUMN(B31:AF31))))</f>
        <v>2</v>
      </c>
      <c r="AJ31" s="182" cm="1">
        <f t="array" ref="AJ31">SUMPRODUCT(--(B31:AF31=INT(B31:AF31)),--(B31:AF31&gt;0))/30*100%</f>
        <v>0.233333333333333</v>
      </c>
      <c r="AK31" s="183">
        <f t="shared" ref="AK31:AM31" si="28">RANK(AG31,AG$3:AG$53,0)</f>
        <v>11</v>
      </c>
      <c r="AL31" s="183">
        <f t="shared" si="28"/>
        <v>14</v>
      </c>
      <c r="AM31" s="183">
        <f t="shared" si="28"/>
        <v>13</v>
      </c>
    </row>
    <row r="32" customHeight="1" spans="1:39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80">
        <f t="shared" si="0"/>
        <v>10</v>
      </c>
      <c r="AH32" s="181" cm="1">
        <f t="array" ref="AH32">SUMPRODUCT(--(B32:AF32=INT(B32:AF32)),--(B32:AF32&gt;0))</f>
        <v>9</v>
      </c>
      <c r="AI32" s="181" cm="1">
        <f t="array" ref="AI32">MAX(FREQUENCY(IF((B32:AF32=INT(B32:AF32))*(B32:AF32&gt;0),COLUMN(B32:AF32)),IF((B32:AF32&lt;&gt;INT(B32:AF32))+(B32:AF32&lt;=0),COLUMN(B32:AF32))))</f>
        <v>3</v>
      </c>
      <c r="AJ32" s="182" cm="1">
        <f t="array" ref="AJ32">SUMPRODUCT(--(B32:AF32=INT(B32:AF32)),--(B32:AF32&gt;0))/30*100%</f>
        <v>0.3</v>
      </c>
      <c r="AK32" s="183">
        <f t="shared" ref="AK32:AM32" si="29">RANK(AG32,AG$3:AG$53,0)</f>
        <v>8</v>
      </c>
      <c r="AL32" s="183">
        <f t="shared" si="29"/>
        <v>7</v>
      </c>
      <c r="AM32" s="183">
        <f t="shared" si="29"/>
        <v>8</v>
      </c>
    </row>
    <row r="33" customHeight="1" spans="1:39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80">
        <f t="shared" si="0"/>
        <v>3</v>
      </c>
      <c r="AH33" s="181" cm="1">
        <f t="array" ref="AH33">SUMPRODUCT(--(B33:AF33=INT(B33:AF33)),--(B33:AF33&gt;0))</f>
        <v>3</v>
      </c>
      <c r="AI33" s="181" cm="1">
        <f t="array" ref="AI33">MAX(FREQUENCY(IF((B33:AF33=INT(B33:AF33))*(B33:AF33&gt;0),COLUMN(B33:AF33)),IF((B33:AF33&lt;&gt;INT(B33:AF33))+(B33:AF33&lt;=0),COLUMN(B33:AF33))))</f>
        <v>1</v>
      </c>
      <c r="AJ33" s="182" cm="1">
        <f t="array" ref="AJ33">SUMPRODUCT(--(B33:AF33=INT(B33:AF33)),--(B33:AF33&gt;0))/30*100%</f>
        <v>0.1</v>
      </c>
      <c r="AK33" s="183">
        <f t="shared" ref="AK33:AM33" si="30">RANK(AG33,AG$3:AG$53,0)</f>
        <v>23</v>
      </c>
      <c r="AL33" s="183">
        <f t="shared" si="30"/>
        <v>22</v>
      </c>
      <c r="AM33" s="183">
        <f t="shared" si="30"/>
        <v>18</v>
      </c>
    </row>
    <row r="34" customHeight="1" spans="1:39">
      <c r="A34" s="184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80">
        <f t="shared" si="0"/>
        <v>0</v>
      </c>
      <c r="AH34" s="181" cm="1">
        <f t="array" ref="AH34">SUMPRODUCT(--(B34:AF34=INT(B34:AF34)),--(B34:AF34&gt;0))</f>
        <v>0</v>
      </c>
      <c r="AI34" s="181" cm="1">
        <f t="array" ref="AI34">MAX(FREQUENCY(IF((B34:AF34=INT(B34:AF34))*(B34:AF34&gt;0),COLUMN(B34:AF34)),IF((B34:AF34&lt;&gt;INT(B34:AF34))+(B34:AF34&lt;=0),COLUMN(B34:AF34))))</f>
        <v>0</v>
      </c>
      <c r="AJ34" s="182" cm="1">
        <f t="array" ref="AJ34">SUMPRODUCT(--(B34:AF34=INT(B34:AF34)),--(B34:AF34&gt;0))/30*100%</f>
        <v>0</v>
      </c>
      <c r="AK34" s="183">
        <f t="shared" ref="AK34:AM34" si="31">RANK(AG34,AG$3:AG$53,0)</f>
        <v>40</v>
      </c>
      <c r="AL34" s="183">
        <f t="shared" si="31"/>
        <v>40</v>
      </c>
      <c r="AM34" s="183">
        <f t="shared" si="31"/>
        <v>40</v>
      </c>
    </row>
    <row r="35" customHeight="1" spans="1:39">
      <c r="A35" s="184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80">
        <f t="shared" si="0"/>
        <v>0</v>
      </c>
      <c r="AH35" s="181" cm="1">
        <f t="array" ref="AH35">SUMPRODUCT(--(B35:AF35=INT(B35:AF35)),--(B35:AF35&gt;0))</f>
        <v>0</v>
      </c>
      <c r="AI35" s="181" cm="1">
        <f t="array" ref="AI35">MAX(FREQUENCY(IF((B35:AF35=INT(B35:AF35))*(B35:AF35&gt;0),COLUMN(B35:AF35)),IF((B35:AF35&lt;&gt;INT(B35:AF35))+(B35:AF35&lt;=0),COLUMN(B35:AF35))))</f>
        <v>0</v>
      </c>
      <c r="AJ35" s="182" cm="1">
        <f t="array" ref="AJ35">SUMPRODUCT(--(B35:AF35=INT(B35:AF35)),--(B35:AF35&gt;0))/30*100%</f>
        <v>0</v>
      </c>
      <c r="AK35" s="183">
        <f t="shared" ref="AK35:AM35" si="32">RANK(AG35,AG$3:AG$53,0)</f>
        <v>40</v>
      </c>
      <c r="AL35" s="183">
        <f t="shared" si="32"/>
        <v>40</v>
      </c>
      <c r="AM35" s="183">
        <f t="shared" si="32"/>
        <v>40</v>
      </c>
    </row>
    <row r="36" customHeight="1" spans="1:39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80">
        <f t="shared" ref="AG36:AG53" si="33">SUM(B36:AF36)</f>
        <v>1</v>
      </c>
      <c r="AH36" s="181" cm="1">
        <f t="array" ref="AH36">SUMPRODUCT(--(B36:AF36=INT(B36:AF36)),--(B36:AF36&gt;0))</f>
        <v>1</v>
      </c>
      <c r="AI36" s="181" cm="1">
        <f t="array" ref="AI36">MAX(FREQUENCY(IF((B36:AF36=INT(B36:AF36))*(B36:AF36&gt;0),COLUMN(B36:AF36)),IF((B36:AF36&lt;&gt;INT(B36:AF36))+(B36:AF36&lt;=0),COLUMN(B36:AF36))))</f>
        <v>1</v>
      </c>
      <c r="AJ36" s="182" cm="1">
        <f t="array" ref="AJ36">SUMPRODUCT(--(B36:AF36=INT(B36:AF36)),--(B36:AF36&gt;0))/30*100%</f>
        <v>0.0333333333333333</v>
      </c>
      <c r="AK36" s="183">
        <f t="shared" ref="AK36:AM36" si="34">RANK(AG36,AG$3:AG$53,0)</f>
        <v>34</v>
      </c>
      <c r="AL36" s="183">
        <f t="shared" si="34"/>
        <v>34</v>
      </c>
      <c r="AM36" s="183">
        <f t="shared" si="34"/>
        <v>18</v>
      </c>
    </row>
    <row r="37" customHeight="1" spans="1:39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80">
        <f t="shared" si="33"/>
        <v>7</v>
      </c>
      <c r="AH37" s="181" cm="1">
        <f t="array" ref="AH37">SUMPRODUCT(--(B37:AF37=INT(B37:AF37)),--(B37:AF37&gt;0))</f>
        <v>6</v>
      </c>
      <c r="AI37" s="181" cm="1">
        <f t="array" ref="AI37">MAX(FREQUENCY(IF((B37:AF37=INT(B37:AF37))*(B37:AF37&gt;0),COLUMN(B37:AF37)),IF((B37:AF37&lt;&gt;INT(B37:AF37))+(B37:AF37&lt;=0),COLUMN(B37:AF37))))</f>
        <v>3</v>
      </c>
      <c r="AJ37" s="182" cm="1">
        <f t="array" ref="AJ37">SUMPRODUCT(--(B37:AF37=INT(B37:AF37)),--(B37:AF37&gt;0))/30*100%</f>
        <v>0.2</v>
      </c>
      <c r="AK37" s="183">
        <f t="shared" ref="AK37:AM37" si="35">RANK(AG37,AG$3:AG$53,0)</f>
        <v>17</v>
      </c>
      <c r="AL37" s="183">
        <f t="shared" si="35"/>
        <v>16</v>
      </c>
      <c r="AM37" s="183">
        <f t="shared" si="35"/>
        <v>8</v>
      </c>
    </row>
    <row r="38" customHeight="1" spans="1:39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/>
      <c r="AD38" s="120"/>
      <c r="AE38" s="120"/>
      <c r="AF38" s="120"/>
      <c r="AG38" s="180">
        <f t="shared" si="33"/>
        <v>3</v>
      </c>
      <c r="AH38" s="181" cm="1">
        <f t="array" ref="AH38">SUMPRODUCT(--(B38:AF38=INT(B38:AF38)),--(B38:AF38&gt;0))</f>
        <v>2</v>
      </c>
      <c r="AI38" s="181" cm="1">
        <f t="array" ref="AI38">MAX(FREQUENCY(IF((B38:AF38=INT(B38:AF38))*(B38:AF38&gt;0),COLUMN(B38:AF38)),IF((B38:AF38&lt;&gt;INT(B38:AF38))+(B38:AF38&lt;=0),COLUMN(B38:AF38))))</f>
        <v>1</v>
      </c>
      <c r="AJ38" s="182" cm="1">
        <f t="array" ref="AJ38">SUMPRODUCT(--(B38:AF38=INT(B38:AF38)),--(B38:AF38&gt;0))/30*100%</f>
        <v>0.0666666666666667</v>
      </c>
      <c r="AK38" s="183">
        <f t="shared" ref="AK38:AM38" si="36">RANK(AG38,AG$3:AG$53,0)</f>
        <v>23</v>
      </c>
      <c r="AL38" s="183">
        <f t="shared" si="36"/>
        <v>27</v>
      </c>
      <c r="AM38" s="183">
        <f t="shared" si="36"/>
        <v>18</v>
      </c>
    </row>
    <row r="39" customHeight="1" spans="1:39">
      <c r="A39" s="174">
        <v>37</v>
      </c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  <c r="AB39" s="174"/>
      <c r="AC39" s="174"/>
      <c r="AD39" s="174"/>
      <c r="AE39" s="174"/>
      <c r="AF39" s="174"/>
      <c r="AG39" s="180">
        <f t="shared" si="33"/>
        <v>0</v>
      </c>
      <c r="AH39" s="181" cm="1">
        <f t="array" ref="AH39">SUMPRODUCT(--(B39:AF39=INT(B39:AF39)),--(B39:AF39&gt;0))</f>
        <v>0</v>
      </c>
      <c r="AI39" s="181" cm="1">
        <f t="array" ref="AI39">MAX(FREQUENCY(IF((B39:AF39=INT(B39:AF39))*(B39:AF39&gt;0),COLUMN(B39:AF39)),IF((B39:AF39&lt;&gt;INT(B39:AF39))+(B39:AF39&lt;=0),COLUMN(B39:AF39))))</f>
        <v>0</v>
      </c>
      <c r="AJ39" s="182" cm="1">
        <f t="array" ref="AJ39">SUMPRODUCT(--(B39:AF39=INT(B39:AF39)),--(B39:AF39&gt;0))/30*100%</f>
        <v>0</v>
      </c>
      <c r="AK39" s="185">
        <f t="shared" ref="AK39:AM39" si="37">RANK(AG39,AG$3:AG$53,0)</f>
        <v>40</v>
      </c>
      <c r="AL39" s="185">
        <f t="shared" si="37"/>
        <v>40</v>
      </c>
      <c r="AM39" s="185">
        <f t="shared" si="37"/>
        <v>40</v>
      </c>
    </row>
    <row r="40" customHeight="1" spans="1:39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/>
      <c r="AF40" s="120"/>
      <c r="AG40" s="180">
        <f t="shared" si="33"/>
        <v>21</v>
      </c>
      <c r="AH40" s="181" cm="1">
        <f t="array" ref="AH40">SUMPRODUCT(--(B40:AF40=INT(B40:AF40)),--(B40:AF40&gt;0))</f>
        <v>19</v>
      </c>
      <c r="AI40" s="181" cm="1">
        <f t="array" ref="AI40">MAX(FREQUENCY(IF((B40:AF40=INT(B40:AF40))*(B40:AF40&gt;0),COLUMN(B40:AF40)),IF((B40:AF40&lt;&gt;INT(B40:AF40))+(B40:AF40&lt;=0),COLUMN(B40:AF40))))</f>
        <v>12</v>
      </c>
      <c r="AJ40" s="182" cm="1">
        <f t="array" ref="AJ40">SUMPRODUCT(--(B40:AF40=INT(B40:AF40)),--(B40:AF40&gt;0))/30*100%</f>
        <v>0.633333333333333</v>
      </c>
      <c r="AK40" s="183">
        <f t="shared" ref="AK40:AM40" si="38">RANK(AG40,AG$3:AG$53,0)</f>
        <v>2</v>
      </c>
      <c r="AL40" s="183">
        <f t="shared" si="38"/>
        <v>2</v>
      </c>
      <c r="AM40" s="183">
        <f t="shared" si="38"/>
        <v>1</v>
      </c>
    </row>
    <row r="41" customHeight="1" spans="1:39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/>
      <c r="AG41" s="180">
        <f t="shared" si="33"/>
        <v>8</v>
      </c>
      <c r="AH41" s="181" cm="1">
        <f t="array" ref="AH41">SUMPRODUCT(--(B41:AF41=INT(B41:AF41)),--(B41:AF41&gt;0))</f>
        <v>6</v>
      </c>
      <c r="AI41" s="181" cm="1">
        <f t="array" ref="AI41">MAX(FREQUENCY(IF((B41:AF41=INT(B41:AF41))*(B41:AF41&gt;0),COLUMN(B41:AF41)),IF((B41:AF41&lt;&gt;INT(B41:AF41))+(B41:AF41&lt;=0),COLUMN(B41:AF41))))</f>
        <v>1</v>
      </c>
      <c r="AJ41" s="182" cm="1">
        <f t="array" ref="AJ41">SUMPRODUCT(--(B41:AF41=INT(B41:AF41)),--(B41:AF41&gt;0))/30*100%</f>
        <v>0.2</v>
      </c>
      <c r="AK41" s="183">
        <f t="shared" ref="AK41:AM41" si="39">RANK(AG41,AG$3:AG$53,0)</f>
        <v>11</v>
      </c>
      <c r="AL41" s="183">
        <f t="shared" si="39"/>
        <v>16</v>
      </c>
      <c r="AM41" s="183">
        <f t="shared" si="39"/>
        <v>18</v>
      </c>
    </row>
    <row r="42" customHeight="1" spans="1:39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/>
      <c r="AG42" s="180">
        <f t="shared" si="33"/>
        <v>13</v>
      </c>
      <c r="AH42" s="181" cm="1">
        <f t="array" ref="AH42">SUMPRODUCT(--(B42:AF42=INT(B42:AF42)),--(B42:AF42&gt;0))</f>
        <v>11</v>
      </c>
      <c r="AI42" s="181" cm="1">
        <f t="array" ref="AI42">MAX(FREQUENCY(IF((B42:AF42=INT(B42:AF42))*(B42:AF42&gt;0),COLUMN(B42:AF42)),IF((B42:AF42&lt;&gt;INT(B42:AF42))+(B42:AF42&lt;=0),COLUMN(B42:AF42))))</f>
        <v>5</v>
      </c>
      <c r="AJ42" s="182" cm="1">
        <f t="array" ref="AJ42">SUMPRODUCT(--(B42:AF42=INT(B42:AF42)),--(B42:AF42&gt;0))/30*100%</f>
        <v>0.366666666666667</v>
      </c>
      <c r="AK42" s="183">
        <f t="shared" ref="AK42:AM42" si="40">RANK(AG42,AG$3:AG$53,0)</f>
        <v>5</v>
      </c>
      <c r="AL42" s="183">
        <f t="shared" si="40"/>
        <v>5</v>
      </c>
      <c r="AM42" s="183">
        <f t="shared" si="40"/>
        <v>3</v>
      </c>
    </row>
    <row r="43" customHeight="1" spans="1:39">
      <c r="A43" s="184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80">
        <f t="shared" si="33"/>
        <v>0</v>
      </c>
      <c r="AH43" s="181" cm="1">
        <f t="array" ref="AH43">SUMPRODUCT(--(B43:AF43=INT(B43:AF43)),--(B43:AF43&gt;0))</f>
        <v>0</v>
      </c>
      <c r="AI43" s="181" cm="1">
        <f t="array" ref="AI43">MAX(FREQUENCY(IF((B43:AF43=INT(B43:AF43))*(B43:AF43&gt;0),COLUMN(B43:AF43)),IF((B43:AF43&lt;&gt;INT(B43:AF43))+(B43:AF43&lt;=0),COLUMN(B43:AF43))))</f>
        <v>0</v>
      </c>
      <c r="AJ43" s="182" cm="1">
        <f t="array" ref="AJ43">SUMPRODUCT(--(B43:AF43=INT(B43:AF43)),--(B43:AF43&gt;0))/30*100%</f>
        <v>0</v>
      </c>
      <c r="AK43" s="183">
        <f t="shared" ref="AK43:AM43" si="41">RANK(AG43,AG$3:AG$53,0)</f>
        <v>40</v>
      </c>
      <c r="AL43" s="183">
        <f t="shared" si="41"/>
        <v>40</v>
      </c>
      <c r="AM43" s="183">
        <f t="shared" si="41"/>
        <v>40</v>
      </c>
    </row>
    <row r="44" customHeight="1" spans="1:39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/>
      <c r="AF44" s="120"/>
      <c r="AG44" s="180">
        <f t="shared" si="33"/>
        <v>16</v>
      </c>
      <c r="AH44" s="181" cm="1">
        <f t="array" ref="AH44">SUMPRODUCT(--(B44:AF44=INT(B44:AF44)),--(B44:AF44&gt;0))</f>
        <v>13</v>
      </c>
      <c r="AI44" s="181" cm="1">
        <f t="array" ref="AI44">MAX(FREQUENCY(IF((B44:AF44=INT(B44:AF44))*(B44:AF44&gt;0),COLUMN(B44:AF44)),IF((B44:AF44&lt;&gt;INT(B44:AF44))+(B44:AF44&lt;=0),COLUMN(B44:AF44))))</f>
        <v>5</v>
      </c>
      <c r="AJ44" s="182" cm="1">
        <f t="array" ref="AJ44">SUMPRODUCT(--(B44:AF44=INT(B44:AF44)),--(B44:AF44&gt;0))/30*100%</f>
        <v>0.433333333333333</v>
      </c>
      <c r="AK44" s="183">
        <f t="shared" ref="AK44:AM44" si="42">RANK(AG44,AG$3:AG$53,0)</f>
        <v>3</v>
      </c>
      <c r="AL44" s="183">
        <f t="shared" si="42"/>
        <v>4</v>
      </c>
      <c r="AM44" s="183">
        <f t="shared" si="42"/>
        <v>3</v>
      </c>
    </row>
    <row r="45" customHeight="1" spans="1:39">
      <c r="A45" s="184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80">
        <f t="shared" si="33"/>
        <v>0</v>
      </c>
      <c r="AH45" s="181" cm="1">
        <f t="array" ref="AH45">SUMPRODUCT(--(B45:AF45=INT(B45:AF45)),--(B45:AF45&gt;0))</f>
        <v>0</v>
      </c>
      <c r="AI45" s="181" cm="1">
        <f t="array" ref="AI45">MAX(FREQUENCY(IF((B45:AF45=INT(B45:AF45))*(B45:AF45&gt;0),COLUMN(B45:AF45)),IF((B45:AF45&lt;&gt;INT(B45:AF45))+(B45:AF45&lt;=0),COLUMN(B45:AF45))))</f>
        <v>0</v>
      </c>
      <c r="AJ45" s="182" cm="1">
        <f t="array" ref="AJ45">SUMPRODUCT(--(B45:AF45=INT(B45:AF45)),--(B45:AF45&gt;0))/30*100%</f>
        <v>0</v>
      </c>
      <c r="AK45" s="183">
        <f t="shared" ref="AK45:AM45" si="43">RANK(AG45,AG$3:AG$53,0)</f>
        <v>40</v>
      </c>
      <c r="AL45" s="183">
        <f t="shared" si="43"/>
        <v>40</v>
      </c>
      <c r="AM45" s="183">
        <f t="shared" si="43"/>
        <v>40</v>
      </c>
    </row>
    <row r="46" customHeight="1" spans="1:39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/>
      <c r="AF46" s="120"/>
      <c r="AG46" s="180">
        <f t="shared" si="33"/>
        <v>29</v>
      </c>
      <c r="AH46" s="181" cm="1">
        <f t="array" ref="AH46">SUMPRODUCT(--(B46:AF46=INT(B46:AF46)),--(B46:AF46&gt;0))</f>
        <v>20</v>
      </c>
      <c r="AI46" s="181" cm="1">
        <f t="array" ref="AI46">MAX(FREQUENCY(IF((B46:AF46=INT(B46:AF46))*(B46:AF46&gt;0),COLUMN(B46:AF46)),IF((B46:AF46&lt;&gt;INT(B46:AF46))+(B46:AF46&lt;=0),COLUMN(B46:AF46))))</f>
        <v>8</v>
      </c>
      <c r="AJ46" s="182" cm="1">
        <f t="array" ref="AJ46">SUMPRODUCT(--(B46:AF46=INT(B46:AF46)),--(B46:AF46&gt;0))/30*100%</f>
        <v>0.666666666666667</v>
      </c>
      <c r="AK46" s="183">
        <f t="shared" ref="AK46:AM46" si="44">RANK(AG46,AG$3:AG$53,0)</f>
        <v>1</v>
      </c>
      <c r="AL46" s="183">
        <f t="shared" si="44"/>
        <v>1</v>
      </c>
      <c r="AM46" s="183">
        <f t="shared" si="44"/>
        <v>2</v>
      </c>
    </row>
    <row r="47" customHeight="1" spans="1:39">
      <c r="A47" s="184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80">
        <f t="shared" si="33"/>
        <v>0</v>
      </c>
      <c r="AH47" s="181" cm="1">
        <f t="array" ref="AH47">SUMPRODUCT(--(B47:AF47=INT(B47:AF47)),--(B47:AF47&gt;0))</f>
        <v>0</v>
      </c>
      <c r="AI47" s="181" cm="1">
        <f t="array" ref="AI47">MAX(FREQUENCY(IF((B47:AF47=INT(B47:AF47))*(B47:AF47&gt;0),COLUMN(B47:AF47)),IF((B47:AF47&lt;&gt;INT(B47:AF47))+(B47:AF47&lt;=0),COLUMN(B47:AF47))))</f>
        <v>0</v>
      </c>
      <c r="AJ47" s="182" cm="1">
        <f t="array" ref="AJ47">SUMPRODUCT(--(B47:AF47=INT(B47:AF47)),--(B47:AF47&gt;0))/30*100%</f>
        <v>0</v>
      </c>
      <c r="AK47" s="183">
        <f t="shared" ref="AK47:AM47" si="45">RANK(AG47,AG$3:AG$53,0)</f>
        <v>40</v>
      </c>
      <c r="AL47" s="183">
        <f t="shared" si="45"/>
        <v>40</v>
      </c>
      <c r="AM47" s="183">
        <f t="shared" si="45"/>
        <v>40</v>
      </c>
    </row>
    <row r="48" customHeight="1" spans="1:39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/>
      <c r="AD48" s="120"/>
      <c r="AE48" s="120"/>
      <c r="AF48" s="120"/>
      <c r="AG48" s="180">
        <f t="shared" si="33"/>
        <v>6</v>
      </c>
      <c r="AH48" s="181" cm="1">
        <f t="array" ref="AH48">SUMPRODUCT(--(B48:AF48=INT(B48:AF48)),--(B48:AF48&gt;0))</f>
        <v>6</v>
      </c>
      <c r="AI48" s="181" cm="1">
        <f t="array" ref="AI48">MAX(FREQUENCY(IF((B48:AF48=INT(B48:AF48))*(B48:AF48&gt;0),COLUMN(B48:AF48)),IF((B48:AF48&lt;&gt;INT(B48:AF48))+(B48:AF48&lt;=0),COLUMN(B48:AF48))))</f>
        <v>2</v>
      </c>
      <c r="AJ48" s="182" cm="1">
        <f t="array" ref="AJ48">SUMPRODUCT(--(B48:AF48=INT(B48:AF48)),--(B48:AF48&gt;0))/30*100%</f>
        <v>0.2</v>
      </c>
      <c r="AK48" s="183">
        <f t="shared" ref="AK48:AM48" si="46">RANK(AG48,AG$3:AG$53,0)</f>
        <v>18</v>
      </c>
      <c r="AL48" s="183">
        <f t="shared" si="46"/>
        <v>16</v>
      </c>
      <c r="AM48" s="183">
        <f t="shared" si="46"/>
        <v>13</v>
      </c>
    </row>
    <row r="49" customHeight="1" spans="1:39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80">
        <f t="shared" si="33"/>
        <v>3</v>
      </c>
      <c r="AH49" s="181" cm="1">
        <f t="array" ref="AH49">SUMPRODUCT(--(B49:AF49=INT(B49:AF49)),--(B49:AF49&gt;0))</f>
        <v>3</v>
      </c>
      <c r="AI49" s="181" cm="1">
        <f t="array" ref="AI49">MAX(FREQUENCY(IF((B49:AF49=INT(B49:AF49))*(B49:AF49&gt;0),COLUMN(B49:AF49)),IF((B49:AF49&lt;&gt;INT(B49:AF49))+(B49:AF49&lt;=0),COLUMN(B49:AF49))))</f>
        <v>1</v>
      </c>
      <c r="AJ49" s="182" cm="1">
        <f t="array" ref="AJ49">SUMPRODUCT(--(B49:AF49=INT(B49:AF49)),--(B49:AF49&gt;0))/30*100%</f>
        <v>0.1</v>
      </c>
      <c r="AK49" s="183">
        <f t="shared" ref="AK49:AM49" si="47">RANK(AG49,AG$3:AG$53,0)</f>
        <v>23</v>
      </c>
      <c r="AL49" s="183">
        <f t="shared" si="47"/>
        <v>22</v>
      </c>
      <c r="AM49" s="183">
        <f t="shared" si="47"/>
        <v>18</v>
      </c>
    </row>
    <row r="50" customHeight="1" spans="1:39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80">
        <f t="shared" si="33"/>
        <v>3</v>
      </c>
      <c r="AH50" s="181" cm="1">
        <f t="array" ref="AH50">SUMPRODUCT(--(B50:AF50=INT(B50:AF50)),--(B50:AF50&gt;0))</f>
        <v>3</v>
      </c>
      <c r="AI50" s="181" cm="1">
        <f t="array" ref="AI50">MAX(FREQUENCY(IF((B50:AF50=INT(B50:AF50))*(B50:AF50&gt;0),COLUMN(B50:AF50)),IF((B50:AF50&lt;&gt;INT(B50:AF50))+(B50:AF50&lt;=0),COLUMN(B50:AF50))))</f>
        <v>1</v>
      </c>
      <c r="AJ50" s="182" cm="1">
        <f t="array" ref="AJ50">SUMPRODUCT(--(B50:AF50=INT(B50:AF50)),--(B50:AF50&gt;0))/30*100%</f>
        <v>0.1</v>
      </c>
      <c r="AK50" s="183">
        <f t="shared" ref="AK50:AM50" si="48">RANK(AG50,AG$3:AG$53,0)</f>
        <v>23</v>
      </c>
      <c r="AL50" s="183">
        <f t="shared" si="48"/>
        <v>22</v>
      </c>
      <c r="AM50" s="183">
        <f t="shared" si="48"/>
        <v>18</v>
      </c>
    </row>
    <row r="51" customHeight="1" spans="1:39">
      <c r="A51" s="184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80">
        <f t="shared" si="33"/>
        <v>0</v>
      </c>
      <c r="AH51" s="181" cm="1">
        <f t="array" ref="AH51">SUMPRODUCT(--(B51:AF51=INT(B51:AF51)),--(B51:AF51&gt;0))</f>
        <v>0</v>
      </c>
      <c r="AI51" s="181" cm="1">
        <f t="array" ref="AI51">MAX(FREQUENCY(IF((B51:AF51=INT(B51:AF51))*(B51:AF51&gt;0),COLUMN(B51:AF51)),IF((B51:AF51&lt;&gt;INT(B51:AF51))+(B51:AF51&lt;=0),COLUMN(B51:AF51))))</f>
        <v>0</v>
      </c>
      <c r="AJ51" s="182" cm="1">
        <f t="array" ref="AJ51">SUMPRODUCT(--(B51:AF51=INT(B51:AF51)),--(B51:AF51&gt;0))/30*100%</f>
        <v>0</v>
      </c>
      <c r="AK51" s="183">
        <f t="shared" ref="AK51:AM51" si="49">RANK(AG51,AG$3:AG$53,0)</f>
        <v>40</v>
      </c>
      <c r="AL51" s="183">
        <f t="shared" si="49"/>
        <v>40</v>
      </c>
      <c r="AM51" s="183">
        <f t="shared" si="49"/>
        <v>40</v>
      </c>
    </row>
    <row r="52" customHeight="1" spans="1:39">
      <c r="A52" s="184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80">
        <f t="shared" si="33"/>
        <v>0</v>
      </c>
      <c r="AH52" s="181" cm="1">
        <f t="array" ref="AH52">SUMPRODUCT(--(B52:AF52=INT(B52:AF52)),--(B52:AF52&gt;0))</f>
        <v>0</v>
      </c>
      <c r="AI52" s="181" cm="1">
        <f t="array" ref="AI52">MAX(FREQUENCY(IF((B52:AF52=INT(B52:AF52))*(B52:AF52&gt;0),COLUMN(B52:AF52)),IF((B52:AF52&lt;&gt;INT(B52:AF52))+(B52:AF52&lt;=0),COLUMN(B52:AF52))))</f>
        <v>0</v>
      </c>
      <c r="AJ52" s="182" cm="1">
        <f t="array" ref="AJ52">SUMPRODUCT(--(B52:AF52=INT(B52:AF52)),--(B52:AF52&gt;0))/30*100%</f>
        <v>0</v>
      </c>
      <c r="AK52" s="183">
        <f t="shared" ref="AK52:AM52" si="50">RANK(AG52,AG$3:AG$53,0)</f>
        <v>40</v>
      </c>
      <c r="AL52" s="183">
        <f t="shared" si="50"/>
        <v>40</v>
      </c>
      <c r="AM52" s="183">
        <f t="shared" si="50"/>
        <v>40</v>
      </c>
    </row>
    <row r="53" customHeight="1" spans="1:39">
      <c r="A53" s="184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80">
        <f t="shared" si="33"/>
        <v>0</v>
      </c>
      <c r="AH53" s="181" cm="1">
        <f t="array" ref="AH53">SUMPRODUCT(--(B53:AF53=INT(B53:AF53)),--(B53:AF53&gt;0))</f>
        <v>0</v>
      </c>
      <c r="AI53" s="181" cm="1">
        <f t="array" ref="AI53">MAX(FREQUENCY(IF((B53:AF53=INT(B53:AF53))*(B53:AF53&gt;0),COLUMN(B53:AF53)),IF((B53:AF53&lt;&gt;INT(B53:AF53))+(B53:AF53&lt;=0),COLUMN(B53:AF53))))</f>
        <v>0</v>
      </c>
      <c r="AJ53" s="182" cm="1">
        <f t="array" ref="AJ53">SUMPRODUCT(--(B53:AF53=INT(B53:AF53)),--(B53:AF53&gt;0))/30*100%</f>
        <v>0</v>
      </c>
      <c r="AK53" s="183">
        <f t="shared" ref="AK53:AM53" si="51">RANK(AG53,AG$3:AG$53,0)</f>
        <v>40</v>
      </c>
      <c r="AL53" s="183">
        <f t="shared" si="51"/>
        <v>40</v>
      </c>
      <c r="AM53" s="183">
        <f t="shared" si="51"/>
        <v>40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28:X33 Z28:AM33 A34:AM35 A36:X36 Z36:AM36 A37:AM37 A38:X38 Z38:AM38 A39:AM39 A42:X42 Z41:AM42 AC40:AM40 A43:AM43 A44:W44 Z44:AM44 A45:AM45 A46:X46 AA46 AC46:AM46 A47:AM47 A48:X49 Z48:AM49 A50:AM53 X41 A40:V41 A9:X10 Z9:AM10 AB11:AM11 A11:Z11 A12:X15 AB15:AM15 Z15 Z14:AM14 AB13:AM13 Z13 Z12:AM12 A16:AM16 A17:X18 Z17:AM18 A19:AM21 A22:X22 AA22:AM22 A23:AM23 A24:X25 Z24:AM25 A26:AM27 X8:AM8 A8:V8 A1:AM2 A3:X4 Z3:AM4 A5:AM7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274</v>
      </c>
      <c r="B2" s="152" t="s">
        <v>275</v>
      </c>
      <c r="C2" s="153" t="s">
        <v>276</v>
      </c>
      <c r="D2" s="154"/>
      <c r="E2" s="152" t="s">
        <v>275</v>
      </c>
      <c r="F2" s="152"/>
      <c r="G2" s="155" t="s">
        <v>277</v>
      </c>
      <c r="H2" s="147"/>
      <c r="I2" s="147"/>
      <c r="J2" s="156"/>
    </row>
    <row r="3" ht="16.5" spans="1:10">
      <c r="A3" s="148" t="s">
        <v>278</v>
      </c>
      <c r="B3" s="157" t="s">
        <v>279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280</v>
      </c>
      <c r="B4" s="158" t="s">
        <v>234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281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282</v>
      </c>
      <c r="B6" s="161">
        <v>1</v>
      </c>
      <c r="C6" s="161"/>
      <c r="D6" s="161"/>
      <c r="E6" s="161"/>
      <c r="F6" s="161"/>
      <c r="G6" s="162" t="s">
        <v>283</v>
      </c>
      <c r="H6" s="147"/>
      <c r="I6" s="147"/>
      <c r="J6" s="156"/>
    </row>
    <row r="7" ht="16.5" spans="1:10">
      <c r="A7" s="148" t="s">
        <v>284</v>
      </c>
      <c r="B7" s="163" t="s">
        <v>285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286</v>
      </c>
      <c r="B8" s="165">
        <v>1</v>
      </c>
      <c r="C8" s="165"/>
      <c r="D8" s="166" t="s">
        <v>287</v>
      </c>
      <c r="E8" s="166"/>
      <c r="F8" s="166"/>
      <c r="G8" s="165"/>
      <c r="H8" s="147"/>
      <c r="I8" s="147"/>
      <c r="J8" s="156"/>
    </row>
    <row r="9" ht="16.5" spans="1:10">
      <c r="A9" s="148" t="s">
        <v>288</v>
      </c>
      <c r="B9" s="152" t="s">
        <v>289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290</v>
      </c>
      <c r="B10" s="157">
        <v>1</v>
      </c>
      <c r="C10" s="157"/>
      <c r="D10" s="167" t="s">
        <v>291</v>
      </c>
      <c r="E10" s="157">
        <v>1</v>
      </c>
      <c r="F10" s="167" t="s">
        <v>291</v>
      </c>
      <c r="G10" s="147" t="s">
        <v>292</v>
      </c>
      <c r="H10" s="147"/>
      <c r="I10" s="147"/>
      <c r="J10" s="156"/>
    </row>
    <row r="11" ht="16.5" spans="1:10">
      <c r="A11" s="148" t="s">
        <v>293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294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295</v>
      </c>
      <c r="B13" s="2" t="s">
        <v>292</v>
      </c>
      <c r="C13" s="2"/>
      <c r="D13" s="2"/>
      <c r="E13" s="2"/>
      <c r="F13" s="2"/>
      <c r="G13" s="168" t="s">
        <v>296</v>
      </c>
      <c r="H13" s="1"/>
      <c r="I13" s="1"/>
      <c r="J13" s="169"/>
    </row>
    <row r="14" s="1" customFormat="1" ht="16.5" spans="1:10">
      <c r="A14" s="148" t="s">
        <v>297</v>
      </c>
      <c r="B14" s="170" t="s">
        <v>292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298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299</v>
      </c>
      <c r="B2" s="126" t="s">
        <v>300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301</v>
      </c>
      <c r="C3" s="127" t="s">
        <v>28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302</v>
      </c>
      <c r="C5" s="127" t="s">
        <v>31</v>
      </c>
      <c r="D5" s="128"/>
      <c r="E5" s="128"/>
      <c r="F5" s="129"/>
    </row>
    <row r="6" s="118" customFormat="1" spans="1:9">
      <c r="A6" s="130"/>
      <c r="B6" s="126" t="s">
        <v>303</v>
      </c>
      <c r="C6" s="15" t="s">
        <v>19</v>
      </c>
      <c r="D6" s="131" t="s">
        <v>97</v>
      </c>
      <c r="E6" s="132"/>
      <c r="F6" s="133"/>
    </row>
    <row r="7" s="118" customFormat="1" spans="1:9">
      <c r="A7" s="130"/>
      <c r="B7" s="126"/>
      <c r="C7" s="15" t="s">
        <v>50</v>
      </c>
      <c r="D7" s="118" t="s">
        <v>76</v>
      </c>
      <c r="E7" s="131" t="s">
        <v>88</v>
      </c>
      <c r="F7" s="133"/>
    </row>
    <row r="8" s="118" customFormat="1" spans="1:9">
      <c r="A8" s="130"/>
      <c r="B8" s="126" t="s">
        <v>304</v>
      </c>
      <c r="C8" s="15" t="s">
        <v>14</v>
      </c>
      <c r="D8" s="131" t="s">
        <v>81</v>
      </c>
      <c r="E8" s="132"/>
      <c r="F8" s="133"/>
    </row>
    <row r="9" s="118" customFormat="1" spans="1:9">
      <c r="A9" s="130"/>
      <c r="B9" s="126" t="s">
        <v>305</v>
      </c>
      <c r="C9" s="127" t="s">
        <v>24</v>
      </c>
      <c r="D9" s="128"/>
      <c r="E9" s="128"/>
      <c r="F9" s="129"/>
    </row>
    <row r="10" s="118" customFormat="1" spans="1:9">
      <c r="A10" s="130"/>
      <c r="B10" s="126" t="s">
        <v>306</v>
      </c>
      <c r="C10" s="127" t="s">
        <v>34</v>
      </c>
      <c r="D10" s="128"/>
      <c r="E10" s="128"/>
      <c r="F10" s="129"/>
    </row>
    <row r="11" s="118" customFormat="1" spans="1:9">
      <c r="A11" s="134"/>
      <c r="B11" s="126" t="s">
        <v>307</v>
      </c>
      <c r="C11" s="127" t="s">
        <v>69</v>
      </c>
      <c r="D11" s="128"/>
      <c r="E11" s="128"/>
      <c r="F11" s="129"/>
    </row>
    <row r="12" s="119" customFormat="1" spans="1:9">
      <c r="A12" s="135" t="s">
        <v>308</v>
      </c>
      <c r="B12" s="136" t="s">
        <v>309</v>
      </c>
      <c r="C12" s="137" t="s">
        <v>88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38</v>
      </c>
      <c r="D13" s="142"/>
      <c r="E13" s="142"/>
      <c r="F13" s="138"/>
    </row>
    <row r="14" s="119" customFormat="1" spans="1:9">
      <c r="A14" s="141"/>
      <c r="B14" s="136" t="s">
        <v>310</v>
      </c>
      <c r="C14" s="137" t="s">
        <v>311</v>
      </c>
      <c r="D14" s="142"/>
      <c r="E14" s="138"/>
      <c r="F14" s="140" t="s">
        <v>34</v>
      </c>
    </row>
    <row r="15" s="119" customFormat="1" spans="1:9">
      <c r="A15" s="141"/>
      <c r="B15" s="136" t="s">
        <v>312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313</v>
      </c>
      <c r="C17" s="137" t="s">
        <v>27</v>
      </c>
      <c r="D17" s="142"/>
      <c r="E17" s="142"/>
      <c r="F17" s="138"/>
    </row>
    <row r="18" s="119" customFormat="1" spans="1:7">
      <c r="A18" s="141"/>
      <c r="B18" s="136" t="s">
        <v>314</v>
      </c>
      <c r="C18" s="137" t="s">
        <v>42</v>
      </c>
      <c r="D18" s="142"/>
      <c r="E18" s="142"/>
      <c r="F18" s="138"/>
    </row>
    <row r="19" s="119" customFormat="1" spans="1:7">
      <c r="A19" s="141"/>
      <c r="B19" s="136" t="s">
        <v>315</v>
      </c>
      <c r="C19" s="137" t="s">
        <v>81</v>
      </c>
      <c r="D19" s="142"/>
      <c r="E19" s="142"/>
      <c r="F19" s="138"/>
    </row>
    <row r="20" s="119" customFormat="1" spans="1:7">
      <c r="A20" s="141"/>
      <c r="B20" s="136" t="s">
        <v>316</v>
      </c>
      <c r="C20" s="137" t="s">
        <v>84</v>
      </c>
      <c r="D20" s="142"/>
      <c r="E20" s="142"/>
      <c r="F20" s="138"/>
    </row>
    <row r="21" s="119" customFormat="1" spans="1:7">
      <c r="A21" s="141"/>
      <c r="B21" s="136" t="s">
        <v>317</v>
      </c>
      <c r="C21" s="143"/>
      <c r="D21" s="144"/>
      <c r="E21" s="139" t="s">
        <v>25</v>
      </c>
      <c r="F21" s="140"/>
    </row>
    <row r="22" s="119" customFormat="1" spans="1:7">
      <c r="A22" s="145"/>
      <c r="B22" s="136" t="s">
        <v>318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319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320</v>
      </c>
      <c r="B3" s="101"/>
      <c r="C3" s="102"/>
      <c r="D3" s="103" t="s">
        <v>42</v>
      </c>
      <c r="E3" s="103" t="s">
        <v>100</v>
      </c>
      <c r="F3" s="104"/>
      <c r="G3" s="104"/>
      <c r="H3" s="105"/>
      <c r="I3" s="105"/>
    </row>
    <row r="4" s="93" customFormat="1" customHeight="1" spans="1:16">
      <c r="A4" s="106"/>
      <c r="B4" s="102" t="s">
        <v>33</v>
      </c>
      <c r="C4" s="102" t="s">
        <v>42</v>
      </c>
      <c r="D4" s="103" t="s">
        <v>27</v>
      </c>
      <c r="E4" s="103" t="s">
        <v>7</v>
      </c>
      <c r="F4" s="104" t="s">
        <v>65</v>
      </c>
      <c r="G4" s="104" t="s">
        <v>76</v>
      </c>
      <c r="H4" s="105" t="s">
        <v>100</v>
      </c>
      <c r="I4" s="105" t="s">
        <v>88</v>
      </c>
    </row>
    <row r="5" s="93" customFormat="1" customHeight="1" spans="1:16">
      <c r="A5" s="106"/>
      <c r="B5" s="102" t="s">
        <v>38</v>
      </c>
      <c r="C5" s="102" t="s">
        <v>36</v>
      </c>
      <c r="D5" s="103" t="s">
        <v>109</v>
      </c>
      <c r="E5" s="103" t="s">
        <v>79</v>
      </c>
      <c r="F5" s="104" t="s">
        <v>19</v>
      </c>
      <c r="G5" s="104" t="s">
        <v>57</v>
      </c>
      <c r="H5" s="105" t="s">
        <v>49</v>
      </c>
      <c r="I5" s="105" t="s">
        <v>29</v>
      </c>
    </row>
    <row r="6" s="93" customFormat="1" customHeight="1" spans="1:16">
      <c r="A6" s="106"/>
      <c r="B6" s="102" t="s">
        <v>70</v>
      </c>
      <c r="C6" s="102" t="s">
        <v>28</v>
      </c>
      <c r="D6" s="103" t="s">
        <v>40</v>
      </c>
      <c r="E6" s="103" t="s">
        <v>73</v>
      </c>
      <c r="F6" s="104" t="s">
        <v>69</v>
      </c>
      <c r="G6" s="104" t="s">
        <v>25</v>
      </c>
      <c r="H6" s="105" t="s">
        <v>34</v>
      </c>
      <c r="I6" s="105" t="s">
        <v>101</v>
      </c>
    </row>
    <row r="7" s="93" customFormat="1" customHeight="1" spans="1:16">
      <c r="A7" s="106"/>
      <c r="B7" s="102" t="s">
        <v>23</v>
      </c>
      <c r="C7" s="102" t="s">
        <v>72</v>
      </c>
      <c r="D7" s="103" t="s">
        <v>10</v>
      </c>
      <c r="E7" s="103" t="s">
        <v>71</v>
      </c>
      <c r="F7" s="104" t="s">
        <v>84</v>
      </c>
      <c r="G7" s="104" t="s">
        <v>107</v>
      </c>
      <c r="H7" s="105" t="s">
        <v>61</v>
      </c>
      <c r="I7" s="105" t="s">
        <v>17</v>
      </c>
    </row>
    <row r="8" s="93" customFormat="1" customHeight="1" spans="1:16">
      <c r="A8" s="106"/>
      <c r="B8" s="102" t="s">
        <v>95</v>
      </c>
      <c r="C8" s="102" t="s">
        <v>31</v>
      </c>
      <c r="D8" s="103" t="s">
        <v>58</v>
      </c>
      <c r="E8" s="103" t="s">
        <v>13</v>
      </c>
      <c r="F8" s="104" t="s">
        <v>92</v>
      </c>
      <c r="G8" s="104" t="s">
        <v>50</v>
      </c>
      <c r="H8" s="105" t="s">
        <v>74</v>
      </c>
      <c r="I8" s="105" t="s">
        <v>93</v>
      </c>
    </row>
    <row r="9" s="93" customFormat="1" customHeight="1" spans="1:16">
      <c r="A9" s="106"/>
      <c r="B9" s="102" t="s">
        <v>106</v>
      </c>
      <c r="C9" s="102" t="s">
        <v>56</v>
      </c>
      <c r="D9" s="103" t="s">
        <v>66</v>
      </c>
      <c r="E9" s="103" t="s">
        <v>97</v>
      </c>
      <c r="F9" s="104" t="s">
        <v>45</v>
      </c>
      <c r="G9" s="104" t="s">
        <v>103</v>
      </c>
      <c r="H9" s="105" t="s">
        <v>52</v>
      </c>
      <c r="I9" s="105" t="s">
        <v>81</v>
      </c>
    </row>
    <row r="10" s="93" customFormat="1" customHeight="1" spans="1:16">
      <c r="A10" s="107"/>
      <c r="B10" s="108"/>
      <c r="C10" s="109"/>
      <c r="D10" s="110" t="s">
        <v>110</v>
      </c>
      <c r="E10" s="111"/>
      <c r="F10" s="112"/>
      <c r="G10" s="112"/>
      <c r="H10" s="112"/>
      <c r="I10" s="113"/>
    </row>
    <row r="11" s="93" customFormat="1" customHeight="1" spans="1:16">
      <c r="A11" s="100" t="s">
        <v>321</v>
      </c>
      <c r="B11" s="101"/>
      <c r="C11" s="102"/>
      <c r="D11" s="103" t="s">
        <v>42</v>
      </c>
      <c r="E11" s="103" t="s">
        <v>100</v>
      </c>
      <c r="F11" s="104"/>
      <c r="G11" s="104"/>
      <c r="H11" s="105"/>
      <c r="I11" s="105"/>
    </row>
    <row r="12" s="93" customFormat="1" customHeight="1" spans="1:16">
      <c r="A12" s="106"/>
      <c r="B12" s="102" t="s">
        <v>49</v>
      </c>
      <c r="C12" s="102" t="s">
        <v>88</v>
      </c>
      <c r="D12" s="103" t="s">
        <v>57</v>
      </c>
      <c r="E12" s="103" t="s">
        <v>109</v>
      </c>
      <c r="F12" s="104" t="s">
        <v>14</v>
      </c>
      <c r="G12" s="104" t="s">
        <v>76</v>
      </c>
      <c r="H12" s="105" t="s">
        <v>33</v>
      </c>
      <c r="I12" s="105" t="s">
        <v>24</v>
      </c>
    </row>
    <row r="13" s="93" customFormat="1" customHeight="1" spans="1:16">
      <c r="A13" s="106"/>
      <c r="B13" s="102" t="s">
        <v>79</v>
      </c>
      <c r="C13" s="102" t="s">
        <v>29</v>
      </c>
      <c r="D13" s="103" t="s">
        <v>7</v>
      </c>
      <c r="E13" s="103" t="s">
        <v>27</v>
      </c>
      <c r="F13" s="104" t="s">
        <v>19</v>
      </c>
      <c r="G13" s="104" t="s">
        <v>65</v>
      </c>
      <c r="H13" s="105" t="s">
        <v>38</v>
      </c>
      <c r="I13" s="105" t="s">
        <v>36</v>
      </c>
    </row>
    <row r="14" s="93" customFormat="1" customHeight="1" spans="1:16">
      <c r="A14" s="106"/>
      <c r="B14" s="102" t="s">
        <v>70</v>
      </c>
      <c r="C14" s="102" t="s">
        <v>40</v>
      </c>
      <c r="D14" s="103" t="s">
        <v>34</v>
      </c>
      <c r="E14" s="103" t="s">
        <v>101</v>
      </c>
      <c r="F14" s="104" t="s">
        <v>107</v>
      </c>
      <c r="G14" s="104" t="s">
        <v>71</v>
      </c>
      <c r="H14" s="105" t="s">
        <v>73</v>
      </c>
      <c r="I14" s="105" t="s">
        <v>28</v>
      </c>
    </row>
    <row r="15" s="93" customFormat="1" customHeight="1" spans="1:16">
      <c r="A15" s="106"/>
      <c r="B15" s="102" t="s">
        <v>23</v>
      </c>
      <c r="C15" s="102" t="s">
        <v>72</v>
      </c>
      <c r="D15" s="103" t="s">
        <v>10</v>
      </c>
      <c r="E15" s="103" t="s">
        <v>61</v>
      </c>
      <c r="F15" s="104" t="s">
        <v>25</v>
      </c>
      <c r="G15" s="104" t="s">
        <v>69</v>
      </c>
      <c r="H15" s="105" t="s">
        <v>17</v>
      </c>
      <c r="I15" s="105" t="s">
        <v>84</v>
      </c>
    </row>
    <row r="16" s="93" customFormat="1" customHeight="1" spans="1:16">
      <c r="A16" s="106"/>
      <c r="B16" s="102" t="s">
        <v>31</v>
      </c>
      <c r="C16" s="102" t="s">
        <v>95</v>
      </c>
      <c r="D16" s="103" t="s">
        <v>93</v>
      </c>
      <c r="E16" s="103" t="s">
        <v>92</v>
      </c>
      <c r="F16" s="104" t="s">
        <v>13</v>
      </c>
      <c r="G16" s="104" t="s">
        <v>50</v>
      </c>
      <c r="H16" s="105" t="s">
        <v>74</v>
      </c>
      <c r="I16" s="105" t="s">
        <v>58</v>
      </c>
    </row>
    <row r="17" s="93" customFormat="1" customHeight="1" spans="1:9">
      <c r="A17" s="106"/>
      <c r="B17" s="102" t="s">
        <v>106</v>
      </c>
      <c r="C17" s="102" t="s">
        <v>56</v>
      </c>
      <c r="D17" s="103" t="s">
        <v>103</v>
      </c>
      <c r="E17" s="103" t="s">
        <v>97</v>
      </c>
      <c r="F17" s="104" t="s">
        <v>45</v>
      </c>
      <c r="G17" s="104" t="s">
        <v>66</v>
      </c>
      <c r="H17" s="105" t="s">
        <v>110</v>
      </c>
      <c r="I17" s="105" t="s">
        <v>81</v>
      </c>
    </row>
    <row r="18" s="93" customFormat="1" customHeight="1" spans="1:9">
      <c r="A18" s="107"/>
      <c r="B18" s="108"/>
      <c r="C18" s="109"/>
      <c r="D18" s="110" t="s">
        <v>52</v>
      </c>
      <c r="E18" s="111"/>
      <c r="F18" s="112"/>
      <c r="G18" s="112"/>
      <c r="H18" s="112"/>
      <c r="I18" s="113"/>
    </row>
    <row r="19" s="93" customFormat="1" customHeight="1" spans="1:9">
      <c r="A19" s="100" t="s">
        <v>322</v>
      </c>
      <c r="B19" s="101"/>
      <c r="C19" s="102"/>
      <c r="D19" s="103" t="s">
        <v>42</v>
      </c>
      <c r="E19" s="103"/>
      <c r="F19" s="104" t="s">
        <v>100</v>
      </c>
      <c r="G19" s="104"/>
      <c r="H19" s="105"/>
      <c r="I19" s="105"/>
    </row>
    <row r="20" s="93" customFormat="1" customHeight="1" spans="1:9">
      <c r="A20" s="106"/>
      <c r="B20" s="114" t="s">
        <v>24</v>
      </c>
      <c r="C20" s="102" t="s">
        <v>33</v>
      </c>
      <c r="D20" s="103" t="s">
        <v>109</v>
      </c>
      <c r="E20" s="103" t="s">
        <v>76</v>
      </c>
      <c r="F20" s="104" t="s">
        <v>49</v>
      </c>
      <c r="G20" s="104" t="s">
        <v>88</v>
      </c>
      <c r="H20" s="105" t="s">
        <v>14</v>
      </c>
      <c r="I20" s="105" t="s">
        <v>57</v>
      </c>
    </row>
    <row r="21" s="93" customFormat="1" customHeight="1" spans="1:9">
      <c r="A21" s="106"/>
      <c r="B21" s="102" t="s">
        <v>65</v>
      </c>
      <c r="C21" s="102" t="s">
        <v>27</v>
      </c>
      <c r="D21" s="103" t="s">
        <v>79</v>
      </c>
      <c r="E21" s="103" t="s">
        <v>29</v>
      </c>
      <c r="F21" s="104" t="s">
        <v>36</v>
      </c>
      <c r="G21" s="104" t="s">
        <v>40</v>
      </c>
      <c r="H21" s="105" t="s">
        <v>38</v>
      </c>
      <c r="I21" s="105" t="s">
        <v>7</v>
      </c>
    </row>
    <row r="22" s="93" customFormat="1" customHeight="1" spans="1:9">
      <c r="A22" s="106"/>
      <c r="B22" s="102" t="s">
        <v>73</v>
      </c>
      <c r="C22" s="102" t="s">
        <v>70</v>
      </c>
      <c r="D22" s="103" t="s">
        <v>69</v>
      </c>
      <c r="E22" s="103" t="s">
        <v>34</v>
      </c>
      <c r="F22" s="104" t="s">
        <v>25</v>
      </c>
      <c r="G22" s="104" t="s">
        <v>19</v>
      </c>
      <c r="H22" s="105" t="s">
        <v>74</v>
      </c>
      <c r="I22" s="105" t="s">
        <v>28</v>
      </c>
    </row>
    <row r="23" s="93" customFormat="1" customHeight="1" spans="1:9">
      <c r="A23" s="106"/>
      <c r="B23" s="102" t="s">
        <v>23</v>
      </c>
      <c r="C23" s="102" t="s">
        <v>84</v>
      </c>
      <c r="D23" s="103" t="s">
        <v>71</v>
      </c>
      <c r="E23" s="103" t="s">
        <v>61</v>
      </c>
      <c r="F23" s="104" t="s">
        <v>107</v>
      </c>
      <c r="G23" s="104" t="s">
        <v>92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58</v>
      </c>
      <c r="C24" s="102" t="s">
        <v>95</v>
      </c>
      <c r="D24" s="103" t="s">
        <v>72</v>
      </c>
      <c r="E24" s="103" t="s">
        <v>31</v>
      </c>
      <c r="F24" s="104" t="s">
        <v>97</v>
      </c>
      <c r="G24" s="104" t="s">
        <v>10</v>
      </c>
      <c r="H24" s="105" t="s">
        <v>50</v>
      </c>
      <c r="I24" s="105" t="s">
        <v>45</v>
      </c>
    </row>
    <row r="25" s="93" customFormat="1" customHeight="1" spans="1:9">
      <c r="A25" s="106"/>
      <c r="B25" s="102" t="s">
        <v>103</v>
      </c>
      <c r="C25" s="102" t="s">
        <v>81</v>
      </c>
      <c r="D25" s="103" t="s">
        <v>66</v>
      </c>
      <c r="E25" s="103" t="s">
        <v>56</v>
      </c>
      <c r="F25" s="104" t="s">
        <v>72</v>
      </c>
      <c r="G25" s="104" t="s">
        <v>93</v>
      </c>
      <c r="H25" s="105" t="s">
        <v>106</v>
      </c>
      <c r="I25" s="105" t="s">
        <v>45</v>
      </c>
    </row>
    <row r="26" s="93" customFormat="1" customHeight="1" spans="1:9">
      <c r="A26" s="107"/>
      <c r="B26" s="115"/>
      <c r="C26" s="116"/>
      <c r="D26" s="110" t="s">
        <v>110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323</v>
      </c>
      <c r="B1" s="83" t="s">
        <v>324</v>
      </c>
      <c r="C1" s="84" t="s">
        <v>190</v>
      </c>
    </row>
    <row r="2" spans="1:3">
      <c r="A2" s="85" t="s">
        <v>1</v>
      </c>
      <c r="B2" s="80" t="s">
        <v>325</v>
      </c>
      <c r="C2" s="81" t="s">
        <v>326</v>
      </c>
    </row>
    <row r="3" spans="1:3">
      <c r="A3" s="85"/>
      <c r="B3" s="80" t="s">
        <v>327</v>
      </c>
      <c r="C3" s="81" t="s">
        <v>328</v>
      </c>
    </row>
    <row r="4" spans="1:3">
      <c r="A4" s="85"/>
      <c r="B4" s="80" t="s">
        <v>329</v>
      </c>
      <c r="C4" s="81" t="s">
        <v>330</v>
      </c>
    </row>
    <row r="5" spans="1:3">
      <c r="A5" s="85"/>
      <c r="B5" s="80" t="s">
        <v>331</v>
      </c>
      <c r="C5" s="81" t="s">
        <v>332</v>
      </c>
    </row>
    <row r="6" spans="1:3">
      <c r="A6" s="85"/>
      <c r="B6" s="80" t="s">
        <v>333</v>
      </c>
      <c r="C6" s="81" t="s">
        <v>334</v>
      </c>
    </row>
    <row r="7" spans="1:3">
      <c r="A7" s="85"/>
      <c r="B7" s="80" t="s">
        <v>335</v>
      </c>
      <c r="C7" s="81" t="s">
        <v>336</v>
      </c>
    </row>
    <row r="8" spans="1:3">
      <c r="A8" s="85"/>
      <c r="B8" s="80" t="s">
        <v>337</v>
      </c>
      <c r="C8" s="81" t="s">
        <v>338</v>
      </c>
    </row>
    <row r="9" spans="1:3">
      <c r="A9" s="85"/>
      <c r="B9" s="80" t="s">
        <v>339</v>
      </c>
      <c r="C9" s="81" t="s">
        <v>340</v>
      </c>
    </row>
    <row r="10" spans="1:3">
      <c r="A10" s="85"/>
      <c r="B10" s="80" t="s">
        <v>341</v>
      </c>
      <c r="C10" s="81" t="s">
        <v>342</v>
      </c>
    </row>
    <row r="11" spans="1:3">
      <c r="A11" s="85"/>
      <c r="B11" s="80" t="s">
        <v>343</v>
      </c>
      <c r="C11" s="81" t="s">
        <v>344</v>
      </c>
    </row>
    <row r="12" spans="1:3">
      <c r="A12" s="85"/>
      <c r="B12" s="80" t="s">
        <v>345</v>
      </c>
      <c r="C12" s="81" t="s">
        <v>346</v>
      </c>
    </row>
    <row r="13" spans="1:3">
      <c r="A13" s="85"/>
      <c r="B13" s="80" t="s">
        <v>347</v>
      </c>
      <c r="C13" s="81" t="s">
        <v>348</v>
      </c>
    </row>
    <row r="14" spans="1:3">
      <c r="A14" s="85"/>
      <c r="B14" s="80" t="s">
        <v>349</v>
      </c>
      <c r="C14" s="81" t="s">
        <v>350</v>
      </c>
    </row>
    <row r="15" spans="1:3">
      <c r="A15" s="85"/>
      <c r="B15" s="80" t="s">
        <v>351</v>
      </c>
      <c r="C15" s="81" t="s">
        <v>352</v>
      </c>
    </row>
    <row r="16" spans="1:3">
      <c r="A16" s="85"/>
      <c r="B16" s="80" t="s">
        <v>353</v>
      </c>
      <c r="C16" s="81" t="s">
        <v>354</v>
      </c>
    </row>
    <row r="17" spans="1:3">
      <c r="A17" s="85"/>
      <c r="B17" s="80" t="s">
        <v>355</v>
      </c>
      <c r="C17" s="81" t="s">
        <v>356</v>
      </c>
    </row>
    <row r="18" spans="1:3">
      <c r="A18" s="85"/>
      <c r="B18" s="80" t="s">
        <v>357</v>
      </c>
      <c r="C18" s="81" t="s">
        <v>358</v>
      </c>
    </row>
    <row r="19" spans="1:3">
      <c r="A19" s="85"/>
      <c r="B19" s="80" t="s">
        <v>359</v>
      </c>
      <c r="C19" s="81" t="s">
        <v>360</v>
      </c>
    </row>
    <row r="20" spans="1:3">
      <c r="A20" s="85"/>
      <c r="B20" s="80" t="s">
        <v>361</v>
      </c>
      <c r="C20" s="81" t="s">
        <v>362</v>
      </c>
    </row>
    <row r="21" spans="1:3">
      <c r="A21" s="85"/>
      <c r="B21" s="80" t="s">
        <v>361</v>
      </c>
      <c r="C21" s="81" t="s">
        <v>363</v>
      </c>
    </row>
    <row r="22" spans="1:3">
      <c r="A22" s="85"/>
      <c r="B22" s="80" t="s">
        <v>364</v>
      </c>
      <c r="C22" s="81" t="s">
        <v>365</v>
      </c>
    </row>
    <row r="23" spans="1:3">
      <c r="A23" s="85"/>
      <c r="B23" s="80" t="s">
        <v>366</v>
      </c>
      <c r="C23" s="81" t="s">
        <v>367</v>
      </c>
    </row>
    <row r="24" spans="1:3">
      <c r="A24" s="85"/>
      <c r="B24" s="80" t="s">
        <v>368</v>
      </c>
      <c r="C24" s="81" t="s">
        <v>369</v>
      </c>
    </row>
    <row r="25" spans="1:3">
      <c r="A25" s="86" t="s">
        <v>2</v>
      </c>
      <c r="B25" s="80" t="s">
        <v>370</v>
      </c>
      <c r="C25" s="81" t="s">
        <v>371</v>
      </c>
    </row>
    <row r="26" spans="1:3">
      <c r="A26" s="86"/>
      <c r="B26" s="80" t="s">
        <v>372</v>
      </c>
      <c r="C26" s="81" t="s">
        <v>373</v>
      </c>
    </row>
    <row r="27" spans="1:3">
      <c r="A27" s="86"/>
      <c r="B27" s="80" t="s">
        <v>374</v>
      </c>
      <c r="C27" s="81" t="s">
        <v>375</v>
      </c>
    </row>
    <row r="28" spans="1:3">
      <c r="A28" s="86"/>
      <c r="B28" s="80" t="s">
        <v>376</v>
      </c>
      <c r="C28" s="81" t="s">
        <v>377</v>
      </c>
    </row>
    <row r="29" spans="1:3">
      <c r="A29" s="86"/>
      <c r="B29" s="80" t="s">
        <v>378</v>
      </c>
      <c r="C29" s="81" t="s">
        <v>379</v>
      </c>
    </row>
    <row r="30" spans="1:3">
      <c r="A30" s="86"/>
      <c r="B30" s="80" t="s">
        <v>380</v>
      </c>
      <c r="C30" s="81" t="s">
        <v>381</v>
      </c>
    </row>
    <row r="31" spans="1:3">
      <c r="A31" s="86"/>
      <c r="B31" s="80" t="s">
        <v>382</v>
      </c>
      <c r="C31" s="81" t="s">
        <v>383</v>
      </c>
    </row>
    <row r="32" spans="1:3">
      <c r="A32" s="86"/>
      <c r="B32" s="80" t="s">
        <v>384</v>
      </c>
      <c r="C32" s="81" t="s">
        <v>385</v>
      </c>
    </row>
    <row r="33" spans="1:3">
      <c r="A33" s="86"/>
      <c r="B33" s="80" t="s">
        <v>386</v>
      </c>
      <c r="C33" s="81" t="s">
        <v>387</v>
      </c>
    </row>
    <row r="34" spans="1:3">
      <c r="A34" s="86"/>
      <c r="B34" s="80" t="s">
        <v>388</v>
      </c>
      <c r="C34" s="81" t="s">
        <v>389</v>
      </c>
    </row>
    <row r="35" spans="1:3">
      <c r="A35" s="86"/>
      <c r="B35" s="80" t="s">
        <v>390</v>
      </c>
      <c r="C35" s="81" t="s">
        <v>391</v>
      </c>
    </row>
    <row r="36" spans="1:3">
      <c r="A36" s="86"/>
      <c r="B36" s="80" t="s">
        <v>392</v>
      </c>
      <c r="C36" s="81" t="s">
        <v>393</v>
      </c>
    </row>
    <row r="37" spans="1:3">
      <c r="A37" s="87"/>
      <c r="B37" s="80" t="s">
        <v>394</v>
      </c>
      <c r="C37" s="81" t="s">
        <v>395</v>
      </c>
    </row>
    <row r="38" spans="1:3">
      <c r="A38" s="88" t="s">
        <v>3</v>
      </c>
      <c r="B38" s="80" t="s">
        <v>396</v>
      </c>
      <c r="C38" s="81" t="s">
        <v>397</v>
      </c>
    </row>
    <row r="39" spans="1:3">
      <c r="A39" s="89"/>
      <c r="B39" s="80" t="s">
        <v>398</v>
      </c>
      <c r="C39" s="81" t="s">
        <v>399</v>
      </c>
    </row>
    <row r="40" spans="1:3">
      <c r="A40" s="89"/>
      <c r="B40" s="80" t="s">
        <v>400</v>
      </c>
      <c r="C40" s="81" t="s">
        <v>401</v>
      </c>
    </row>
    <row r="41" spans="1:3">
      <c r="A41" s="89"/>
      <c r="B41" s="80" t="s">
        <v>402</v>
      </c>
      <c r="C41" s="81" t="s">
        <v>334</v>
      </c>
    </row>
    <row r="42" spans="1:3">
      <c r="A42" s="89"/>
      <c r="B42" s="80" t="s">
        <v>403</v>
      </c>
      <c r="C42" s="81" t="s">
        <v>404</v>
      </c>
    </row>
    <row r="43" spans="1:3">
      <c r="A43" s="89"/>
      <c r="B43" s="80" t="s">
        <v>405</v>
      </c>
      <c r="C43" s="81" t="s">
        <v>406</v>
      </c>
    </row>
    <row r="44" spans="1:3">
      <c r="A44" s="89"/>
      <c r="B44" s="80" t="s">
        <v>407</v>
      </c>
      <c r="C44" s="81" t="s">
        <v>408</v>
      </c>
    </row>
    <row r="45" spans="1:3">
      <c r="A45" s="89"/>
      <c r="B45" s="80" t="s">
        <v>409</v>
      </c>
      <c r="C45" s="81" t="s">
        <v>410</v>
      </c>
    </row>
    <row r="46" spans="1:3">
      <c r="A46" s="89"/>
      <c r="B46" s="80" t="s">
        <v>411</v>
      </c>
      <c r="C46" s="81" t="s">
        <v>412</v>
      </c>
    </row>
    <row r="47" spans="1:3">
      <c r="A47" s="89"/>
      <c r="B47" s="80" t="s">
        <v>413</v>
      </c>
      <c r="C47" s="81" t="s">
        <v>414</v>
      </c>
    </row>
    <row r="48" spans="1:3">
      <c r="A48" s="89"/>
      <c r="B48" s="80" t="s">
        <v>415</v>
      </c>
      <c r="C48" s="81" t="s">
        <v>416</v>
      </c>
    </row>
    <row r="49" spans="1:3">
      <c r="A49" s="89"/>
      <c r="B49" s="80" t="s">
        <v>417</v>
      </c>
      <c r="C49" s="81" t="s">
        <v>418</v>
      </c>
    </row>
    <row r="50" spans="1:3">
      <c r="A50" s="90"/>
      <c r="B50" s="80" t="s">
        <v>419</v>
      </c>
      <c r="C50" s="81" t="s">
        <v>420</v>
      </c>
    </row>
    <row r="51" customFormat="1" spans="1:3">
      <c r="A51" s="79"/>
      <c r="B51" s="80" t="s">
        <v>421</v>
      </c>
      <c r="C51" s="81"/>
    </row>
    <row r="52" customFormat="1" spans="1:3">
      <c r="A52" s="79"/>
      <c r="B52" s="80" t="s">
        <v>421</v>
      </c>
      <c r="C52" s="81"/>
    </row>
    <row r="53" customFormat="1" spans="1:3">
      <c r="A53" s="79"/>
      <c r="B53" s="80" t="s">
        <v>421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265</v>
      </c>
      <c r="B1" s="68" t="s">
        <v>0</v>
      </c>
      <c r="C1" s="69" t="s">
        <v>422</v>
      </c>
      <c r="D1" s="70" t="s">
        <v>423</v>
      </c>
    </row>
    <row r="2" spans="1:4">
      <c r="A2" s="71">
        <v>1</v>
      </c>
      <c r="B2" s="72" t="s">
        <v>7</v>
      </c>
      <c r="C2" s="73">
        <v>20111216</v>
      </c>
      <c r="D2" s="66" t="s">
        <v>424</v>
      </c>
    </row>
    <row r="3" spans="1:4">
      <c r="A3" s="71">
        <v>2</v>
      </c>
      <c r="B3" s="72" t="s">
        <v>10</v>
      </c>
      <c r="C3" s="74">
        <v>20111227</v>
      </c>
      <c r="D3" s="66" t="s">
        <v>425</v>
      </c>
    </row>
    <row r="4" spans="1:4">
      <c r="A4" s="71">
        <v>3</v>
      </c>
      <c r="B4" s="72" t="s">
        <v>13</v>
      </c>
      <c r="C4" s="74">
        <v>20120518</v>
      </c>
      <c r="D4" s="66" t="s">
        <v>426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275</v>
      </c>
    </row>
    <row r="7" spans="1:4">
      <c r="A7" s="71">
        <v>6</v>
      </c>
      <c r="B7" s="72" t="s">
        <v>19</v>
      </c>
      <c r="C7" s="74">
        <v>20120809</v>
      </c>
      <c r="D7" s="66" t="s">
        <v>427</v>
      </c>
    </row>
    <row r="8" spans="1:4">
      <c r="A8" s="71">
        <v>7</v>
      </c>
      <c r="B8" s="72" t="s">
        <v>23</v>
      </c>
      <c r="C8" s="74">
        <v>20120227</v>
      </c>
      <c r="D8" s="66" t="s">
        <v>428</v>
      </c>
    </row>
    <row r="9" spans="1:4">
      <c r="A9" s="71">
        <v>8</v>
      </c>
      <c r="B9" s="72" t="s">
        <v>24</v>
      </c>
      <c r="C9" s="74">
        <v>20120127</v>
      </c>
      <c r="D9" s="66" t="s">
        <v>429</v>
      </c>
    </row>
    <row r="10" spans="1:4">
      <c r="A10" s="71">
        <v>9</v>
      </c>
      <c r="B10" s="72" t="s">
        <v>25</v>
      </c>
      <c r="C10" s="74">
        <v>20111202</v>
      </c>
      <c r="D10" s="66" t="s">
        <v>430</v>
      </c>
    </row>
    <row r="11" customFormat="1" spans="1:4">
      <c r="A11" s="71">
        <v>10</v>
      </c>
      <c r="B11" s="72" t="s">
        <v>27</v>
      </c>
      <c r="C11" s="74">
        <v>20120623</v>
      </c>
      <c r="D11" s="66"/>
    </row>
    <row r="12" spans="1:4">
      <c r="A12" s="71">
        <v>11</v>
      </c>
      <c r="B12" s="72" t="s">
        <v>28</v>
      </c>
      <c r="C12" s="74">
        <v>20111024</v>
      </c>
      <c r="D12" s="66" t="s">
        <v>431</v>
      </c>
    </row>
    <row r="13" spans="1:4">
      <c r="A13" s="71">
        <v>12</v>
      </c>
      <c r="B13" s="72" t="s">
        <v>29</v>
      </c>
      <c r="C13" s="74">
        <v>20110908</v>
      </c>
      <c r="D13" s="66" t="s">
        <v>432</v>
      </c>
    </row>
    <row r="14" spans="1:4">
      <c r="A14" s="71">
        <v>13</v>
      </c>
      <c r="B14" s="72" t="s">
        <v>31</v>
      </c>
      <c r="C14" s="74">
        <v>20120228</v>
      </c>
      <c r="D14" s="66" t="s">
        <v>433</v>
      </c>
    </row>
    <row r="15" customFormat="1" spans="1:4">
      <c r="A15" s="71">
        <v>14</v>
      </c>
      <c r="B15" s="72" t="s">
        <v>33</v>
      </c>
      <c r="C15" s="74">
        <v>20110904</v>
      </c>
      <c r="D15" s="66"/>
    </row>
    <row r="16" spans="1:4">
      <c r="A16" s="71">
        <v>15</v>
      </c>
      <c r="B16" s="72" t="s">
        <v>34</v>
      </c>
      <c r="C16" s="73">
        <v>20111201</v>
      </c>
      <c r="D16" s="66" t="s">
        <v>434</v>
      </c>
    </row>
    <row r="17" spans="1:4">
      <c r="A17" s="71">
        <v>16</v>
      </c>
      <c r="B17" s="72" t="s">
        <v>36</v>
      </c>
      <c r="C17" s="74">
        <v>20120722</v>
      </c>
      <c r="D17" s="66" t="s">
        <v>435</v>
      </c>
    </row>
    <row r="18" customFormat="1" spans="1:4">
      <c r="A18" s="71">
        <v>17</v>
      </c>
      <c r="B18" s="72" t="s">
        <v>38</v>
      </c>
      <c r="C18" s="74">
        <v>20111215</v>
      </c>
      <c r="D18" s="66"/>
    </row>
    <row r="19" customFormat="1" spans="1:4">
      <c r="A19" s="71">
        <v>18</v>
      </c>
      <c r="B19" s="72" t="s">
        <v>40</v>
      </c>
      <c r="C19" s="74">
        <v>20120509</v>
      </c>
      <c r="D19" s="66"/>
    </row>
    <row r="20" spans="1:4">
      <c r="A20" s="71">
        <v>19</v>
      </c>
      <c r="B20" s="72" t="s">
        <v>42</v>
      </c>
      <c r="C20" s="74">
        <v>20120530</v>
      </c>
      <c r="D20" s="66" t="s">
        <v>436</v>
      </c>
    </row>
    <row r="21" spans="1:4">
      <c r="A21" s="71">
        <v>20</v>
      </c>
      <c r="B21" s="72" t="s">
        <v>45</v>
      </c>
      <c r="C21" s="74">
        <v>20120827</v>
      </c>
      <c r="D21" s="66" t="s">
        <v>437</v>
      </c>
    </row>
    <row r="22" customFormat="1" spans="1:4">
      <c r="A22" s="71">
        <v>21</v>
      </c>
      <c r="B22" s="72" t="s">
        <v>49</v>
      </c>
      <c r="C22" s="74">
        <v>20120816</v>
      </c>
      <c r="D22" s="66"/>
    </row>
    <row r="23" spans="1:4">
      <c r="A23" s="71">
        <v>22</v>
      </c>
      <c r="B23" s="72" t="s">
        <v>50</v>
      </c>
      <c r="C23" s="74">
        <v>20120518</v>
      </c>
      <c r="D23" s="66" t="s">
        <v>438</v>
      </c>
    </row>
    <row r="24" spans="1:4">
      <c r="A24" s="71">
        <v>23</v>
      </c>
      <c r="B24" s="72" t="s">
        <v>52</v>
      </c>
      <c r="C24" s="74">
        <v>20120413</v>
      </c>
      <c r="D24" s="66" t="s">
        <v>439</v>
      </c>
    </row>
    <row r="25" spans="1:4">
      <c r="A25" s="71">
        <v>24</v>
      </c>
      <c r="B25" s="72" t="s">
        <v>56</v>
      </c>
      <c r="C25" s="74">
        <v>20120629</v>
      </c>
      <c r="D25" s="66" t="s">
        <v>440</v>
      </c>
    </row>
    <row r="26" spans="1:4">
      <c r="A26" s="71">
        <v>25</v>
      </c>
      <c r="B26" s="72" t="s">
        <v>57</v>
      </c>
      <c r="C26" s="74">
        <v>20111105</v>
      </c>
      <c r="D26" s="66" t="s">
        <v>441</v>
      </c>
    </row>
    <row r="27" spans="1:4">
      <c r="A27" s="71">
        <v>26</v>
      </c>
      <c r="B27" s="72" t="s">
        <v>58</v>
      </c>
      <c r="C27" s="74">
        <v>20120112</v>
      </c>
      <c r="D27" s="66" t="s">
        <v>442</v>
      </c>
    </row>
    <row r="28" spans="1:4">
      <c r="A28" s="71">
        <v>27</v>
      </c>
      <c r="B28" s="72" t="s">
        <v>61</v>
      </c>
      <c r="C28" s="74">
        <v>20111119</v>
      </c>
      <c r="D28" s="66" t="s">
        <v>443</v>
      </c>
    </row>
    <row r="29" customFormat="1" spans="1:4">
      <c r="A29" s="71">
        <v>28</v>
      </c>
      <c r="B29" s="72" t="s">
        <v>65</v>
      </c>
      <c r="C29" s="74">
        <v>20120110</v>
      </c>
      <c r="D29" s="66"/>
    </row>
    <row r="30" spans="1:4">
      <c r="A30" s="71">
        <v>29</v>
      </c>
      <c r="B30" s="72" t="s">
        <v>66</v>
      </c>
      <c r="C30" s="74">
        <v>20120331</v>
      </c>
      <c r="D30" s="66" t="s">
        <v>444</v>
      </c>
    </row>
    <row r="31" spans="1:4">
      <c r="A31" s="71">
        <v>30</v>
      </c>
      <c r="B31" s="72" t="s">
        <v>69</v>
      </c>
      <c r="C31" s="74">
        <v>20111109</v>
      </c>
      <c r="D31" s="66" t="s">
        <v>445</v>
      </c>
    </row>
    <row r="32" spans="1:4">
      <c r="A32" s="71">
        <v>31</v>
      </c>
      <c r="B32" s="72" t="s">
        <v>70</v>
      </c>
      <c r="C32" s="74">
        <v>20120824</v>
      </c>
      <c r="D32" s="66" t="s">
        <v>446</v>
      </c>
    </row>
    <row r="33" customFormat="1" spans="1:5">
      <c r="A33" s="71">
        <v>32</v>
      </c>
      <c r="B33" s="72" t="s">
        <v>71</v>
      </c>
      <c r="C33" s="74">
        <v>20120425</v>
      </c>
      <c r="D33" s="66"/>
    </row>
    <row r="34" spans="1:5">
      <c r="A34" s="71">
        <v>33</v>
      </c>
      <c r="B34" s="72" t="s">
        <v>72</v>
      </c>
      <c r="C34" s="74">
        <v>20120624</v>
      </c>
      <c r="D34" s="66" t="s">
        <v>447</v>
      </c>
    </row>
    <row r="35" customFormat="1" spans="1:5">
      <c r="A35" s="71">
        <v>34</v>
      </c>
      <c r="B35" s="72" t="s">
        <v>73</v>
      </c>
      <c r="C35" s="74">
        <v>20120507</v>
      </c>
      <c r="D35" s="66"/>
    </row>
    <row r="36" spans="1:5">
      <c r="A36" s="71">
        <v>35</v>
      </c>
      <c r="B36" s="72" t="s">
        <v>74</v>
      </c>
      <c r="C36" s="74">
        <v>20120603</v>
      </c>
      <c r="D36" s="66" t="s">
        <v>448</v>
      </c>
    </row>
    <row r="37" spans="1:5">
      <c r="A37" s="71">
        <v>36</v>
      </c>
      <c r="B37" s="72" t="s">
        <v>76</v>
      </c>
      <c r="C37" s="73">
        <v>20120326</v>
      </c>
      <c r="D37" s="66" t="s">
        <v>449</v>
      </c>
    </row>
    <row r="38" spans="1:5">
      <c r="A38" s="75">
        <v>37</v>
      </c>
      <c r="B38" s="75" t="s">
        <v>79</v>
      </c>
      <c r="C38" s="76">
        <v>20111106</v>
      </c>
      <c r="D38" s="77" t="s">
        <v>450</v>
      </c>
      <c r="E38" t="s">
        <v>451</v>
      </c>
    </row>
    <row r="39" spans="1:5">
      <c r="A39" s="71">
        <v>38</v>
      </c>
      <c r="B39" s="72" t="s">
        <v>81</v>
      </c>
      <c r="C39" s="74">
        <v>20120811</v>
      </c>
      <c r="D39" s="78" t="s">
        <v>452</v>
      </c>
    </row>
    <row r="40" spans="1:5">
      <c r="A40" s="71">
        <v>39</v>
      </c>
      <c r="B40" s="72" t="s">
        <v>84</v>
      </c>
      <c r="C40" s="74">
        <v>20111217</v>
      </c>
      <c r="D40" s="78" t="s">
        <v>453</v>
      </c>
    </row>
    <row r="41" spans="1:5">
      <c r="A41" s="71">
        <v>40</v>
      </c>
      <c r="B41" s="72" t="s">
        <v>88</v>
      </c>
      <c r="C41" s="74">
        <v>20111013</v>
      </c>
      <c r="D41" s="66" t="s">
        <v>454</v>
      </c>
      <c r="E41" t="s">
        <v>451</v>
      </c>
    </row>
    <row r="42" customFormat="1" spans="1:5">
      <c r="A42" s="71">
        <v>41</v>
      </c>
      <c r="B42" s="72" t="s">
        <v>92</v>
      </c>
      <c r="C42" s="74">
        <v>20111027</v>
      </c>
      <c r="D42" s="66"/>
    </row>
    <row r="43" spans="1:5">
      <c r="A43" s="71">
        <v>42</v>
      </c>
      <c r="B43" s="72" t="s">
        <v>93</v>
      </c>
      <c r="C43" s="74">
        <v>20120207</v>
      </c>
      <c r="D43" s="66" t="s">
        <v>455</v>
      </c>
    </row>
    <row r="44" customFormat="1" spans="1:5">
      <c r="A44" s="71">
        <v>43</v>
      </c>
      <c r="B44" s="72" t="s">
        <v>95</v>
      </c>
      <c r="C44" s="73">
        <v>20120508</v>
      </c>
      <c r="D44" s="66"/>
    </row>
    <row r="45" spans="1:5">
      <c r="A45" s="71">
        <v>44</v>
      </c>
      <c r="B45" s="72" t="s">
        <v>97</v>
      </c>
      <c r="C45" s="74">
        <v>20110929</v>
      </c>
      <c r="D45" s="66" t="s">
        <v>456</v>
      </c>
    </row>
    <row r="46" customFormat="1" spans="1:5">
      <c r="A46" s="71">
        <v>45</v>
      </c>
      <c r="B46" s="72" t="s">
        <v>100</v>
      </c>
      <c r="C46" s="74">
        <v>20111205</v>
      </c>
      <c r="D46" s="66"/>
    </row>
    <row r="47" spans="1:5">
      <c r="A47" s="71">
        <v>46</v>
      </c>
      <c r="B47" s="72" t="s">
        <v>101</v>
      </c>
      <c r="C47" s="74">
        <v>20120108</v>
      </c>
      <c r="D47" s="66" t="s">
        <v>457</v>
      </c>
      <c r="E47" t="s">
        <v>451</v>
      </c>
    </row>
    <row r="48" spans="1:5">
      <c r="A48" s="71">
        <v>47</v>
      </c>
      <c r="B48" s="72" t="s">
        <v>103</v>
      </c>
      <c r="C48" s="74">
        <v>20120311</v>
      </c>
      <c r="D48" s="66" t="s">
        <v>458</v>
      </c>
    </row>
    <row r="49" customFormat="1" spans="1:4">
      <c r="A49" s="71">
        <v>48</v>
      </c>
      <c r="B49" s="72" t="s">
        <v>106</v>
      </c>
      <c r="C49" s="74">
        <v>20110902</v>
      </c>
      <c r="D49" s="66"/>
    </row>
    <row r="50" spans="1:4">
      <c r="A50" s="71">
        <v>49</v>
      </c>
      <c r="B50" s="72" t="s">
        <v>107</v>
      </c>
      <c r="C50" s="74">
        <v>20120723</v>
      </c>
      <c r="D50" s="66" t="s">
        <v>459</v>
      </c>
    </row>
    <row r="51" customFormat="1" spans="1:4">
      <c r="A51" s="71">
        <v>50</v>
      </c>
      <c r="B51" s="72" t="s">
        <v>109</v>
      </c>
      <c r="C51" s="74">
        <v>20120101</v>
      </c>
      <c r="D51" s="66"/>
    </row>
    <row r="52" spans="1:4">
      <c r="A52" s="71">
        <v>51</v>
      </c>
      <c r="B52" s="72" t="s">
        <v>110</v>
      </c>
      <c r="C52" s="74">
        <v>20111220</v>
      </c>
      <c r="D52" s="66" t="s">
        <v>460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461</v>
      </c>
      <c r="B1" s="35" t="s">
        <v>462</v>
      </c>
      <c r="C1" s="36" t="s">
        <v>463</v>
      </c>
      <c r="D1" s="37"/>
      <c r="E1" s="38" t="s">
        <v>464</v>
      </c>
    </row>
    <row r="2" s="28" customFormat="1" ht="409" customHeight="1" spans="1:5">
      <c r="A2" s="39" t="s">
        <v>280</v>
      </c>
      <c r="B2" s="40" t="s">
        <v>234</v>
      </c>
      <c r="C2" s="41" t="s">
        <v>465</v>
      </c>
      <c r="D2" s="32" t="s">
        <v>466</v>
      </c>
      <c r="E2" s="33" t="s">
        <v>467</v>
      </c>
    </row>
    <row r="3" s="28" customFormat="1" ht="56" spans="1:5">
      <c r="A3" s="42"/>
      <c r="B3" s="43"/>
      <c r="C3" s="44"/>
      <c r="D3" s="32" t="s">
        <v>468</v>
      </c>
      <c r="E3" s="33" t="s">
        <v>469</v>
      </c>
    </row>
    <row r="4" s="28" customFormat="1" spans="1:5">
      <c r="A4" s="42"/>
      <c r="B4" s="43"/>
      <c r="C4" s="44"/>
      <c r="D4" s="32" t="s">
        <v>470</v>
      </c>
      <c r="E4" s="33" t="s">
        <v>471</v>
      </c>
    </row>
    <row r="5" s="28" customFormat="1" ht="56" spans="1:5">
      <c r="A5" s="42"/>
      <c r="B5" s="43"/>
      <c r="C5" s="44"/>
      <c r="D5" s="32" t="s">
        <v>472</v>
      </c>
      <c r="E5" s="33" t="s">
        <v>473</v>
      </c>
    </row>
    <row r="6" s="28" customFormat="1" ht="238" spans="1:5">
      <c r="A6" s="42"/>
      <c r="B6" s="43"/>
      <c r="C6" s="44"/>
      <c r="D6" s="32" t="s">
        <v>474</v>
      </c>
      <c r="E6" s="33" t="s">
        <v>475</v>
      </c>
    </row>
    <row r="7" s="28" customFormat="1" ht="238" spans="1:5">
      <c r="A7" s="42"/>
      <c r="B7" s="43"/>
      <c r="C7" s="41" t="s">
        <v>476</v>
      </c>
      <c r="D7" s="32" t="s">
        <v>477</v>
      </c>
      <c r="E7" s="33" t="s">
        <v>478</v>
      </c>
    </row>
    <row r="8" s="28" customFormat="1" ht="56" spans="1:5">
      <c r="A8" s="42"/>
      <c r="B8" s="43"/>
      <c r="C8" s="44"/>
      <c r="D8" s="32" t="s">
        <v>479</v>
      </c>
      <c r="E8" s="33" t="s">
        <v>480</v>
      </c>
    </row>
    <row r="9" s="28" customFormat="1" ht="84" spans="1:5">
      <c r="A9" s="42"/>
      <c r="B9" s="43"/>
      <c r="C9" s="44"/>
      <c r="D9" s="32" t="s">
        <v>481</v>
      </c>
      <c r="E9" s="33" t="s">
        <v>482</v>
      </c>
    </row>
    <row r="10" s="28" customFormat="1" ht="28" spans="1:5">
      <c r="A10" s="42"/>
      <c r="B10" s="43"/>
      <c r="C10" s="44"/>
      <c r="D10" s="32" t="s">
        <v>483</v>
      </c>
      <c r="E10" s="33" t="s">
        <v>484</v>
      </c>
    </row>
    <row r="11" s="28" customFormat="1" spans="1:5">
      <c r="A11" s="42"/>
      <c r="B11" s="43"/>
      <c r="C11" s="45"/>
      <c r="D11" s="32" t="s">
        <v>485</v>
      </c>
      <c r="E11" s="33" t="s">
        <v>486</v>
      </c>
    </row>
    <row r="12" s="28" customFormat="1" ht="154" spans="1:5">
      <c r="A12" s="42"/>
      <c r="B12" s="43"/>
      <c r="C12" s="31"/>
      <c r="D12" s="32" t="s">
        <v>487</v>
      </c>
      <c r="E12" s="33" t="s">
        <v>488</v>
      </c>
    </row>
    <row r="13" s="28" customFormat="1" ht="56" spans="1:5">
      <c r="A13" s="42"/>
      <c r="B13" s="43"/>
      <c r="C13" s="46" t="s">
        <v>489</v>
      </c>
      <c r="D13" s="37"/>
      <c r="E13" s="33" t="s">
        <v>490</v>
      </c>
    </row>
    <row r="14" s="28" customFormat="1" ht="84" spans="1:5">
      <c r="A14" s="42"/>
      <c r="B14" s="43"/>
      <c r="C14" s="46" t="s">
        <v>491</v>
      </c>
      <c r="D14" s="37"/>
      <c r="E14" s="33" t="s">
        <v>492</v>
      </c>
    </row>
    <row r="15" s="28" customFormat="1" ht="28" spans="1:5">
      <c r="A15" s="42"/>
      <c r="B15" s="43"/>
      <c r="C15" s="46" t="s">
        <v>493</v>
      </c>
      <c r="D15" s="37"/>
      <c r="E15" s="33" t="s">
        <v>494</v>
      </c>
    </row>
    <row r="16" s="28" customFormat="1" spans="1:5">
      <c r="A16" s="42"/>
      <c r="B16" s="43"/>
      <c r="C16" s="46" t="s">
        <v>495</v>
      </c>
      <c r="D16" s="37"/>
      <c r="E16" s="33"/>
    </row>
    <row r="17" s="28" customFormat="1" spans="1:5">
      <c r="A17" s="42"/>
      <c r="B17" s="43"/>
      <c r="C17" s="46" t="s">
        <v>496</v>
      </c>
      <c r="D17" s="37"/>
      <c r="E17" s="33" t="s">
        <v>497</v>
      </c>
    </row>
    <row r="18" s="28" customFormat="1" spans="1:5">
      <c r="A18" s="42"/>
      <c r="B18" s="43"/>
      <c r="C18" s="41" t="s">
        <v>498</v>
      </c>
      <c r="D18" s="32" t="s">
        <v>499</v>
      </c>
      <c r="E18" s="33" t="s">
        <v>500</v>
      </c>
    </row>
    <row r="19" s="28" customFormat="1" spans="1:5">
      <c r="A19" s="42"/>
      <c r="B19" s="43"/>
      <c r="C19" s="45"/>
      <c r="D19" s="32" t="s">
        <v>501</v>
      </c>
      <c r="E19" s="33" t="s">
        <v>502</v>
      </c>
    </row>
    <row r="20" s="28" customFormat="1" spans="1:5">
      <c r="A20" s="42"/>
      <c r="B20" s="43"/>
      <c r="C20" s="46" t="s">
        <v>503</v>
      </c>
      <c r="D20" s="37"/>
      <c r="E20" s="33"/>
    </row>
    <row r="21" s="28" customFormat="1" spans="1:5">
      <c r="A21" s="42"/>
      <c r="B21" s="43"/>
      <c r="C21" s="46" t="s">
        <v>504</v>
      </c>
      <c r="D21" s="37"/>
      <c r="E21" s="33" t="s">
        <v>505</v>
      </c>
    </row>
    <row r="22" s="28" customFormat="1" ht="28" spans="1:5">
      <c r="A22" s="42"/>
      <c r="B22" s="43"/>
      <c r="C22" s="46" t="s">
        <v>506</v>
      </c>
      <c r="D22" s="47"/>
      <c r="E22" s="33" t="s">
        <v>507</v>
      </c>
    </row>
    <row r="23" s="28" customFormat="1" spans="1:5">
      <c r="A23" s="42"/>
      <c r="B23" s="43"/>
      <c r="C23" s="31" t="s">
        <v>260</v>
      </c>
      <c r="D23" s="31"/>
      <c r="E23" s="33" t="s">
        <v>508</v>
      </c>
    </row>
    <row r="24" s="28" customFormat="1" spans="1:5">
      <c r="A24" s="42"/>
      <c r="B24" s="43"/>
      <c r="C24" s="31" t="s">
        <v>509</v>
      </c>
      <c r="D24" s="31"/>
      <c r="E24" s="33" t="s">
        <v>510</v>
      </c>
    </row>
    <row r="25" s="28" customFormat="1" ht="28" spans="1:5">
      <c r="A25" s="39" t="s">
        <v>278</v>
      </c>
      <c r="B25" s="40" t="s">
        <v>279</v>
      </c>
      <c r="C25" s="44" t="s">
        <v>465</v>
      </c>
      <c r="D25" s="48" t="s">
        <v>511</v>
      </c>
      <c r="E25" s="33" t="s">
        <v>512</v>
      </c>
    </row>
    <row r="26" s="28" customFormat="1" spans="1:5">
      <c r="A26" s="42"/>
      <c r="B26" s="43"/>
      <c r="C26" s="44"/>
      <c r="D26" s="32" t="s">
        <v>513</v>
      </c>
      <c r="E26" s="33" t="s">
        <v>514</v>
      </c>
    </row>
    <row r="27" s="28" customFormat="1" ht="28" spans="1:5">
      <c r="A27" s="42"/>
      <c r="B27" s="43"/>
      <c r="C27" s="44"/>
      <c r="D27" s="32" t="s">
        <v>515</v>
      </c>
      <c r="E27" s="33" t="s">
        <v>516</v>
      </c>
    </row>
    <row r="28" s="28" customFormat="1" ht="42" spans="1:5">
      <c r="A28" s="42"/>
      <c r="B28" s="43"/>
      <c r="C28" s="44"/>
      <c r="D28" s="32" t="s">
        <v>517</v>
      </c>
      <c r="E28" s="33" t="s">
        <v>518</v>
      </c>
    </row>
    <row r="29" s="28" customFormat="1" ht="42" spans="1:5">
      <c r="A29" s="39" t="s">
        <v>274</v>
      </c>
      <c r="B29" s="40" t="s">
        <v>275</v>
      </c>
      <c r="C29" s="41" t="s">
        <v>465</v>
      </c>
      <c r="D29" s="32" t="s">
        <v>466</v>
      </c>
      <c r="E29" s="33" t="s">
        <v>519</v>
      </c>
    </row>
    <row r="30" s="28" customFormat="1" ht="70" spans="1:5">
      <c r="A30" s="42"/>
      <c r="B30" s="43"/>
      <c r="C30" s="44"/>
      <c r="D30" s="32" t="s">
        <v>520</v>
      </c>
      <c r="E30" s="33" t="s">
        <v>521</v>
      </c>
    </row>
    <row r="31" s="28" customFormat="1" spans="1:5">
      <c r="A31" s="42"/>
      <c r="B31" s="43"/>
      <c r="C31" s="44"/>
      <c r="D31" s="32" t="s">
        <v>511</v>
      </c>
      <c r="E31" s="33" t="s">
        <v>522</v>
      </c>
    </row>
    <row r="32" s="28" customFormat="1" ht="28" spans="1:5">
      <c r="A32" s="42"/>
      <c r="B32" s="43"/>
      <c r="C32" s="45"/>
      <c r="D32" s="32" t="s">
        <v>523</v>
      </c>
      <c r="E32" s="33" t="s">
        <v>524</v>
      </c>
    </row>
    <row r="33" s="28" customFormat="1" ht="42" spans="1:5">
      <c r="A33" s="42"/>
      <c r="B33" s="49"/>
      <c r="C33" s="46" t="s">
        <v>476</v>
      </c>
      <c r="D33" s="47"/>
      <c r="E33" s="33" t="s">
        <v>525</v>
      </c>
    </row>
    <row r="34" s="28" customFormat="1" ht="42" spans="1:5">
      <c r="A34" s="42"/>
      <c r="B34" s="50" t="s">
        <v>526</v>
      </c>
      <c r="C34" s="36" t="s">
        <v>476</v>
      </c>
      <c r="D34" s="51"/>
      <c r="E34" s="52" t="s">
        <v>527</v>
      </c>
    </row>
    <row r="35" s="28" customFormat="1" ht="42" spans="1:5">
      <c r="A35" s="53"/>
      <c r="B35" s="54"/>
      <c r="C35" s="36" t="s">
        <v>465</v>
      </c>
      <c r="D35" s="51"/>
      <c r="E35" s="52" t="s">
        <v>528</v>
      </c>
    </row>
    <row r="36" s="28" customFormat="1" spans="1:5">
      <c r="A36" s="39" t="s">
        <v>281</v>
      </c>
      <c r="B36" s="55" t="s">
        <v>529</v>
      </c>
      <c r="C36" s="56"/>
      <c r="D36" s="57"/>
      <c r="E36" s="52" t="s">
        <v>128</v>
      </c>
    </row>
    <row r="37" s="28" customFormat="1" spans="1:5">
      <c r="A37" s="53"/>
      <c r="B37" s="58" t="s">
        <v>530</v>
      </c>
      <c r="C37" s="59"/>
      <c r="D37" s="60"/>
      <c r="E37" s="33" t="s">
        <v>531</v>
      </c>
    </row>
    <row r="38" s="28" customFormat="1" spans="1:5">
      <c r="A38" s="29" t="s">
        <v>282</v>
      </c>
      <c r="B38" s="58" t="s">
        <v>532</v>
      </c>
      <c r="C38" s="59"/>
      <c r="D38" s="60"/>
      <c r="E38" s="33" t="s">
        <v>533</v>
      </c>
    </row>
    <row r="39" s="28" customFormat="1" spans="1:5">
      <c r="A39" s="39" t="s">
        <v>284</v>
      </c>
      <c r="B39" s="40" t="s">
        <v>534</v>
      </c>
      <c r="C39" s="41" t="s">
        <v>465</v>
      </c>
      <c r="D39" s="32" t="s">
        <v>535</v>
      </c>
      <c r="E39" s="33" t="s">
        <v>536</v>
      </c>
    </row>
    <row r="40" s="28" customFormat="1" spans="1:5">
      <c r="A40" s="42"/>
      <c r="B40" s="43"/>
      <c r="C40" s="45"/>
      <c r="D40" s="32" t="s">
        <v>537</v>
      </c>
      <c r="E40" s="33" t="s">
        <v>538</v>
      </c>
    </row>
    <row r="41" s="28" customFormat="1" spans="1:5">
      <c r="A41" s="42"/>
      <c r="B41" s="43"/>
      <c r="C41" s="46" t="s">
        <v>539</v>
      </c>
      <c r="D41" s="47"/>
      <c r="E41" s="33" t="s">
        <v>540</v>
      </c>
    </row>
    <row r="42" s="28" customFormat="1" spans="1:5">
      <c r="A42" s="53"/>
      <c r="B42" s="49"/>
      <c r="C42" s="46" t="s">
        <v>476</v>
      </c>
      <c r="D42" s="47"/>
      <c r="E42" s="33" t="s">
        <v>541</v>
      </c>
    </row>
    <row r="43" s="28" customFormat="1" spans="1:5">
      <c r="A43" s="39" t="s">
        <v>286</v>
      </c>
      <c r="B43" s="50" t="s">
        <v>532</v>
      </c>
      <c r="C43" s="61" t="s">
        <v>542</v>
      </c>
      <c r="D43" s="62"/>
      <c r="E43" s="52" t="s">
        <v>543</v>
      </c>
    </row>
    <row r="44" s="28" customFormat="1" ht="28" spans="1:5">
      <c r="A44" s="42"/>
      <c r="B44" s="54"/>
      <c r="C44" s="61" t="s">
        <v>517</v>
      </c>
      <c r="D44" s="62"/>
      <c r="E44" s="52" t="s">
        <v>544</v>
      </c>
    </row>
    <row r="45" s="28" customFormat="1" spans="1:5">
      <c r="A45" s="53"/>
      <c r="B45" s="58" t="s">
        <v>545</v>
      </c>
      <c r="C45" s="59"/>
      <c r="D45" s="60"/>
      <c r="E45" s="33" t="s">
        <v>146</v>
      </c>
    </row>
    <row r="46" s="28" customFormat="1" spans="1:5">
      <c r="A46" s="39" t="s">
        <v>294</v>
      </c>
      <c r="B46" s="40" t="s">
        <v>546</v>
      </c>
      <c r="C46" s="41" t="s">
        <v>465</v>
      </c>
      <c r="D46" s="32" t="s">
        <v>547</v>
      </c>
      <c r="E46" s="33"/>
    </row>
    <row r="47" s="28" customFormat="1" spans="1:5">
      <c r="A47" s="42"/>
      <c r="B47" s="43"/>
      <c r="C47" s="44"/>
      <c r="D47" s="32" t="s">
        <v>548</v>
      </c>
      <c r="E47" s="33"/>
    </row>
    <row r="48" s="28" customFormat="1" spans="1:5">
      <c r="A48" s="53"/>
      <c r="B48" s="49"/>
      <c r="C48" s="45"/>
      <c r="D48" s="32" t="s">
        <v>517</v>
      </c>
      <c r="E48" s="33" t="s">
        <v>549</v>
      </c>
    </row>
    <row r="49" s="28" customFormat="1" spans="1:5">
      <c r="A49" s="29" t="s">
        <v>288</v>
      </c>
      <c r="B49" s="58" t="s">
        <v>289</v>
      </c>
      <c r="C49" s="59"/>
      <c r="D49" s="60"/>
      <c r="E49" s="33" t="s">
        <v>550</v>
      </c>
    </row>
    <row r="50" s="28" customFormat="1" spans="1:5">
      <c r="A50" s="39" t="s">
        <v>290</v>
      </c>
      <c r="B50" s="58" t="s">
        <v>532</v>
      </c>
      <c r="C50" s="59"/>
      <c r="D50" s="60"/>
      <c r="E50" s="33" t="s">
        <v>551</v>
      </c>
    </row>
    <row r="51" s="28" customFormat="1" spans="1:5">
      <c r="A51" s="53"/>
      <c r="B51" s="58" t="s">
        <v>532</v>
      </c>
      <c r="C51" s="59"/>
      <c r="D51" s="60"/>
      <c r="E51" s="33" t="s">
        <v>159</v>
      </c>
    </row>
    <row r="52" s="28" customFormat="1" spans="1:5">
      <c r="A52" s="29" t="s">
        <v>293</v>
      </c>
      <c r="B52" s="58" t="s">
        <v>532</v>
      </c>
      <c r="C52" s="59"/>
      <c r="D52" s="60"/>
      <c r="E52" s="33"/>
    </row>
    <row r="53" s="28" customFormat="1" spans="1:5">
      <c r="A53" s="39" t="s">
        <v>552</v>
      </c>
      <c r="B53" s="58" t="s">
        <v>532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553</v>
      </c>
    </row>
    <row r="55" s="28" customFormat="1" spans="1:5">
      <c r="A55" s="29" t="s">
        <v>295</v>
      </c>
      <c r="B55" s="30"/>
      <c r="C55" s="31"/>
      <c r="D55" s="32"/>
      <c r="E55" s="33" t="s">
        <v>554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555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556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557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558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559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24</v>
      </c>
      <c r="B9" s="8"/>
      <c r="C9" s="9"/>
      <c r="D9" s="10"/>
      <c r="E9" s="11"/>
      <c r="F9" s="12"/>
      <c r="G9" s="13"/>
    </row>
    <row r="10" s="6" customFormat="1" ht="28" spans="1:7">
      <c r="A10" s="14" t="s">
        <v>25</v>
      </c>
      <c r="B10" s="23" t="s">
        <v>560</v>
      </c>
      <c r="C10" s="9"/>
      <c r="D10" s="10"/>
      <c r="E10" s="11"/>
      <c r="F10" s="12"/>
      <c r="G10" s="13"/>
    </row>
    <row r="11" s="6" customFormat="1" spans="1:7">
      <c r="A11" s="14" t="s">
        <v>27</v>
      </c>
      <c r="B11" s="8"/>
      <c r="C11" s="9"/>
      <c r="D11" s="10"/>
      <c r="E11" s="11"/>
      <c r="F11" s="12"/>
      <c r="G11" s="13"/>
    </row>
    <row r="12" s="6" customFormat="1" spans="1:7">
      <c r="A12" s="14" t="s">
        <v>28</v>
      </c>
      <c r="B12" s="8"/>
      <c r="C12" s="9"/>
      <c r="D12" s="10"/>
      <c r="E12" s="11"/>
      <c r="F12" s="12"/>
      <c r="G12" s="13"/>
    </row>
    <row r="13" s="6" customFormat="1" spans="1:7">
      <c r="A13" s="14" t="s">
        <v>29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31</v>
      </c>
      <c r="B14" s="23" t="s">
        <v>561</v>
      </c>
      <c r="C14" s="9"/>
      <c r="D14" s="10"/>
      <c r="E14" s="11"/>
      <c r="F14" s="12"/>
      <c r="G14" s="13"/>
    </row>
    <row r="15" s="6" customFormat="1" spans="1:7">
      <c r="A15" s="14" t="s">
        <v>33</v>
      </c>
      <c r="B15" s="8"/>
      <c r="C15" s="9"/>
      <c r="D15" s="10"/>
      <c r="E15" s="11"/>
      <c r="F15" s="12"/>
      <c r="G15" s="13"/>
    </row>
    <row r="16" s="6" customFormat="1" spans="1:7">
      <c r="A16" s="14" t="s">
        <v>34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36</v>
      </c>
      <c r="B17" s="8"/>
      <c r="C17" s="22" t="s">
        <v>562</v>
      </c>
      <c r="D17" s="10"/>
      <c r="E17" s="11"/>
      <c r="F17" s="12"/>
      <c r="G17" s="13"/>
    </row>
    <row r="18" s="6" customFormat="1" spans="1:7">
      <c r="A18" s="14" t="s">
        <v>38</v>
      </c>
      <c r="B18" s="8"/>
      <c r="C18" s="9"/>
      <c r="D18" s="10"/>
      <c r="E18" s="11"/>
      <c r="F18" s="12"/>
      <c r="G18" s="13"/>
    </row>
    <row r="19" s="6" customFormat="1" spans="1:7">
      <c r="A19" s="14" t="s">
        <v>40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42</v>
      </c>
      <c r="B20" s="23" t="s">
        <v>563</v>
      </c>
      <c r="C20" s="9" t="s">
        <v>564</v>
      </c>
      <c r="D20" s="10"/>
      <c r="E20" s="11"/>
      <c r="F20" s="12"/>
      <c r="G20" s="13"/>
    </row>
    <row r="21" s="6" customFormat="1" ht="280" spans="1:7">
      <c r="A21" s="14" t="s">
        <v>45</v>
      </c>
      <c r="B21" s="8" t="s">
        <v>565</v>
      </c>
      <c r="C21" s="9" t="s">
        <v>566</v>
      </c>
      <c r="D21" s="10"/>
      <c r="E21" s="11"/>
      <c r="F21" s="12"/>
      <c r="G21" s="13"/>
    </row>
    <row r="22" s="6" customFormat="1" spans="1:7">
      <c r="A22" s="14" t="s">
        <v>49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50</v>
      </c>
      <c r="B23" s="23" t="s">
        <v>567</v>
      </c>
      <c r="C23" s="9"/>
      <c r="D23" s="10"/>
      <c r="E23" s="11"/>
      <c r="F23" s="12"/>
      <c r="G23" s="13"/>
    </row>
    <row r="24" s="6" customFormat="1" ht="70" spans="1:7">
      <c r="A24" s="14" t="s">
        <v>52</v>
      </c>
      <c r="B24" s="23" t="s">
        <v>568</v>
      </c>
      <c r="C24" s="22" t="s">
        <v>569</v>
      </c>
      <c r="D24" s="10"/>
      <c r="E24" s="11"/>
      <c r="F24" s="12"/>
      <c r="G24" s="13"/>
    </row>
    <row r="25" s="6" customFormat="1" spans="1:7">
      <c r="A25" s="14" t="s">
        <v>56</v>
      </c>
      <c r="B25" s="8"/>
      <c r="C25" s="9"/>
      <c r="D25" s="10"/>
      <c r="E25" s="11"/>
      <c r="F25" s="12"/>
      <c r="G25" s="13"/>
    </row>
    <row r="26" s="6" customFormat="1" spans="1:7">
      <c r="A26" s="14" t="s">
        <v>57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58</v>
      </c>
      <c r="B27" s="8" t="s">
        <v>570</v>
      </c>
      <c r="C27" s="22" t="s">
        <v>571</v>
      </c>
      <c r="D27" s="10"/>
      <c r="E27" s="11"/>
      <c r="F27" s="12"/>
      <c r="G27" s="13"/>
    </row>
    <row r="28" s="6" customFormat="1" ht="409" customHeight="1" spans="1:7">
      <c r="A28" s="14" t="s">
        <v>61</v>
      </c>
      <c r="B28" s="8" t="s">
        <v>572</v>
      </c>
      <c r="C28" s="22" t="s">
        <v>573</v>
      </c>
      <c r="D28" s="10"/>
      <c r="E28" s="11"/>
      <c r="F28" s="12"/>
      <c r="G28" s="13"/>
    </row>
    <row r="29" s="6" customFormat="1" spans="1:7">
      <c r="A29" s="14" t="s">
        <v>65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66</v>
      </c>
      <c r="B30" s="8"/>
      <c r="C30" s="22" t="s">
        <v>574</v>
      </c>
      <c r="D30" s="10"/>
      <c r="E30" s="11"/>
      <c r="F30" s="12"/>
      <c r="G30" s="13"/>
    </row>
    <row r="31" s="6" customFormat="1" spans="1:7">
      <c r="A31" s="14" t="s">
        <v>69</v>
      </c>
      <c r="B31" s="8"/>
      <c r="C31" s="9"/>
      <c r="D31" s="10"/>
      <c r="E31" s="11"/>
      <c r="F31" s="12"/>
      <c r="G31" s="13"/>
    </row>
    <row r="32" s="6" customFormat="1" spans="1:7">
      <c r="A32" s="14" t="s">
        <v>70</v>
      </c>
      <c r="B32" s="8"/>
      <c r="C32" s="9"/>
      <c r="D32" s="10"/>
      <c r="E32" s="11"/>
      <c r="F32" s="12"/>
      <c r="G32" s="13"/>
    </row>
    <row r="33" s="6" customFormat="1" spans="1:7">
      <c r="A33" s="14" t="s">
        <v>71</v>
      </c>
      <c r="B33" s="8"/>
      <c r="C33" s="9"/>
      <c r="D33" s="10"/>
      <c r="E33" s="11"/>
      <c r="F33" s="12"/>
      <c r="G33" s="13"/>
    </row>
    <row r="34" s="6" customFormat="1" spans="1:7">
      <c r="A34" s="14" t="s">
        <v>72</v>
      </c>
      <c r="B34" s="8"/>
      <c r="C34" s="9"/>
      <c r="D34" s="10"/>
      <c r="E34" s="11"/>
      <c r="F34" s="12"/>
      <c r="G34" s="13"/>
    </row>
    <row r="35" s="6" customFormat="1" spans="1:7">
      <c r="A35" s="14" t="s">
        <v>73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74</v>
      </c>
      <c r="B36" s="23" t="s">
        <v>575</v>
      </c>
      <c r="C36" s="9"/>
      <c r="D36" s="10"/>
      <c r="E36" s="11"/>
      <c r="F36" s="12"/>
      <c r="G36" s="13"/>
    </row>
    <row r="37" s="6" customFormat="1" ht="126" spans="1:7">
      <c r="A37" s="14" t="s">
        <v>76</v>
      </c>
      <c r="B37" s="8"/>
      <c r="C37" s="22" t="s">
        <v>576</v>
      </c>
      <c r="D37" s="10"/>
      <c r="E37" s="11"/>
      <c r="F37" s="12"/>
      <c r="G37" s="13"/>
    </row>
    <row r="38" s="6" customFormat="1" ht="28" spans="1:7">
      <c r="A38" s="14" t="s">
        <v>79</v>
      </c>
      <c r="B38" s="24" t="s">
        <v>577</v>
      </c>
      <c r="C38" s="25"/>
      <c r="D38" s="26"/>
      <c r="E38" s="26"/>
      <c r="F38" s="26"/>
      <c r="G38" s="26"/>
    </row>
    <row r="39" s="6" customFormat="1" ht="42" spans="1:7">
      <c r="A39" s="14" t="s">
        <v>81</v>
      </c>
      <c r="B39" s="8"/>
      <c r="C39" s="22" t="s">
        <v>578</v>
      </c>
      <c r="D39" s="10"/>
      <c r="E39" s="11"/>
      <c r="F39" s="12"/>
      <c r="G39" s="13"/>
    </row>
    <row r="40" s="6" customFormat="1" spans="1:7">
      <c r="A40" s="14" t="s">
        <v>84</v>
      </c>
      <c r="B40" s="23" t="s">
        <v>579</v>
      </c>
      <c r="C40" s="22" t="s">
        <v>580</v>
      </c>
      <c r="D40" s="10"/>
      <c r="E40" s="11"/>
      <c r="F40" s="12"/>
      <c r="G40" s="13"/>
    </row>
    <row r="41" s="6" customFormat="1" ht="126" spans="1:7">
      <c r="A41" s="14" t="s">
        <v>88</v>
      </c>
      <c r="B41" s="8"/>
      <c r="C41" s="22" t="s">
        <v>581</v>
      </c>
      <c r="D41" s="10"/>
      <c r="E41" s="11"/>
      <c r="F41" s="12"/>
      <c r="G41" s="13"/>
    </row>
    <row r="42" s="6" customFormat="1" spans="1:7">
      <c r="A42" s="14" t="s">
        <v>92</v>
      </c>
      <c r="B42" s="8"/>
      <c r="C42" s="9"/>
      <c r="D42" s="10"/>
      <c r="E42" s="11"/>
      <c r="F42" s="12"/>
      <c r="G42" s="13"/>
    </row>
    <row r="43" s="6" customFormat="1" spans="1:7">
      <c r="A43" s="14" t="s">
        <v>93</v>
      </c>
      <c r="B43" s="23" t="s">
        <v>582</v>
      </c>
      <c r="C43" s="9"/>
      <c r="D43" s="10"/>
      <c r="E43" s="11"/>
      <c r="F43" s="12"/>
      <c r="G43" s="13"/>
    </row>
    <row r="44" s="6" customFormat="1" spans="1:7">
      <c r="A44" s="14" t="s">
        <v>95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97</v>
      </c>
      <c r="B45" s="8" t="s">
        <v>583</v>
      </c>
      <c r="C45" s="9"/>
      <c r="D45" s="10"/>
      <c r="E45" s="11"/>
      <c r="F45" s="12"/>
      <c r="G45" s="13"/>
    </row>
    <row r="46" s="6" customFormat="1" spans="1:7">
      <c r="A46" s="14" t="s">
        <v>100</v>
      </c>
      <c r="B46" s="8"/>
      <c r="C46" s="9"/>
      <c r="D46" s="10"/>
      <c r="E46" s="11"/>
      <c r="F46" s="12"/>
      <c r="G46" s="13"/>
    </row>
    <row r="47" s="6" customFormat="1" spans="1:7">
      <c r="A47" s="14" t="s">
        <v>101</v>
      </c>
      <c r="B47" s="8"/>
      <c r="C47" s="9"/>
      <c r="D47" s="10"/>
      <c r="E47" s="11"/>
      <c r="F47" s="12"/>
      <c r="G47" s="13"/>
    </row>
    <row r="48" s="6" customFormat="1" spans="1:7">
      <c r="A48" s="14" t="s">
        <v>103</v>
      </c>
      <c r="B48" s="8"/>
      <c r="C48" s="22" t="s">
        <v>584</v>
      </c>
      <c r="D48" s="10"/>
      <c r="E48" s="11"/>
      <c r="F48" s="12"/>
      <c r="G48" s="13"/>
    </row>
    <row r="49" s="6" customFormat="1" spans="1:7">
      <c r="A49" s="14" t="s">
        <v>106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107</v>
      </c>
      <c r="B50" s="8"/>
      <c r="C50" s="22" t="s">
        <v>585</v>
      </c>
      <c r="D50" s="10"/>
      <c r="E50" s="11"/>
      <c r="F50" s="12"/>
      <c r="G50" s="13"/>
    </row>
    <row r="51" s="6" customFormat="1" spans="1:7">
      <c r="A51" s="14" t="s">
        <v>109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110</v>
      </c>
      <c r="B52" s="8" t="s">
        <v>586</v>
      </c>
      <c r="C52" s="22" t="s">
        <v>587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588</v>
      </c>
      <c r="C1" s="3" t="s">
        <v>589</v>
      </c>
      <c r="E1" s="3" t="s">
        <v>407</v>
      </c>
      <c r="F1" s="3" t="s">
        <v>590</v>
      </c>
    </row>
    <row r="2" spans="2:6">
      <c r="B2" s="4" t="s">
        <v>591</v>
      </c>
      <c r="C2" s="4">
        <v>13</v>
      </c>
      <c r="E2" s="4" t="s">
        <v>592</v>
      </c>
      <c r="F2" s="4">
        <v>6</v>
      </c>
    </row>
    <row r="3" spans="2:6">
      <c r="B3" s="4" t="s">
        <v>593</v>
      </c>
      <c r="C3" s="4">
        <v>13</v>
      </c>
      <c r="E3" s="4" t="s">
        <v>594</v>
      </c>
      <c r="F3" s="4">
        <v>13</v>
      </c>
    </row>
    <row r="4" spans="2:6">
      <c r="B4" s="4" t="s">
        <v>595</v>
      </c>
      <c r="C4" s="4">
        <v>12</v>
      </c>
      <c r="E4" s="4" t="s">
        <v>462</v>
      </c>
      <c r="F4" s="4">
        <v>4</v>
      </c>
    </row>
    <row r="5" spans="2:6">
      <c r="B5" s="4" t="s">
        <v>596</v>
      </c>
      <c r="C5" s="4">
        <v>2</v>
      </c>
      <c r="E5" s="4" t="s">
        <v>597</v>
      </c>
      <c r="F5" s="4">
        <v>6</v>
      </c>
    </row>
    <row r="6" spans="2:6">
      <c r="B6" s="4" t="s">
        <v>598</v>
      </c>
      <c r="C6" s="4">
        <v>2</v>
      </c>
      <c r="E6" s="4" t="s">
        <v>599</v>
      </c>
      <c r="F6" s="4">
        <v>4</v>
      </c>
    </row>
    <row r="7" spans="2:6">
      <c r="B7" s="4" t="s">
        <v>600</v>
      </c>
      <c r="C7" s="4">
        <v>1</v>
      </c>
      <c r="E7" s="4" t="s">
        <v>601</v>
      </c>
      <c r="F7" s="4">
        <v>1</v>
      </c>
    </row>
    <row r="8" spans="2:6">
      <c r="B8" s="4" t="s">
        <v>602</v>
      </c>
      <c r="C8" s="4">
        <v>4</v>
      </c>
      <c r="E8" s="4" t="s">
        <v>603</v>
      </c>
      <c r="F8" s="4">
        <v>3</v>
      </c>
    </row>
    <row r="9" spans="2:6">
      <c r="E9" s="4" t="s">
        <v>604</v>
      </c>
      <c r="F9" s="4">
        <v>1</v>
      </c>
    </row>
    <row r="10" spans="2:6">
      <c r="E10" s="4" t="s">
        <v>605</v>
      </c>
      <c r="F10" s="4">
        <v>5</v>
      </c>
    </row>
    <row r="11" spans="2:6">
      <c r="E11" s="4" t="s">
        <v>606</v>
      </c>
      <c r="F11" s="4">
        <v>1</v>
      </c>
    </row>
    <row r="12" spans="2:6">
      <c r="E12" s="4" t="s">
        <v>602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2026-01-14T11:48:51Z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