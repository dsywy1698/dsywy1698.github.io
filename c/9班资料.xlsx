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3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<sst xmlns="http://schemas.openxmlformats.org/spreadsheetml/2006/main" count="1025" uniqueCount="638">
  <si>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</si>
  <si>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</si>
  <si>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</si>
  <si>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</si>
  <si>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</si>
  <si>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</si>
  <si>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</si>
  <si>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</si>
  <si>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</si>
  <si>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</si>
  <si>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</si>
  <si>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</si>
  <si>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</si>
  <si>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</si>
  <si>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</si>
  <si>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</si>
  <si>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</si>
  <si>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</si>
  <si>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</si>
  <si>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</si>
  <si>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</si>
  <si>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</si>
  <si>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</si>
  <si>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</si>
  <si>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</si>
  <si>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</si>
  <si>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</si>
  <si>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</si>
  <si>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</si>
  <si>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</si>
  <si>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</si>
  <si>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</si>
  <si>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</si>
  <si>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</si>
  <si>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</si>
  <si>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</si>
  <si>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</si>
  <si>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</si>
  <si>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</si>
  <si>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</si>
  <si>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</si>
  <si>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</si>
  <si>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</si>
  <si>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</si>
  <si>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</si>
  <si>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</si>
  <si>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</si>
  <si>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</si>
  <si>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</si>
  <si>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</si>
  <si>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</si>
  <si>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</si>
  <si>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</si>
  <si>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</si>
  <si>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</si>
  <si>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</si>
  <si>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</si>
  <si>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</si>
  <si>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</si>
  <si>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</si>
  <si>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</si>
  <si>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</si>
  <si>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</si>
  <si>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</si>
  <si>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</si>
  <si>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</si>
  <si>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</si>
  <si>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</si>
  <si>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</si>
  <si>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</si>
  <si>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</si>
  <si>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</si>
  <si>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</si>
  <si>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</si>
  <si>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</si>
  <si>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</si>
  <si>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</si>
  <si>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</si>
  <si>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</si>
  <si>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</si>
  <si>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</si>
  <si>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</si>
  <si>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</si>
  <si>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</si>
  <si>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</si>
  <si>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</si>
  <si>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</si>
  <si>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</si>
  <si>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</si>
  <si>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</si>
  <si>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</si>
  <si>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</si>
  <si>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</si>
  <si>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</si>
  <si>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</si>
  <si>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</si>
  <si>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</si>
  <si>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</si>
  <si>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</si>
  <si>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</si>
  <si>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</si>
  <si>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</si>
  <si>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</si>
  <si>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</si>
  <si>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</si>
  <si>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</si>
  <si>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</si>
  <si>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</si>
  <si>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</si>
  <si>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</si>
  <si>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</si>
  <si>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</si>
  <si>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</si>
  <si>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</si>
  <si>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</si>
  <si>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</si>
  <si>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</si>
  <si>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</si>
  <si>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</si>
  <si>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</si>
  <si>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</si>
  <si>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</si>
  <si>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</si>
  <si>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</si>
  <si>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</si>
  <si>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</si>
  <si>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</si>
  <si>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</si>
  <si>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</si>
  <si>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</si>
  <si>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</si>
  <si>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</si>
  <si>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</si>
  <si>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</si>
  <si>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</si>
  <si>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</si>
  <si>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</si>
  <si>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</si>
  <si>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</si>
  <si>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</si>
  <si>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</si>
  <si>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</si>
  <si>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</si>
  <si>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</si>
  <si>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</si>
  <si>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</si>
  <si>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</si>
  <si>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</si>
  <si>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</si>
  <si>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</si>
  <si>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</si>
  <si>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</si>
  <si>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</si>
  <si>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</si>
  <si>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</si>
  <si>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</si>
  <si>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</si>
  <si>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</si>
  <si>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</si>
  <si>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</si>
  <si>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</si>
  <si>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</si>
  <si>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</si>
  <si>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</si>
  <si>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</si>
  <si>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</si>
  <si>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</si>
  <si>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</si>
  <si>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</si>
  <si>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</si>
  <si>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</si>
  <si>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</si>
  <si>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</si>
  <si>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</si>
  <si>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</si>
  <si>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</si>
  <si>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</si>
  <si>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</si>
  <si>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</si>
  <si>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</si>
  <si>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</si>
  <si>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</si>
  <si>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</si>
  <si>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</si>
  <si>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</si>
  <si>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</si>
  <si>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</si>
  <si>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</si>
  <si>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</si>
  <si>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</si>
  <si>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</si>
  <si>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</si>
  <si>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</si>
  <si>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</si>
  <si>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</si>
  <si>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</si>
  <si>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</si>
  <si>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</si>
  <si>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</si>
  <si>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</si>
  <si>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</si>
  <si>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</si>
  <si>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</si>
  <si>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</si>
  <si>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</si>
  <si>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</si>
  <si>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</si>
  <si>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</si>
  <si>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</si>
  <si>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</si>
  <si>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</si>
  <si>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</si>
  <si>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</si>
  <si>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</si>
  <si>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</si>
  <si>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</si>
  <si>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</si>
  <si>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</si>
  <si>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</si>
  <si>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</si>
  <si>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</si>
  <si>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</si>
  <si>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</si>
  <si>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</si>
  <si>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</si>
  <si>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</si>
  <si>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</si>
  <si>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</si>
  <si>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</si>
  <si>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</si>
  <si>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</si>
  <si>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</si>
  <si>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</si>
  <si>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</si>
  <si>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</si>
  <si>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</si>
  <si>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</si>
  <si>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</si>
  <si>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</si>
  <si>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</si>
  <si>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</si>
  <si>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</si>
  <si>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八上1.21</t>
  </si>
  <si>
    <t>英语课研究三角函数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</si>
  <si>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</si>
  <si>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</si>
  <si>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</si>
  <si>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</si>
  <si>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</si>
  <si>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</si>
  <si>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</si>
  <si>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</si>
  <si>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</si>
  <si>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</si>
  <si>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</si>
  <si>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</si>
  <si>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</si>
  <si>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</si>
  <si>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</si>
  <si>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</si>
  <si>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</si>
  <si>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</si>
  <si>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</si>
  <si>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</si>
  <si>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</si>
  <si>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</si>
  <si>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</si>
  <si>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</si>
  <si>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</si>
  <si>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</si>
  <si>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</si>
  <si>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</si>
  <si>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</si>
  <si>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</si>
  <si>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</si>
  <si>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</si>
  <si>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</si>
  <si>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</si>
  <si>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听到“然后，晚自习”</t>
  </si>
  <si>
    <t>政治老师：你坐好嘛，女孩子……注意自己的形象。</t>
  </si>
  <si>
    <t>吃东西</t>
  </si>
  <si>
    <t>崔宇臣：塔斯汀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</si>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</sst>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华文仿宋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I78"/>
  <sheetViews>
    <sheetView zoomScale="85" zoomScaleNormal="85" workbookViewId="0">
      <selection activeCell="B20" sqref="B20"/>
    </sheetView>
  </sheetViews>
  <sheetFormatPr defaultColWidth="8.72727272727273" defaultRowHeight="14"/>
  <cols>
    <col min="1" max="1" width="7.59090909090909" style="71" customWidth="1"/>
    <col min="2" max="7" width="25.8727272727273" style="223" customWidth="1"/>
    <col min="9" max="9" width="18.9181818181818" customWidth="1"/>
  </cols>
  <sheetData>
    <row r="1" s="222" customFormat="1" spans="1:7">
      <c r="A1" s="68" t="s">
        <v>0</v>
      </c>
      <c r="B1" s="224" t="s">
        <v>1</v>
      </c>
      <c r="C1" s="224" t="s">
        <v>2</v>
      </c>
      <c r="D1" s="224" t="s">
        <v>3</v>
      </c>
      <c r="E1" s="224" t="s">
        <v>4</v>
      </c>
      <c r="F1" s="224" t="s">
        <v>5</v>
      </c>
      <c r="G1" s="224" t="s">
        <v>6</v>
      </c>
    </row>
    <row r="2" spans="1:7">
      <c r="A2" s="72" t="s">
        <v>7</v>
      </c>
      <c r="B2" s="223" t="s">
        <v>8</v>
      </c>
      <c r="C2" s="223" t="s">
        <v>9</v>
      </c>
    </row>
    <row r="3" ht="52" spans="1:7">
      <c r="A3" s="72" t="s">
        <v>10</v>
      </c>
      <c r="C3" s="223" t="s">
        <v>11</v>
      </c>
      <c r="D3" s="223" t="s">
        <v>12</v>
      </c>
    </row>
    <row r="4" spans="1:7">
      <c r="A4" s="72" t="s">
        <v>13</v>
      </c>
      <c r="D4" s="223" t="s">
        <v>14</v>
      </c>
    </row>
    <row r="5" spans="1:7">
      <c r="A5" s="72" t="s">
        <v>15</v>
      </c>
      <c r="C5" s="223" t="s">
        <v>16</v>
      </c>
      <c r="D5" s="223" t="s">
        <v>17</v>
      </c>
    </row>
    <row r="6" spans="1:7">
      <c r="A6" s="72" t="s">
        <v>18</v>
      </c>
      <c r="C6" s="223" t="s">
        <v>19</v>
      </c>
    </row>
    <row r="7" ht="221" spans="1:7">
      <c r="A7" s="72" t="s">
        <v>20</v>
      </c>
      <c r="B7" s="223" t="s">
        <v>21</v>
      </c>
      <c r="C7" s="223" t="s">
        <v>22</v>
      </c>
      <c r="D7" s="223" t="s">
        <v>23</v>
      </c>
    </row>
    <row r="8" ht="26" spans="1:7">
      <c r="A8" s="72" t="s">
        <v>24</v>
      </c>
      <c r="D8" s="223" t="s">
        <v>25</v>
      </c>
    </row>
    <row r="9" spans="1:7">
      <c r="A9" s="72" t="s">
        <v>26</v>
      </c>
    </row>
    <row r="10" spans="1:7">
      <c r="A10" s="72" t="s">
        <v>27</v>
      </c>
      <c r="B10" s="223" t="s">
        <v>28</v>
      </c>
    </row>
    <row r="11" spans="1:7">
      <c r="A11" s="72" t="s">
        <v>29</v>
      </c>
    </row>
    <row r="12" spans="1:7">
      <c r="A12" s="72" t="s">
        <v>30</v>
      </c>
    </row>
    <row r="13" ht="39" spans="1:7">
      <c r="A13" s="72" t="s">
        <v>31</v>
      </c>
      <c r="D13" s="223" t="s">
        <v>32</v>
      </c>
    </row>
    <row r="14" spans="1:7">
      <c r="A14" s="72" t="s">
        <v>33</v>
      </c>
      <c r="B14" s="223" t="s">
        <v>34</v>
      </c>
    </row>
    <row r="15" spans="1:7">
      <c r="A15" s="72" t="s">
        <v>35</v>
      </c>
    </row>
    <row r="16" spans="1:7">
      <c r="A16" s="72" t="s">
        <v>36</v>
      </c>
      <c r="C16" s="223" t="s">
        <v>37</v>
      </c>
    </row>
    <row r="17" ht="26" spans="1:4">
      <c r="A17" s="72" t="s">
        <v>38</v>
      </c>
      <c r="C17" s="223" t="s">
        <v>39</v>
      </c>
    </row>
    <row r="18" spans="1:4">
      <c r="A18" s="72" t="s">
        <v>40</v>
      </c>
      <c r="D18" s="223" t="s">
        <v>41</v>
      </c>
    </row>
    <row r="19" ht="26" spans="1:4">
      <c r="A19" s="72" t="s">
        <v>42</v>
      </c>
      <c r="D19" s="223" t="s">
        <v>43</v>
      </c>
    </row>
    <row r="20" ht="26" spans="1:4">
      <c r="A20" s="72" t="s">
        <v>44</v>
      </c>
      <c r="B20" s="223" t="s">
        <v>45</v>
      </c>
      <c r="C20" s="223" t="s">
        <v>46</v>
      </c>
    </row>
    <row r="21" ht="52" spans="1:4">
      <c r="A21" s="72" t="s">
        <v>47</v>
      </c>
      <c r="B21" s="223" t="s">
        <v>48</v>
      </c>
      <c r="C21" s="223" t="s">
        <v>49</v>
      </c>
      <c r="D21" s="223" t="s">
        <v>50</v>
      </c>
    </row>
    <row r="22" spans="1:4">
      <c r="A22" s="72" t="s">
        <v>51</v>
      </c>
    </row>
    <row r="23" ht="26" spans="1:4">
      <c r="A23" s="72" t="s">
        <v>52</v>
      </c>
      <c r="B23" s="223" t="s">
        <v>53</v>
      </c>
    </row>
    <row r="24" ht="52" spans="1:4">
      <c r="A24" s="72" t="s">
        <v>54</v>
      </c>
      <c r="B24" s="223" t="s">
        <v>55</v>
      </c>
      <c r="C24" s="223" t="s">
        <v>56</v>
      </c>
      <c r="D24" s="223" t="s">
        <v>57</v>
      </c>
    </row>
    <row r="25" spans="1:4">
      <c r="A25" s="72" t="s">
        <v>58</v>
      </c>
    </row>
    <row r="26" spans="1:4">
      <c r="A26" s="72" t="s">
        <v>59</v>
      </c>
    </row>
    <row r="27" spans="1:4">
      <c r="A27" s="72" t="s">
        <v>60</v>
      </c>
      <c r="B27" s="223" t="s">
        <v>61</v>
      </c>
      <c r="C27" s="223" t="s">
        <v>62</v>
      </c>
    </row>
    <row r="28" ht="91" spans="1:4">
      <c r="A28" s="72" t="s">
        <v>63</v>
      </c>
      <c r="B28" s="223" t="s">
        <v>64</v>
      </c>
      <c r="C28" s="223" t="s">
        <v>65</v>
      </c>
      <c r="D28" s="223" t="s">
        <v>66</v>
      </c>
    </row>
    <row r="29" spans="1:4">
      <c r="A29" s="72" t="s">
        <v>67</v>
      </c>
    </row>
    <row r="30" spans="1:4">
      <c r="A30" s="72" t="s">
        <v>68</v>
      </c>
      <c r="B30" s="223" t="s">
        <v>69</v>
      </c>
      <c r="C30" s="223" t="s">
        <v>70</v>
      </c>
    </row>
    <row r="31" spans="1:4">
      <c r="A31" s="72" t="s">
        <v>71</v>
      </c>
    </row>
    <row r="32" spans="1:4">
      <c r="A32" s="72" t="s">
        <v>72</v>
      </c>
    </row>
    <row r="33" spans="1:9">
      <c r="A33" s="72" t="s">
        <v>73</v>
      </c>
    </row>
    <row r="34" spans="1:9">
      <c r="A34" s="72" t="s">
        <v>74</v>
      </c>
    </row>
    <row r="35" spans="1:9">
      <c r="A35" s="72" t="s">
        <v>75</v>
      </c>
    </row>
    <row r="36" spans="1:9">
      <c r="A36" s="72" t="s">
        <v>76</v>
      </c>
      <c r="B36" s="223" t="s">
        <v>77</v>
      </c>
    </row>
    <row r="37" ht="26" spans="1:9">
      <c r="A37" s="72" t="s">
        <v>78</v>
      </c>
      <c r="C37" s="223" t="s">
        <v>79</v>
      </c>
      <c r="D37" s="223" t="s">
        <v>80</v>
      </c>
    </row>
    <row r="38" spans="1:9">
      <c r="A38" s="72" t="s">
        <v>81</v>
      </c>
      <c r="B38" s="223" t="s">
        <v>82</v>
      </c>
      <c r="C38" s="225"/>
      <c r="D38" s="225"/>
      <c r="E38" s="225"/>
      <c r="F38" s="225"/>
      <c r="G38" s="225"/>
    </row>
    <row r="39" ht="26" spans="1:9">
      <c r="A39" s="72" t="s">
        <v>83</v>
      </c>
      <c r="C39" s="223" t="s">
        <v>84</v>
      </c>
      <c r="D39" s="223" t="s">
        <v>85</v>
      </c>
    </row>
    <row r="40" spans="1:9">
      <c r="A40" s="72" t="s">
        <v>86</v>
      </c>
      <c r="B40" s="223" t="s">
        <v>87</v>
      </c>
      <c r="C40" s="223" t="s">
        <v>88</v>
      </c>
      <c r="D40" s="223" t="s">
        <v>89</v>
      </c>
    </row>
    <row r="41" ht="238" spans="1:9">
      <c r="A41" s="72" t="s">
        <v>90</v>
      </c>
      <c r="C41" s="223" t="s">
        <v>91</v>
      </c>
      <c r="D41" s="223" t="s">
        <v>92</v>
      </c>
      <c r="H41" s="226" t="s">
        <v>93</v>
      </c>
      <c r="I41" s="226" t="s">
        <v>94</v>
      </c>
    </row>
    <row r="42" spans="1:9">
      <c r="A42" s="72" t="s">
        <v>95</v>
      </c>
    </row>
    <row r="43" spans="1:9">
      <c r="A43" s="72" t="s">
        <v>96</v>
      </c>
      <c r="B43" s="223" t="s">
        <v>97</v>
      </c>
    </row>
    <row r="44" ht="26" spans="1:9">
      <c r="A44" s="72" t="s">
        <v>98</v>
      </c>
      <c r="B44" s="223" t="s">
        <v>99</v>
      </c>
    </row>
    <row r="45" ht="26" spans="1:9">
      <c r="A45" s="72" t="s">
        <v>100</v>
      </c>
      <c r="C45" s="223" t="s">
        <v>101</v>
      </c>
      <c r="D45" s="223" t="s">
        <v>102</v>
      </c>
    </row>
    <row r="46" spans="1:9">
      <c r="A46" s="72" t="s">
        <v>103</v>
      </c>
    </row>
    <row r="47" spans="1:9">
      <c r="A47" s="72" t="s">
        <v>104</v>
      </c>
      <c r="D47" s="223" t="s">
        <v>105</v>
      </c>
    </row>
    <row r="48" spans="1:9">
      <c r="A48" s="72" t="s">
        <v>106</v>
      </c>
      <c r="C48" s="223" t="s">
        <v>107</v>
      </c>
      <c r="D48" s="223" t="s">
        <v>108</v>
      </c>
    </row>
    <row r="49" spans="1:7">
      <c r="A49" s="72" t="s">
        <v>109</v>
      </c>
    </row>
    <row r="50" ht="78" spans="1:7">
      <c r="A50" s="72" t="s">
        <v>110</v>
      </c>
      <c r="C50" s="223" t="s">
        <v>111</v>
      </c>
    </row>
    <row r="51" spans="1:7">
      <c r="A51" s="72" t="s">
        <v>112</v>
      </c>
    </row>
    <row r="52" ht="26" spans="1:7">
      <c r="A52" s="72" t="s">
        <v>113</v>
      </c>
      <c r="B52" s="223" t="s">
        <v>114</v>
      </c>
      <c r="C52" s="223" t="s">
        <v>115</v>
      </c>
    </row>
    <row r="53" ht="26" spans="1:7">
      <c r="A53" s="71" t="s">
        <v>116</v>
      </c>
      <c r="B53" s="223" t="s">
        <v>117</v>
      </c>
      <c r="D53" s="225"/>
      <c r="E53" s="225"/>
      <c r="F53" s="225"/>
      <c r="G53" s="225"/>
    </row>
    <row r="54" spans="1:7">
      <c r="A54" s="71" t="s">
        <v>118</v>
      </c>
      <c r="B54" s="223" t="s">
        <v>119</v>
      </c>
      <c r="C54" s="223" t="s">
        <v>120</v>
      </c>
      <c r="D54" s="225"/>
      <c r="E54" s="225"/>
      <c r="F54" s="225"/>
      <c r="G54" s="225"/>
    </row>
    <row r="55" ht="65" spans="1:7">
      <c r="A55" s="71" t="s">
        <v>121</v>
      </c>
      <c r="B55" s="225"/>
      <c r="C55" s="225"/>
      <c r="D55" s="223" t="s">
        <v>122</v>
      </c>
    </row>
    <row r="56" ht="65" spans="1:7">
      <c r="A56" s="71" t="s">
        <v>123</v>
      </c>
      <c r="B56" s="78" t="s">
        <v>124</v>
      </c>
      <c r="C56" s="78"/>
      <c r="D56" s="223" t="s">
        <v>125</v>
      </c>
    </row>
    <row r="57" ht="117" spans="1:7">
      <c r="A57" s="71" t="s">
        <v>126</v>
      </c>
      <c r="B57" s="78" t="s">
        <v>127</v>
      </c>
      <c r="C57" s="78" t="s">
        <v>128</v>
      </c>
      <c r="D57" s="223" t="s">
        <v>129</v>
      </c>
    </row>
    <row r="58" spans="1:7">
      <c r="A58" s="71" t="s">
        <v>130</v>
      </c>
      <c r="B58" s="223" t="s">
        <v>131</v>
      </c>
      <c r="C58" s="225"/>
      <c r="D58" s="225"/>
      <c r="E58" s="225"/>
      <c r="F58" s="225"/>
      <c r="G58" s="225"/>
    </row>
    <row r="59" spans="1:7">
      <c r="A59" s="71" t="s">
        <v>132</v>
      </c>
      <c r="B59" s="225"/>
      <c r="C59" s="223" t="s">
        <v>133</v>
      </c>
      <c r="D59" s="225"/>
      <c r="E59" s="225"/>
      <c r="F59" s="225"/>
      <c r="G59" s="225"/>
    </row>
    <row r="60" ht="52" spans="1:7">
      <c r="A60" s="71" t="s">
        <v>134</v>
      </c>
      <c r="B60" s="225" t="s">
        <v>135</v>
      </c>
      <c r="C60" s="225"/>
      <c r="D60" s="223" t="s">
        <v>136</v>
      </c>
    </row>
    <row r="61" spans="1:7">
      <c r="A61" s="71" t="s">
        <v>137</v>
      </c>
      <c r="B61" s="78" t="s">
        <v>138</v>
      </c>
      <c r="C61" s="78"/>
      <c r="D61" s="225"/>
      <c r="E61" s="225"/>
      <c r="F61" s="225"/>
      <c r="G61" s="225"/>
    </row>
    <row r="62" ht="39" spans="1:7">
      <c r="A62" s="71" t="s">
        <v>139</v>
      </c>
      <c r="B62" s="225"/>
      <c r="C62" s="225"/>
      <c r="D62" s="223" t="s">
        <v>140</v>
      </c>
    </row>
    <row r="63" ht="26" spans="1:7">
      <c r="A63" s="71" t="s">
        <v>141</v>
      </c>
      <c r="B63" s="78" t="s">
        <v>142</v>
      </c>
      <c r="C63" s="78" t="s">
        <v>143</v>
      </c>
      <c r="D63" s="225"/>
      <c r="E63" s="225"/>
      <c r="F63" s="225"/>
      <c r="G63" s="225"/>
    </row>
    <row r="64" ht="26" spans="1:7">
      <c r="A64" s="71" t="s">
        <v>144</v>
      </c>
      <c r="B64" s="225"/>
      <c r="C64" s="225"/>
      <c r="D64" s="223" t="s">
        <v>145</v>
      </c>
    </row>
    <row r="65" ht="26" spans="1:7">
      <c r="A65" s="71" t="s">
        <v>146</v>
      </c>
      <c r="B65" s="227" t="s">
        <v>147</v>
      </c>
      <c r="C65" s="225"/>
      <c r="D65" s="225"/>
      <c r="E65" s="225"/>
      <c r="F65" s="225"/>
      <c r="G65" s="225"/>
    </row>
    <row r="66" spans="1:7">
      <c r="A66" s="71" t="s">
        <v>148</v>
      </c>
      <c r="B66" s="225"/>
      <c r="C66" s="223" t="s">
        <v>149</v>
      </c>
      <c r="D66" s="225"/>
      <c r="E66" s="225"/>
      <c r="F66" s="225"/>
      <c r="G66" s="225"/>
    </row>
    <row r="67" spans="1:7">
      <c r="A67" s="71" t="s">
        <v>150</v>
      </c>
      <c r="B67" s="225"/>
      <c r="C67" s="225"/>
    </row>
    <row r="68" ht="65" spans="1:7">
      <c r="A68" s="71" t="s">
        <v>151</v>
      </c>
      <c r="B68" s="225"/>
      <c r="C68" s="225"/>
      <c r="D68" s="223" t="s">
        <v>152</v>
      </c>
    </row>
    <row r="69" spans="1:7">
      <c r="A69" s="71" t="s">
        <v>153</v>
      </c>
      <c r="B69" s="78" t="s">
        <v>154</v>
      </c>
      <c r="C69" s="78"/>
    </row>
    <row r="70" ht="26" spans="1:7">
      <c r="A70" s="71" t="s">
        <v>155</v>
      </c>
      <c r="B70" s="78" t="s">
        <v>156</v>
      </c>
      <c r="C70" s="78"/>
      <c r="D70" s="225"/>
      <c r="E70" s="225"/>
      <c r="F70" s="225"/>
      <c r="G70" s="225"/>
    </row>
    <row r="71" spans="1:7">
      <c r="A71" s="71" t="s">
        <v>157</v>
      </c>
      <c r="B71" s="225"/>
      <c r="C71" s="225"/>
    </row>
    <row r="72" spans="1:7">
      <c r="A72" s="71" t="s">
        <v>158</v>
      </c>
      <c r="B72" s="223" t="s">
        <v>159</v>
      </c>
      <c r="C72" s="223" t="s">
        <v>160</v>
      </c>
      <c r="D72" s="225"/>
      <c r="E72" s="225"/>
      <c r="F72" s="225"/>
      <c r="G72" s="225"/>
    </row>
    <row r="73" spans="1:7">
      <c r="A73" s="71" t="s">
        <v>161</v>
      </c>
      <c r="B73" s="225"/>
      <c r="C73" s="223" t="s">
        <v>162</v>
      </c>
      <c r="D73" s="225"/>
      <c r="E73" s="225"/>
      <c r="F73" s="225"/>
      <c r="G73" s="225"/>
    </row>
    <row r="74" spans="1:7">
      <c r="A74" s="71" t="s">
        <v>163</v>
      </c>
    </row>
    <row r="75" spans="1:7">
      <c r="A75" s="71" t="s">
        <v>164</v>
      </c>
      <c r="D75" s="225"/>
      <c r="E75" s="225"/>
      <c r="F75" s="225"/>
      <c r="G75" s="225"/>
    </row>
    <row r="76" spans="1:7">
      <c r="A76" s="71" t="s">
        <v>165</v>
      </c>
      <c r="B76" s="225"/>
      <c r="C76" s="225"/>
      <c r="D76" s="223" t="s">
        <v>166</v>
      </c>
    </row>
    <row r="77" spans="1:7">
      <c r="A77" s="71" t="s">
        <v>167</v>
      </c>
      <c r="B77" s="78"/>
      <c r="C77" s="78"/>
    </row>
    <row r="78" ht="26" spans="1:7">
      <c r="A78" s="228" t="s">
        <v>168</v>
      </c>
      <c r="B78" s="223" t="s">
        <v>169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17" sqref="B17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170</v>
      </c>
      <c r="B2" s="78"/>
      <c r="C2" s="78"/>
      <c r="D2" s="78" t="s">
        <v>171</v>
      </c>
      <c r="E2" s="78"/>
      <c r="F2" s="78"/>
      <c r="G2" s="78"/>
    </row>
    <row r="3" spans="1:7">
      <c r="A3" s="221" t="s">
        <v>172</v>
      </c>
      <c r="C3" s="66" t="s">
        <v>173</v>
      </c>
    </row>
    <row r="4" spans="1:7">
      <c r="A4" s="221" t="s">
        <v>174</v>
      </c>
      <c r="B4" s="66" t="s">
        <v>175</v>
      </c>
      <c r="D4" s="66" t="s">
        <v>176</v>
      </c>
    </row>
    <row r="5" spans="1:7">
      <c r="A5" s="221" t="s">
        <v>177</v>
      </c>
      <c r="C5" s="66" t="s">
        <v>178</v>
      </c>
      <c r="D5" s="66" t="s">
        <v>179</v>
      </c>
    </row>
    <row r="6" spans="1:7">
      <c r="A6" s="221" t="s">
        <v>180</v>
      </c>
      <c r="B6" s="66" t="s">
        <v>181</v>
      </c>
      <c r="D6" s="66" t="s">
        <v>182</v>
      </c>
    </row>
    <row r="7" spans="1:7">
      <c r="A7" s="221" t="s">
        <v>183</v>
      </c>
      <c r="B7" s="66" t="s">
        <v>184</v>
      </c>
    </row>
    <row r="8" spans="1:7">
      <c r="A8" s="221"/>
      <c r="D8" s="66" t="s">
        <v>185</v>
      </c>
    </row>
    <row r="9" spans="1:7">
      <c r="A9" s="221"/>
    </row>
    <row r="10" spans="1:7">
      <c r="A10" s="221"/>
      <c r="B10" s="66" t="s">
        <v>186</v>
      </c>
    </row>
    <row r="11" spans="1:7">
      <c r="A11" s="221"/>
    </row>
    <row r="12" spans="1:7">
      <c r="A12" s="221"/>
      <c r="B12" s="66" t="s">
        <v>187</v>
      </c>
    </row>
    <row r="13" spans="1:7">
      <c r="A13" s="221"/>
      <c r="B13" s="66" t="s">
        <v>188</v>
      </c>
    </row>
    <row r="14" spans="1:7">
      <c r="A14" s="221"/>
      <c r="B14" s="66" t="s">
        <v>189</v>
      </c>
    </row>
    <row r="15" spans="1:7">
      <c r="A15" s="221"/>
      <c r="B15" s="66" t="s">
        <v>190</v>
      </c>
    </row>
    <row r="16" spans="1:7">
      <c r="A16" s="221"/>
      <c r="B16" s="66" t="s">
        <v>191</v>
      </c>
    </row>
    <row r="17" spans="1:2">
      <c r="A17" s="221"/>
      <c r="B17" s="66" t="s">
        <v>192</v>
      </c>
    </row>
    <row r="18" spans="1:2">
      <c r="A18" s="221"/>
      <c r="B18" s="66" t="s">
        <v>193</v>
      </c>
    </row>
    <row r="19" spans="1:2">
      <c r="A19" s="221"/>
    </row>
    <row r="20" spans="1:2">
      <c r="A20" s="221"/>
    </row>
    <row r="21" spans="1:2">
      <c r="A21" s="221"/>
    </row>
    <row r="22" spans="1:2">
      <c r="A22" s="221"/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5"/>
  <sheetViews>
    <sheetView zoomScale="115" zoomScaleNormal="115" workbookViewId="0">
      <pane ySplit="1" topLeftCell="A35" activePane="bottomLeft" state="frozen"/>
      <selection/>
      <selection pane="bottomLeft" activeCell="C24" sqref="C24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3"/>
  </cols>
  <sheetData>
    <row r="1" s="206" customFormat="1" ht="15" spans="1:3">
      <c r="A1" s="208" t="s">
        <v>194</v>
      </c>
      <c r="B1" s="208" t="s">
        <v>195</v>
      </c>
      <c r="C1" s="208" t="s">
        <v>196</v>
      </c>
    </row>
    <row r="2" spans="1:3">
      <c r="A2" s="209" t="s">
        <v>197</v>
      </c>
      <c r="B2" s="209" t="s">
        <v>198</v>
      </c>
      <c r="C2" s="209" t="s">
        <v>199</v>
      </c>
    </row>
    <row r="3" spans="1:3">
      <c r="A3" s="209" t="s">
        <v>200</v>
      </c>
      <c r="B3" s="209" t="s">
        <v>201</v>
      </c>
      <c r="C3" s="209" t="s">
        <v>202</v>
      </c>
    </row>
    <row r="4" spans="1:3">
      <c r="A4" s="209" t="s">
        <v>203</v>
      </c>
      <c r="B4" s="209" t="s">
        <v>201</v>
      </c>
      <c r="C4" s="209" t="s">
        <v>204</v>
      </c>
    </row>
    <row r="5" ht="56" spans="1:3">
      <c r="A5" s="210" t="s">
        <v>205</v>
      </c>
      <c r="B5" s="209" t="s">
        <v>206</v>
      </c>
      <c r="C5" s="209" t="s">
        <v>207</v>
      </c>
    </row>
    <row r="6" ht="28" spans="1:3">
      <c r="A6" s="211"/>
      <c r="B6" s="209" t="s">
        <v>208</v>
      </c>
      <c r="C6" s="209" t="s">
        <v>209</v>
      </c>
    </row>
    <row r="7" spans="1:3">
      <c r="A7" s="209" t="s">
        <v>210</v>
      </c>
      <c r="B7" s="209" t="s">
        <v>211</v>
      </c>
      <c r="C7" s="209" t="s">
        <v>212</v>
      </c>
    </row>
    <row r="8" spans="1:3">
      <c r="A8" s="212" t="s">
        <v>90</v>
      </c>
      <c r="B8" s="209" t="s">
        <v>213</v>
      </c>
      <c r="C8" s="209" t="s">
        <v>214</v>
      </c>
    </row>
    <row r="9" spans="1:3">
      <c r="A9" s="213"/>
      <c r="B9" s="209" t="s">
        <v>215</v>
      </c>
      <c r="C9" s="209" t="s">
        <v>216</v>
      </c>
    </row>
    <row r="10" spans="1:3">
      <c r="A10" s="213"/>
      <c r="B10" s="209" t="s">
        <v>217</v>
      </c>
      <c r="C10" s="209" t="s">
        <v>218</v>
      </c>
    </row>
    <row r="11" spans="1:3">
      <c r="A11" s="213"/>
      <c r="B11" s="209" t="s">
        <v>217</v>
      </c>
      <c r="C11" s="209" t="s">
        <v>219</v>
      </c>
    </row>
    <row r="12" spans="1:3">
      <c r="A12" s="213"/>
      <c r="B12" s="209" t="s">
        <v>220</v>
      </c>
      <c r="C12" s="209" t="s">
        <v>221</v>
      </c>
    </row>
    <row r="13" ht="140" spans="1:3">
      <c r="A13" s="213"/>
      <c r="B13" s="209" t="s">
        <v>222</v>
      </c>
      <c r="C13" s="209" t="s">
        <v>223</v>
      </c>
    </row>
    <row r="14" spans="1:3">
      <c r="A14" s="213"/>
      <c r="B14" s="209" t="s">
        <v>224</v>
      </c>
      <c r="C14" s="209" t="s">
        <v>225</v>
      </c>
    </row>
    <row r="15" spans="1:3">
      <c r="A15" s="213"/>
      <c r="B15" s="209" t="s">
        <v>226</v>
      </c>
      <c r="C15" s="209" t="s">
        <v>227</v>
      </c>
    </row>
    <row r="16" spans="1:3">
      <c r="A16" s="213"/>
      <c r="B16" s="209" t="s">
        <v>228</v>
      </c>
      <c r="C16" s="209" t="s">
        <v>229</v>
      </c>
    </row>
    <row r="17" spans="1:3">
      <c r="A17" s="214"/>
      <c r="B17" s="209"/>
      <c r="C17" s="209"/>
    </row>
    <row r="18" spans="1:3">
      <c r="A18" s="209" t="s">
        <v>230</v>
      </c>
      <c r="B18" s="209" t="s">
        <v>231</v>
      </c>
      <c r="C18" s="209" t="s">
        <v>232</v>
      </c>
    </row>
    <row r="19" spans="1:3">
      <c r="A19" s="209" t="s">
        <v>233</v>
      </c>
      <c r="B19" s="209" t="s">
        <v>234</v>
      </c>
      <c r="C19" s="209" t="s">
        <v>235</v>
      </c>
    </row>
    <row r="20" spans="1:3">
      <c r="A20" s="209" t="s">
        <v>236</v>
      </c>
      <c r="B20" s="209" t="s">
        <v>237</v>
      </c>
      <c r="C20" s="215">
        <v>0.440972222222222</v>
      </c>
    </row>
    <row r="21" spans="1:3">
      <c r="A21" s="212" t="s">
        <v>63</v>
      </c>
      <c r="B21" s="209" t="s">
        <v>238</v>
      </c>
      <c r="C21" s="209" t="s">
        <v>239</v>
      </c>
    </row>
    <row r="22" spans="1:3">
      <c r="A22" s="213"/>
      <c r="B22" s="209" t="s">
        <v>240</v>
      </c>
      <c r="C22" s="209" t="s">
        <v>241</v>
      </c>
    </row>
    <row r="23" spans="1:3">
      <c r="A23" s="213"/>
      <c r="B23" s="209" t="s">
        <v>242</v>
      </c>
      <c r="C23" s="209" t="s">
        <v>243</v>
      </c>
    </row>
    <row r="24" ht="56" spans="1:3">
      <c r="A24" s="213"/>
      <c r="B24" s="209" t="s">
        <v>244</v>
      </c>
      <c r="C24" s="209" t="s">
        <v>245</v>
      </c>
    </row>
    <row r="25" spans="1:3">
      <c r="A25" s="210" t="s">
        <v>246</v>
      </c>
      <c r="B25" s="209" t="s">
        <v>240</v>
      </c>
      <c r="C25" s="209" t="s">
        <v>247</v>
      </c>
    </row>
    <row r="26" spans="1:3">
      <c r="A26" s="211"/>
      <c r="B26" s="209" t="s">
        <v>248</v>
      </c>
      <c r="C26" s="209" t="s">
        <v>249</v>
      </c>
    </row>
    <row r="27" ht="28" spans="1:3">
      <c r="A27" s="212" t="s">
        <v>250</v>
      </c>
      <c r="B27" s="209" t="s">
        <v>251</v>
      </c>
      <c r="C27" s="209" t="s">
        <v>252</v>
      </c>
    </row>
    <row r="28" spans="1:3">
      <c r="A28" s="213"/>
      <c r="B28" s="209" t="s">
        <v>222</v>
      </c>
      <c r="C28" s="209" t="s">
        <v>253</v>
      </c>
    </row>
    <row r="29" spans="1:3">
      <c r="A29" s="213"/>
      <c r="B29" s="209" t="s">
        <v>226</v>
      </c>
      <c r="C29" s="209" t="s">
        <v>254</v>
      </c>
    </row>
    <row r="30" spans="1:3">
      <c r="A30" s="213"/>
      <c r="B30" s="209"/>
      <c r="C30" s="209"/>
    </row>
    <row r="31" spans="1:3">
      <c r="A31" s="210" t="s">
        <v>255</v>
      </c>
      <c r="B31" s="209" t="s">
        <v>256</v>
      </c>
      <c r="C31" s="209" t="s">
        <v>257</v>
      </c>
    </row>
    <row r="32" spans="1:3">
      <c r="A32" s="211"/>
      <c r="B32" s="209" t="s">
        <v>217</v>
      </c>
      <c r="C32" s="209" t="s">
        <v>258</v>
      </c>
    </row>
    <row r="33" ht="28" spans="1:3">
      <c r="A33" s="212" t="s">
        <v>47</v>
      </c>
      <c r="B33" s="209" t="s">
        <v>217</v>
      </c>
      <c r="C33" s="209" t="s">
        <v>259</v>
      </c>
    </row>
    <row r="34" spans="1:3">
      <c r="A34" s="214"/>
      <c r="B34" s="207" t="s">
        <v>260</v>
      </c>
      <c r="C34" s="207" t="s">
        <v>261</v>
      </c>
    </row>
    <row r="35" ht="98" spans="1:3">
      <c r="A35" s="212" t="s">
        <v>262</v>
      </c>
      <c r="B35" s="207" t="s">
        <v>217</v>
      </c>
      <c r="C35" s="207" t="s">
        <v>263</v>
      </c>
    </row>
    <row r="36" ht="84" spans="1:3">
      <c r="A36" s="214"/>
      <c r="B36" s="207" t="s">
        <v>264</v>
      </c>
      <c r="C36" s="207" t="s">
        <v>265</v>
      </c>
    </row>
    <row r="37" spans="1:3">
      <c r="A37" s="207" t="s">
        <v>38</v>
      </c>
      <c r="B37" s="207" t="s">
        <v>266</v>
      </c>
      <c r="C37" s="207" t="s">
        <v>267</v>
      </c>
    </row>
    <row r="38" ht="28" spans="1:3">
      <c r="A38" s="207" t="s">
        <v>268</v>
      </c>
      <c r="B38" s="207" t="s">
        <v>260</v>
      </c>
      <c r="C38" s="207" t="s">
        <v>269</v>
      </c>
    </row>
    <row r="39" spans="1:3">
      <c r="A39" s="212" t="s">
        <v>270</v>
      </c>
      <c r="B39" s="207" t="s">
        <v>222</v>
      </c>
      <c r="C39" s="207" t="s">
        <v>271</v>
      </c>
    </row>
    <row r="40" spans="1:3">
      <c r="A40" s="214"/>
      <c r="B40" s="207" t="s">
        <v>264</v>
      </c>
      <c r="C40" s="207" t="s">
        <v>272</v>
      </c>
    </row>
    <row r="41" spans="1:3">
      <c r="A41" s="207" t="s">
        <v>54</v>
      </c>
      <c r="B41" s="207" t="s">
        <v>224</v>
      </c>
      <c r="C41" s="207" t="s">
        <v>273</v>
      </c>
    </row>
    <row r="42" spans="1:3">
      <c r="A42" s="207" t="s">
        <v>274</v>
      </c>
      <c r="B42" s="207" t="s">
        <v>275</v>
      </c>
      <c r="C42" s="207" t="s">
        <v>276</v>
      </c>
    </row>
    <row r="43" spans="1:3">
      <c r="A43" s="207" t="s">
        <v>277</v>
      </c>
      <c r="B43" s="207" t="s">
        <v>228</v>
      </c>
      <c r="C43" s="207" t="s">
        <v>278</v>
      </c>
    </row>
    <row r="44" spans="1:3">
      <c r="A44" s="207" t="s">
        <v>10</v>
      </c>
      <c r="B44" s="207" t="s">
        <v>264</v>
      </c>
      <c r="C44" s="207" t="s">
        <v>279</v>
      </c>
    </row>
    <row r="45" spans="1:3">
      <c r="A45" s="207" t="s">
        <v>280</v>
      </c>
      <c r="B45" s="207" t="s">
        <v>242</v>
      </c>
      <c r="C45" s="207" t="s">
        <v>281</v>
      </c>
    </row>
  </sheetData>
  <mergeCells count="9">
    <mergeCell ref="A5:A6"/>
    <mergeCell ref="A8:A17"/>
    <mergeCell ref="A21:A24"/>
    <mergeCell ref="A25:A26"/>
    <mergeCell ref="A27:A30"/>
    <mergeCell ref="A31:A32"/>
    <mergeCell ref="A33:A34"/>
    <mergeCell ref="A35:A36"/>
    <mergeCell ref="A39:A4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tabSelected="1"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3"/>
    <col min="6" max="6" width="9.52727272727273" style="4" customWidth="1"/>
    <col min="7" max="7" width="22.8181818181818" style="4" customWidth="1"/>
    <col min="8" max="16384" width="8.72727272727273" style="4"/>
  </cols>
  <sheetData>
    <row r="1" s="191" customFormat="1" ht="15" spans="1:7">
      <c r="A1" s="194" t="s">
        <v>282</v>
      </c>
      <c r="B1" s="195"/>
      <c r="C1" s="195"/>
      <c r="D1" s="196"/>
      <c r="E1" s="197"/>
      <c r="F1" s="191" t="s">
        <v>283</v>
      </c>
    </row>
    <row r="2" s="192" customFormat="1" spans="1:7">
      <c r="A2" s="198" t="s">
        <v>195</v>
      </c>
      <c r="B2" s="199"/>
      <c r="C2" s="192" t="s">
        <v>284</v>
      </c>
      <c r="D2" s="192" t="s">
        <v>285</v>
      </c>
      <c r="E2" s="141"/>
      <c r="F2" s="192" t="s">
        <v>195</v>
      </c>
      <c r="G2" s="192" t="s">
        <v>286</v>
      </c>
    </row>
    <row r="3" spans="1:7">
      <c r="A3" s="200">
        <v>2025.1</v>
      </c>
      <c r="B3" s="119">
        <v>11</v>
      </c>
      <c r="C3" s="119">
        <v>113</v>
      </c>
      <c r="D3" s="119"/>
      <c r="F3" s="119" t="s">
        <v>287</v>
      </c>
      <c r="G3" s="119" t="s">
        <v>288</v>
      </c>
    </row>
    <row r="4" spans="1:7">
      <c r="A4" s="201"/>
      <c r="B4" s="119">
        <v>15</v>
      </c>
      <c r="C4" s="119">
        <v>163</v>
      </c>
      <c r="D4" s="119"/>
      <c r="F4" s="119" t="s">
        <v>289</v>
      </c>
      <c r="G4" s="119" t="s">
        <v>290</v>
      </c>
    </row>
    <row r="5" spans="1:7">
      <c r="A5" s="201"/>
      <c r="B5" s="119">
        <v>17</v>
      </c>
      <c r="C5" s="119">
        <v>158</v>
      </c>
      <c r="D5" s="119"/>
      <c r="F5" s="119" t="s">
        <v>291</v>
      </c>
      <c r="G5" s="119" t="s">
        <v>292</v>
      </c>
    </row>
    <row r="6" spans="1:7">
      <c r="A6" s="201"/>
      <c r="B6" s="119">
        <v>22</v>
      </c>
      <c r="C6" s="119">
        <v>70</v>
      </c>
      <c r="D6" s="119"/>
      <c r="F6" s="202" t="s">
        <v>293</v>
      </c>
      <c r="G6" s="119" t="s">
        <v>294</v>
      </c>
    </row>
    <row r="7" spans="1:7">
      <c r="A7" s="201"/>
      <c r="B7" s="119">
        <v>24</v>
      </c>
      <c r="C7" s="119">
        <v>180</v>
      </c>
      <c r="D7" s="119"/>
      <c r="F7" s="203"/>
      <c r="G7" s="119" t="s">
        <v>295</v>
      </c>
    </row>
    <row r="8" spans="1:7">
      <c r="A8" s="201"/>
      <c r="B8" s="119">
        <v>29</v>
      </c>
      <c r="C8" s="119">
        <v>135</v>
      </c>
      <c r="D8" s="119"/>
      <c r="F8" s="119"/>
      <c r="G8" s="119"/>
    </row>
    <row r="9" spans="1:7">
      <c r="A9" s="204"/>
      <c r="B9" s="119">
        <v>31</v>
      </c>
      <c r="C9" s="119">
        <v>89</v>
      </c>
      <c r="D9" s="119"/>
      <c r="F9" s="119"/>
      <c r="G9" s="119"/>
    </row>
    <row r="10" spans="1:7">
      <c r="A10" s="205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1"/>
      <c r="B11" s="119">
        <v>7</v>
      </c>
      <c r="C11" s="119">
        <v>119</v>
      </c>
      <c r="D11" s="119"/>
      <c r="F11" s="119"/>
      <c r="G11" s="119"/>
    </row>
    <row r="12" spans="1:7">
      <c r="A12" s="204"/>
      <c r="B12" s="119">
        <v>14</v>
      </c>
      <c r="C12" s="119">
        <v>63</v>
      </c>
      <c r="D12" s="119"/>
      <c r="F12" s="119"/>
      <c r="G12" s="119"/>
    </row>
    <row r="13" spans="1:7">
      <c r="A13" s="205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4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P53"/>
  <sheetViews>
    <sheetView zoomScale="115" zoomScaleNormal="115" workbookViewId="0">
      <pane xSplit="1" ySplit="2" topLeftCell="B27" activePane="bottomRight" state="frozen"/>
      <selection/>
      <selection pane="topRight"/>
      <selection pane="bottomLeft"/>
      <selection pane="bottomRight" activeCell="AH43" sqref="AH43"/>
    </sheetView>
  </sheetViews>
  <sheetFormatPr defaultColWidth="8.72727272727273" defaultRowHeight="14"/>
  <cols>
    <col min="1" max="1" width="4.07272727272727" customWidth="1"/>
    <col min="2" max="35" width="3.23636363636364" customWidth="1"/>
    <col min="36" max="38" width="4.81818181818182" style="174" customWidth="1"/>
    <col min="39" max="39" width="7.18181818181818" style="174" customWidth="1"/>
    <col min="40" max="42" width="4.81818181818182" style="174" customWidth="1"/>
  </cols>
  <sheetData>
    <row r="1" spans="1:42">
      <c r="A1" s="175" t="s">
        <v>296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80" t="s">
        <v>297</v>
      </c>
      <c r="AK1" s="181"/>
      <c r="AL1" s="181"/>
      <c r="AM1" s="181"/>
      <c r="AN1" s="181"/>
      <c r="AO1" s="181"/>
      <c r="AP1" s="182"/>
    </row>
    <row r="2" s="173" customFormat="1" ht="28" spans="1:42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4" t="s">
        <v>298</v>
      </c>
      <c r="AK2" s="184" t="s">
        <v>299</v>
      </c>
      <c r="AL2" s="184" t="s">
        <v>300</v>
      </c>
      <c r="AM2" s="184" t="s">
        <v>301</v>
      </c>
      <c r="AN2" s="185" t="s">
        <v>302</v>
      </c>
      <c r="AO2" s="185" t="s">
        <v>303</v>
      </c>
      <c r="AP2" s="185" t="s">
        <v>304</v>
      </c>
    </row>
    <row r="3" customHeight="1" spans="1:4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86">
        <f>SUM(B3:AI3)</f>
        <v>1</v>
      </c>
      <c r="AK3" s="186" cm="1">
        <f t="array" ref="AK3">SUMPRODUCT(--(B3:AI3=INT(B3:AI3)),--(B3:AI3&gt;0))</f>
        <v>1</v>
      </c>
      <c r="AL3" s="186" cm="1">
        <f t="array" ref="AL3">MAX(FREQUENCY(IF((B3:AI3=INT(B3:AI3))*(B3:AI3&gt;0),COLUMN(B3:AI3)),IF((B3:AI3&lt;&gt;INT(B3:AI3))+(B3:AI3&lt;=0),COLUMN(B3:AI3))))</f>
        <v>1</v>
      </c>
      <c r="AM3" s="187" cm="1">
        <f t="array" ref="AM3">SUMPRODUCT(--(B3:AI3=INT(B3:AI3)),--(B3:AI3&gt;0))/34*100%</f>
        <v>0.0294117647058824</v>
      </c>
      <c r="AN3" s="188">
        <f>RANK(AJ3,AJ$3:AJ$53,0)</f>
        <v>34</v>
      </c>
      <c r="AO3" s="188">
        <f>RANK(AK3,AK$3:AK$53,0)</f>
        <v>34</v>
      </c>
      <c r="AP3" s="188">
        <f>RANK(AL3,AL$3:AL$53,0)</f>
        <v>19</v>
      </c>
    </row>
    <row r="4" customHeight="1" spans="1:4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86">
        <f t="shared" ref="AJ4:AJ35" si="0">SUM(B4:AI4)</f>
        <v>12</v>
      </c>
      <c r="AK4" s="186" cm="1">
        <f t="array" ref="AK4">SUMPRODUCT(--(B4:AI4=INT(B4:AI4)),--(B4:AI4&gt;0))</f>
        <v>11</v>
      </c>
      <c r="AL4" s="186" cm="1">
        <f t="array" ref="AL4">MAX(FREQUENCY(IF((B4:AI4=INT(B4:AI4))*(B4:AI4&gt;0),COLUMN(B4:AI4)),IF((B4:AI4&lt;&gt;INT(B4:AI4))+(B4:AI4&lt;=0),COLUMN(B4:AI4))))</f>
        <v>3</v>
      </c>
      <c r="AM4" s="187" cm="1">
        <f t="array" ref="AM4">SUMPRODUCT(--(B4:AI4=INT(B4:AI4)),--(B4:AI4&gt;0))/34*100%</f>
        <v>0.323529411764706</v>
      </c>
      <c r="AN4" s="188">
        <f t="shared" ref="AN4:AP4" si="1">RANK(AJ4,AJ$3:AJ$53,0)</f>
        <v>6</v>
      </c>
      <c r="AO4" s="188">
        <f t="shared" si="1"/>
        <v>6</v>
      </c>
      <c r="AP4" s="188">
        <f t="shared" si="1"/>
        <v>8</v>
      </c>
    </row>
    <row r="5" customHeight="1" spans="1:4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86">
        <f t="shared" si="0"/>
        <v>2</v>
      </c>
      <c r="AK5" s="186" cm="1">
        <f t="array" ref="AK5">SUMPRODUCT(--(B5:AI5=INT(B5:AI5)),--(B5:AI5&gt;0))</f>
        <v>2</v>
      </c>
      <c r="AL5" s="186" cm="1">
        <f t="array" ref="AL5">MAX(FREQUENCY(IF((B5:AI5=INT(B5:AI5))*(B5:AI5&gt;0),COLUMN(B5:AI5)),IF((B5:AI5&lt;&gt;INT(B5:AI5))+(B5:AI5&lt;=0),COLUMN(B5:AI5))))</f>
        <v>1</v>
      </c>
      <c r="AM5" s="187" cm="1">
        <f t="array" ref="AM5">SUMPRODUCT(--(B5:AI5=INT(B5:AI5)),--(B5:AI5&gt;0))/34*100%</f>
        <v>0.0588235294117647</v>
      </c>
      <c r="AN5" s="188">
        <f t="shared" ref="AN5:AP5" si="2">RANK(AJ5,AJ$3:AJ$53,0)</f>
        <v>28</v>
      </c>
      <c r="AO5" s="188">
        <f t="shared" si="2"/>
        <v>28</v>
      </c>
      <c r="AP5" s="188">
        <f t="shared" si="2"/>
        <v>19</v>
      </c>
    </row>
    <row r="6" customHeight="1" spans="1:4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86">
        <f t="shared" si="0"/>
        <v>2</v>
      </c>
      <c r="AK6" s="186" cm="1">
        <f t="array" ref="AK6">SUMPRODUCT(--(B6:AI6=INT(B6:AI6)),--(B6:AI6&gt;0))</f>
        <v>2</v>
      </c>
      <c r="AL6" s="186" cm="1">
        <f t="array" ref="AL6">MAX(FREQUENCY(IF((B6:AI6=INT(B6:AI6))*(B6:AI6&gt;0),COLUMN(B6:AI6)),IF((B6:AI6&lt;&gt;INT(B6:AI6))+(B6:AI6&lt;=0),COLUMN(B6:AI6))))</f>
        <v>1</v>
      </c>
      <c r="AM6" s="187" cm="1">
        <f t="array" ref="AM6">SUMPRODUCT(--(B6:AI6=INT(B6:AI6)),--(B6:AI6&gt;0))/34*100%</f>
        <v>0.0588235294117647</v>
      </c>
      <c r="AN6" s="188">
        <f t="shared" ref="AN6:AP6" si="3">RANK(AJ6,AJ$3:AJ$53,0)</f>
        <v>28</v>
      </c>
      <c r="AO6" s="188">
        <f t="shared" si="3"/>
        <v>28</v>
      </c>
      <c r="AP6" s="188">
        <f t="shared" si="3"/>
        <v>19</v>
      </c>
    </row>
    <row r="7" customHeight="1" spans="1:4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86">
        <f t="shared" si="0"/>
        <v>4</v>
      </c>
      <c r="AK7" s="186" cm="1">
        <f t="array" ref="AK7">SUMPRODUCT(--(B7:AI7=INT(B7:AI7)),--(B7:AI7&gt;0))</f>
        <v>3</v>
      </c>
      <c r="AL7" s="186" cm="1">
        <f t="array" ref="AL7">MAX(FREQUENCY(IF((B7:AI7=INT(B7:AI7))*(B7:AI7&gt;0),COLUMN(B7:AI7)),IF((B7:AI7&lt;&gt;INT(B7:AI7))+(B7:AI7&lt;=0),COLUMN(B7:AI7))))</f>
        <v>1</v>
      </c>
      <c r="AM7" s="187" cm="1">
        <f t="array" ref="AM7">SUMPRODUCT(--(B7:AI7=INT(B7:AI7)),--(B7:AI7&gt;0))/34*100%</f>
        <v>0.0882352941176471</v>
      </c>
      <c r="AN7" s="188">
        <f t="shared" ref="AN7:AP7" si="4">RANK(AJ7,AJ$3:AJ$53,0)</f>
        <v>21</v>
      </c>
      <c r="AO7" s="188">
        <f t="shared" si="4"/>
        <v>23</v>
      </c>
      <c r="AP7" s="188">
        <f t="shared" si="4"/>
        <v>19</v>
      </c>
    </row>
    <row r="8" customHeight="1" spans="1:4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86">
        <f t="shared" si="0"/>
        <v>16</v>
      </c>
      <c r="AK8" s="186" cm="1">
        <f t="array" ref="AK8">SUMPRODUCT(--(B8:AI8=INT(B8:AI8)),--(B8:AI8&gt;0))</f>
        <v>16</v>
      </c>
      <c r="AL8" s="186" cm="1">
        <f t="array" ref="AL8">MAX(FREQUENCY(IF((B8:AI8=INT(B8:AI8))*(B8:AI8&gt;0),COLUMN(B8:AI8)),IF((B8:AI8&lt;&gt;INT(B8:AI8))+(B8:AI8&lt;=0),COLUMN(B8:AI8))))</f>
        <v>5</v>
      </c>
      <c r="AM8" s="187" cm="1">
        <f t="array" ref="AM8">SUMPRODUCT(--(B8:AI8=INT(B8:AI8)),--(B8:AI8&gt;0))/34*100%</f>
        <v>0.470588235294118</v>
      </c>
      <c r="AN8" s="188">
        <f t="shared" ref="AN8:AP8" si="5">RANK(AJ8,AJ$3:AJ$53,0)</f>
        <v>4</v>
      </c>
      <c r="AO8" s="188">
        <f t="shared" si="5"/>
        <v>3</v>
      </c>
      <c r="AP8" s="188">
        <f t="shared" si="5"/>
        <v>3</v>
      </c>
    </row>
    <row r="9" customHeight="1" spans="1:4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86">
        <f t="shared" si="0"/>
        <v>10</v>
      </c>
      <c r="AK9" s="186" cm="1">
        <f t="array" ref="AK9">SUMPRODUCT(--(B9:AI9=INT(B9:AI9)),--(B9:AI9&gt;0))</f>
        <v>10</v>
      </c>
      <c r="AL9" s="186" cm="1">
        <f t="array" ref="AL9">MAX(FREQUENCY(IF((B9:AI9=INT(B9:AI9))*(B9:AI9&gt;0),COLUMN(B9:AI9)),IF((B9:AI9&lt;&gt;INT(B9:AI9))+(B9:AI9&lt;=0),COLUMN(B9:AI9))))</f>
        <v>3</v>
      </c>
      <c r="AM9" s="187" cm="1">
        <f t="array" ref="AM9">SUMPRODUCT(--(B9:AI9=INT(B9:AI9)),--(B9:AI9&gt;0))/34*100%</f>
        <v>0.294117647058824</v>
      </c>
      <c r="AN9" s="188">
        <f>RANK(AJ9,AJ$3:AJ$53,0)</f>
        <v>9</v>
      </c>
      <c r="AO9" s="188">
        <f t="shared" ref="AN9:AP9" si="6">RANK(AK9,AK$3:AK$53,0)</f>
        <v>7</v>
      </c>
      <c r="AP9" s="188">
        <f t="shared" si="6"/>
        <v>8</v>
      </c>
    </row>
    <row r="10" customHeight="1" spans="1:4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86">
        <f t="shared" si="0"/>
        <v>1</v>
      </c>
      <c r="AK10" s="186" cm="1">
        <f t="array" ref="AK10">SUMPRODUCT(--(B10:AI10=INT(B10:AI10)),--(B10:AI10&gt;0))</f>
        <v>1</v>
      </c>
      <c r="AL10" s="186" cm="1">
        <f t="array" ref="AL10">MAX(FREQUENCY(IF((B10:AI10=INT(B10:AI10))*(B10:AI10&gt;0),COLUMN(B10:AI10)),IF((B10:AI10&lt;&gt;INT(B10:AI10))+(B10:AI10&lt;=0),COLUMN(B10:AI10))))</f>
        <v>1</v>
      </c>
      <c r="AM10" s="187" cm="1">
        <f t="array" ref="AM10">SUMPRODUCT(--(B10:AI10=INT(B10:AI10)),--(B10:AI10&gt;0))/34*100%</f>
        <v>0.0294117647058824</v>
      </c>
      <c r="AN10" s="188">
        <f t="shared" ref="AN10:AP10" si="7">RANK(AJ10,AJ$3:AJ$53,0)</f>
        <v>34</v>
      </c>
      <c r="AO10" s="188">
        <f t="shared" si="7"/>
        <v>34</v>
      </c>
      <c r="AP10" s="188">
        <f t="shared" si="7"/>
        <v>19</v>
      </c>
    </row>
    <row r="11" customHeight="1" spans="1:4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86">
        <f t="shared" si="0"/>
        <v>7</v>
      </c>
      <c r="AK11" s="186" cm="1">
        <f t="array" ref="AK11">SUMPRODUCT(--(B11:AI11=INT(B11:AI11)),--(B11:AI11&gt;0))</f>
        <v>7</v>
      </c>
      <c r="AL11" s="186" cm="1">
        <f t="array" ref="AL11">MAX(FREQUENCY(IF((B11:AI11=INT(B11:AI11))*(B11:AI11&gt;0),COLUMN(B11:AI11)),IF((B11:AI11&lt;&gt;INT(B11:AI11))+(B11:AI11&lt;=0),COLUMN(B11:AI11))))</f>
        <v>1</v>
      </c>
      <c r="AM11" s="187" cm="1">
        <f t="array" ref="AM11">SUMPRODUCT(--(B11:AI11=INT(B11:AI11)),--(B11:AI11&gt;0))/34*100%</f>
        <v>0.205882352941176</v>
      </c>
      <c r="AN11" s="188">
        <f t="shared" ref="AN11:AP11" si="8">RANK(AJ11,AJ$3:AJ$53,0)</f>
        <v>18</v>
      </c>
      <c r="AO11" s="188">
        <f t="shared" si="8"/>
        <v>16</v>
      </c>
      <c r="AP11" s="188">
        <f t="shared" si="8"/>
        <v>19</v>
      </c>
    </row>
    <row r="12" customHeight="1" spans="1:4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86">
        <f t="shared" si="0"/>
        <v>2</v>
      </c>
      <c r="AK12" s="186" cm="1">
        <f t="array" ref="AK12">SUMPRODUCT(--(B12:AI12=INT(B12:AI12)),--(B12:AI12&gt;0))</f>
        <v>2</v>
      </c>
      <c r="AL12" s="186" cm="1">
        <f t="array" ref="AL12">MAX(FREQUENCY(IF((B12:AI12=INT(B12:AI12))*(B12:AI12&gt;0),COLUMN(B12:AI12)),IF((B12:AI12&lt;&gt;INT(B12:AI12))+(B12:AI12&lt;=0),COLUMN(B12:AI12))))</f>
        <v>1</v>
      </c>
      <c r="AM12" s="187" cm="1">
        <f t="array" ref="AM12">SUMPRODUCT(--(B12:AI12=INT(B12:AI12)),--(B12:AI12&gt;0))/34*100%</f>
        <v>0.0588235294117647</v>
      </c>
      <c r="AN12" s="188">
        <f t="shared" ref="AN12:AP12" si="9">RANK(AJ12,AJ$3:AJ$53,0)</f>
        <v>28</v>
      </c>
      <c r="AO12" s="188">
        <f t="shared" si="9"/>
        <v>28</v>
      </c>
      <c r="AP12" s="188">
        <f t="shared" si="9"/>
        <v>19</v>
      </c>
    </row>
    <row r="13" customHeight="1" spans="1:4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86">
        <f t="shared" si="0"/>
        <v>8</v>
      </c>
      <c r="AK13" s="186" cm="1">
        <f t="array" ref="AK13">SUMPRODUCT(--(B13:AI13=INT(B13:AI13)),--(B13:AI13&gt;0))</f>
        <v>8</v>
      </c>
      <c r="AL13" s="186" cm="1">
        <f t="array" ref="AL13">MAX(FREQUENCY(IF((B13:AI13=INT(B13:AI13))*(B13:AI13&gt;0),COLUMN(B13:AI13)),IF((B13:AI13&lt;&gt;INT(B13:AI13))+(B13:AI13&lt;=0),COLUMN(B13:AI13))))</f>
        <v>1</v>
      </c>
      <c r="AM13" s="187" cm="1">
        <f t="array" ref="AM13">SUMPRODUCT(--(B13:AI13=INT(B13:AI13)),--(B13:AI13&gt;0))/34*100%</f>
        <v>0.235294117647059</v>
      </c>
      <c r="AN13" s="188">
        <f t="shared" ref="AN13:AP13" si="10">RANK(AJ13,AJ$3:AJ$53,0)</f>
        <v>13</v>
      </c>
      <c r="AO13" s="188">
        <f t="shared" si="10"/>
        <v>12</v>
      </c>
      <c r="AP13" s="188">
        <f t="shared" si="10"/>
        <v>19</v>
      </c>
    </row>
    <row r="14" customHeight="1" spans="1:4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86">
        <f t="shared" si="0"/>
        <v>2</v>
      </c>
      <c r="AK14" s="186" cm="1">
        <f t="array" ref="AK14">SUMPRODUCT(--(B14:AI14=INT(B14:AI14)),--(B14:AI14&gt;0))</f>
        <v>2</v>
      </c>
      <c r="AL14" s="186" cm="1">
        <f t="array" ref="AL14">MAX(FREQUENCY(IF((B14:AI14=INT(B14:AI14))*(B14:AI14&gt;0),COLUMN(B14:AI14)),IF((B14:AI14&lt;&gt;INT(B14:AI14))+(B14:AI14&lt;=0),COLUMN(B14:AI14))))</f>
        <v>1</v>
      </c>
      <c r="AM14" s="187" cm="1">
        <f t="array" ref="AM14">SUMPRODUCT(--(B14:AI14=INT(B14:AI14)),--(B14:AI14&gt;0))/34*100%</f>
        <v>0.0588235294117647</v>
      </c>
      <c r="AN14" s="188">
        <f t="shared" ref="AN14:AP14" si="11">RANK(AJ14,AJ$3:AJ$53,0)</f>
        <v>28</v>
      </c>
      <c r="AO14" s="188">
        <f t="shared" si="11"/>
        <v>28</v>
      </c>
      <c r="AP14" s="188">
        <f t="shared" si="11"/>
        <v>19</v>
      </c>
    </row>
    <row r="15" customHeight="1" spans="1:4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86">
        <f t="shared" si="0"/>
        <v>10</v>
      </c>
      <c r="AK15" s="186" cm="1">
        <f t="array" ref="AK15">SUMPRODUCT(--(B15:AI15=INT(B15:AI15)),--(B15:AI15&gt;0))</f>
        <v>9</v>
      </c>
      <c r="AL15" s="186" cm="1">
        <f t="array" ref="AL15">MAX(FREQUENCY(IF((B15:AI15=INT(B15:AI15))*(B15:AI15&gt;0),COLUMN(B15:AI15)),IF((B15:AI15&lt;&gt;INT(B15:AI15))+(B15:AI15&lt;=0),COLUMN(B15:AI15))))</f>
        <v>2</v>
      </c>
      <c r="AM15" s="187" cm="1">
        <f t="array" ref="AM15">SUMPRODUCT(--(B15:AI15=INT(B15:AI15)),--(B15:AI15&gt;0))/34*100%</f>
        <v>0.264705882352941</v>
      </c>
      <c r="AN15" s="188">
        <f t="shared" ref="AN15:AP15" si="12">RANK(AJ15,AJ$3:AJ$53,0)</f>
        <v>9</v>
      </c>
      <c r="AO15" s="188">
        <f t="shared" si="12"/>
        <v>9</v>
      </c>
      <c r="AP15" s="188">
        <f t="shared" si="12"/>
        <v>13</v>
      </c>
    </row>
    <row r="16" customHeight="1" spans="1:4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86">
        <f t="shared" si="0"/>
        <v>2</v>
      </c>
      <c r="AK16" s="186" cm="1">
        <f t="array" ref="AK16">SUMPRODUCT(--(B16:AI16=INT(B16:AI16)),--(B16:AI16&gt;0))</f>
        <v>2</v>
      </c>
      <c r="AL16" s="186" cm="1">
        <f t="array" ref="AL16">MAX(FREQUENCY(IF((B16:AI16=INT(B16:AI16))*(B16:AI16&gt;0),COLUMN(B16:AI16)),IF((B16:AI16&lt;&gt;INT(B16:AI16))+(B16:AI16&lt;=0),COLUMN(B16:AI16))))</f>
        <v>1</v>
      </c>
      <c r="AM16" s="187" cm="1">
        <f t="array" ref="AM16">SUMPRODUCT(--(B16:AI16=INT(B16:AI16)),--(B16:AI16&gt;0))/34*100%</f>
        <v>0.0588235294117647</v>
      </c>
      <c r="AN16" s="188">
        <f t="shared" ref="AN16:AP16" si="13">RANK(AJ16,AJ$3:AJ$53,0)</f>
        <v>28</v>
      </c>
      <c r="AO16" s="188">
        <f t="shared" si="13"/>
        <v>28</v>
      </c>
      <c r="AP16" s="188">
        <f t="shared" si="13"/>
        <v>19</v>
      </c>
    </row>
    <row r="17" customHeight="1" spans="1:4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86">
        <f t="shared" si="0"/>
        <v>3</v>
      </c>
      <c r="AK17" s="186" cm="1">
        <f t="array" ref="AK17">SUMPRODUCT(--(B17:AI17=INT(B17:AI17)),--(B17:AI17&gt;0))</f>
        <v>3</v>
      </c>
      <c r="AL17" s="186" cm="1">
        <f t="array" ref="AL17">MAX(FREQUENCY(IF((B17:AI17=INT(B17:AI17))*(B17:AI17&gt;0),COLUMN(B17:AI17)),IF((B17:AI17&lt;&gt;INT(B17:AI17))+(B17:AI17&lt;=0),COLUMN(B17:AI17))))</f>
        <v>1</v>
      </c>
      <c r="AM17" s="187" cm="1">
        <f t="array" ref="AM17">SUMPRODUCT(--(B17:AI17=INT(B17:AI17)),--(B17:AI17&gt;0))/34*100%</f>
        <v>0.0882352941176471</v>
      </c>
      <c r="AN17" s="188">
        <f t="shared" ref="AN17:AP17" si="14">RANK(AJ17,AJ$3:AJ$53,0)</f>
        <v>25</v>
      </c>
      <c r="AO17" s="188">
        <f t="shared" si="14"/>
        <v>23</v>
      </c>
      <c r="AP17" s="188">
        <f t="shared" si="14"/>
        <v>19</v>
      </c>
    </row>
    <row r="18" customHeight="1" spans="1:4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86">
        <f t="shared" si="0"/>
        <v>1</v>
      </c>
      <c r="AK18" s="186" cm="1">
        <f t="array" ref="AK18">SUMPRODUCT(--(B18:AI18=INT(B18:AI18)),--(B18:AI18&gt;0))</f>
        <v>1</v>
      </c>
      <c r="AL18" s="186" cm="1">
        <f t="array" ref="AL18">MAX(FREQUENCY(IF((B18:AI18=INT(B18:AI18))*(B18:AI18&gt;0),COLUMN(B18:AI18)),IF((B18:AI18&lt;&gt;INT(B18:AI18))+(B18:AI18&lt;=0),COLUMN(B18:AI18))))</f>
        <v>1</v>
      </c>
      <c r="AM18" s="187" cm="1">
        <f t="array" ref="AM18">SUMPRODUCT(--(B18:AI18=INT(B18:AI18)),--(B18:AI18&gt;0))/34*100%</f>
        <v>0.0294117647058824</v>
      </c>
      <c r="AN18" s="188">
        <f t="shared" ref="AN18:AP18" si="15">RANK(AJ18,AJ$3:AJ$53,0)</f>
        <v>34</v>
      </c>
      <c r="AO18" s="188">
        <f t="shared" si="15"/>
        <v>34</v>
      </c>
      <c r="AP18" s="188">
        <f t="shared" si="15"/>
        <v>19</v>
      </c>
    </row>
    <row r="19" customHeight="1" spans="1:4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86">
        <f t="shared" si="0"/>
        <v>5</v>
      </c>
      <c r="AK19" s="186" cm="1">
        <f t="array" ref="AK19">SUMPRODUCT(--(B19:AI19=INT(B19:AI19)),--(B19:AI19&gt;0))</f>
        <v>5</v>
      </c>
      <c r="AL19" s="186" cm="1">
        <f t="array" ref="AL19">MAX(FREQUENCY(IF((B19:AI19=INT(B19:AI19))*(B19:AI19&gt;0),COLUMN(B19:AI19)),IF((B19:AI19&lt;&gt;INT(B19:AI19))+(B19:AI19&lt;=0),COLUMN(B19:AI19))))</f>
        <v>2</v>
      </c>
      <c r="AM19" s="187" cm="1">
        <f t="array" ref="AM19">SUMPRODUCT(--(B19:AI19=INT(B19:AI19)),--(B19:AI19&gt;0))/34*100%</f>
        <v>0.147058823529412</v>
      </c>
      <c r="AN19" s="188">
        <f t="shared" ref="AN19:AP19" si="16">RANK(AJ19,AJ$3:AJ$53,0)</f>
        <v>20</v>
      </c>
      <c r="AO19" s="188">
        <f t="shared" si="16"/>
        <v>20</v>
      </c>
      <c r="AP19" s="188">
        <f t="shared" si="16"/>
        <v>13</v>
      </c>
    </row>
    <row r="20" customHeight="1" spans="1:4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86">
        <f t="shared" si="0"/>
        <v>1</v>
      </c>
      <c r="AK20" s="186" cm="1">
        <f t="array" ref="AK20">SUMPRODUCT(--(B20:AI20=INT(B20:AI20)),--(B20:AI20&gt;0))</f>
        <v>1</v>
      </c>
      <c r="AL20" s="186" cm="1">
        <f t="array" ref="AL20">MAX(FREQUENCY(IF((B20:AI20=INT(B20:AI20))*(B20:AI20&gt;0),COLUMN(B20:AI20)),IF((B20:AI20&lt;&gt;INT(B20:AI20))+(B20:AI20&lt;=0),COLUMN(B20:AI20))))</f>
        <v>1</v>
      </c>
      <c r="AM20" s="187" cm="1">
        <f t="array" ref="AM20">SUMPRODUCT(--(B20:AI20=INT(B20:AI20)),--(B20:AI20&gt;0))/34*100%</f>
        <v>0.0294117647058824</v>
      </c>
      <c r="AN20" s="188">
        <f t="shared" ref="AN20:AP20" si="17">RANK(AJ20,AJ$3:AJ$53,0)</f>
        <v>34</v>
      </c>
      <c r="AO20" s="188">
        <f t="shared" si="17"/>
        <v>34</v>
      </c>
      <c r="AP20" s="188">
        <f t="shared" si="17"/>
        <v>19</v>
      </c>
    </row>
    <row r="21" customHeight="1" spans="1:4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86">
        <f t="shared" si="0"/>
        <v>2</v>
      </c>
      <c r="AK21" s="186" cm="1">
        <f t="array" ref="AK21">SUMPRODUCT(--(B21:AI21=INT(B21:AI21)),--(B21:AI21&gt;0))</f>
        <v>2</v>
      </c>
      <c r="AL21" s="186" cm="1">
        <f t="array" ref="AL21">MAX(FREQUENCY(IF((B21:AI21=INT(B21:AI21))*(B21:AI21&gt;0),COLUMN(B21:AI21)),IF((B21:AI21&lt;&gt;INT(B21:AI21))+(B21:AI21&lt;=0),COLUMN(B21:AI21))))</f>
        <v>1</v>
      </c>
      <c r="AM21" s="187" cm="1">
        <f t="array" ref="AM21">SUMPRODUCT(--(B21:AI21=INT(B21:AI21)),--(B21:AI21&gt;0))/34*100%</f>
        <v>0.0588235294117647</v>
      </c>
      <c r="AN21" s="188">
        <f t="shared" ref="AN21:AP21" si="18">RANK(AJ21,AJ$3:AJ$53,0)</f>
        <v>28</v>
      </c>
      <c r="AO21" s="188">
        <f t="shared" si="18"/>
        <v>28</v>
      </c>
      <c r="AP21" s="188">
        <f t="shared" si="18"/>
        <v>19</v>
      </c>
    </row>
    <row r="22" customHeight="1" spans="1:4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86">
        <f t="shared" si="0"/>
        <v>12</v>
      </c>
      <c r="AK22" s="186" cm="1">
        <f t="array" ref="AK22">SUMPRODUCT(--(B22:AI22=INT(B22:AI22)),--(B22:AI22&gt;0))</f>
        <v>10</v>
      </c>
      <c r="AL22" s="186" cm="1">
        <f t="array" ref="AL22">MAX(FREQUENCY(IF((B22:AI22=INT(B22:AI22))*(B22:AI22&gt;0),COLUMN(B22:AI22)),IF((B22:AI22&lt;&gt;INT(B22:AI22))+(B22:AI22&lt;=0),COLUMN(B22:AI22))))</f>
        <v>4</v>
      </c>
      <c r="AM22" s="187" cm="1">
        <f t="array" ref="AM22">SUMPRODUCT(--(B22:AI22=INT(B22:AI22)),--(B22:AI22&gt;0))/34*100%</f>
        <v>0.294117647058824</v>
      </c>
      <c r="AN22" s="188">
        <f t="shared" ref="AN22:AP22" si="19">RANK(AJ22,AJ$3:AJ$53,0)</f>
        <v>6</v>
      </c>
      <c r="AO22" s="188">
        <f t="shared" si="19"/>
        <v>7</v>
      </c>
      <c r="AP22" s="188">
        <f t="shared" si="19"/>
        <v>6</v>
      </c>
    </row>
    <row r="23" customHeight="1" spans="1:42">
      <c r="A23" s="189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86">
        <f t="shared" si="0"/>
        <v>0</v>
      </c>
      <c r="AK23" s="186" cm="1">
        <f t="array" ref="AK23">SUMPRODUCT(--(B23:AI23=INT(B23:AI23)),--(B23:AI23&gt;0))</f>
        <v>0</v>
      </c>
      <c r="AL23" s="186" cm="1">
        <f t="array" ref="AL23">MAX(FREQUENCY(IF((B23:AI23=INT(B23:AI23))*(B23:AI23&gt;0),COLUMN(B23:AI23)),IF((B23:AI23&lt;&gt;INT(B23:AI23))+(B23:AI23&lt;=0),COLUMN(B23:AI23))))</f>
        <v>0</v>
      </c>
      <c r="AM23" s="187" cm="1">
        <f t="array" ref="AM23">SUMPRODUCT(--(B23:AI23=INT(B23:AI23)),--(B23:AI23&gt;0))/34*100%</f>
        <v>0</v>
      </c>
      <c r="AN23" s="188">
        <f t="shared" ref="AN23:AP23" si="20">RANK(AJ23,AJ$3:AJ$53,0)</f>
        <v>40</v>
      </c>
      <c r="AO23" s="188">
        <f t="shared" si="20"/>
        <v>40</v>
      </c>
      <c r="AP23" s="188">
        <f t="shared" si="20"/>
        <v>40</v>
      </c>
    </row>
    <row r="24" customHeight="1" spans="1:4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86">
        <f t="shared" si="0"/>
        <v>8</v>
      </c>
      <c r="AK24" s="186" cm="1">
        <f t="array" ref="AK24">SUMPRODUCT(--(B24:AI24=INT(B24:AI24)),--(B24:AI24&gt;0))</f>
        <v>8</v>
      </c>
      <c r="AL24" s="186" cm="1">
        <f t="array" ref="AL24">MAX(FREQUENCY(IF((B24:AI24=INT(B24:AI24))*(B24:AI24&gt;0),COLUMN(B24:AI24)),IF((B24:AI24&lt;&gt;INT(B24:AI24))+(B24:AI24&lt;=0),COLUMN(B24:AI24))))</f>
        <v>3</v>
      </c>
      <c r="AM24" s="187" cm="1">
        <f t="array" ref="AM24">SUMPRODUCT(--(B24:AI24=INT(B24:AI24)),--(B24:AI24&gt;0))/34*100%</f>
        <v>0.235294117647059</v>
      </c>
      <c r="AN24" s="188">
        <f t="shared" ref="AN24:AP24" si="21">RANK(AJ24,AJ$3:AJ$53,0)</f>
        <v>13</v>
      </c>
      <c r="AO24" s="188">
        <f t="shared" si="21"/>
        <v>12</v>
      </c>
      <c r="AP24" s="188">
        <f t="shared" si="21"/>
        <v>8</v>
      </c>
    </row>
    <row r="25" customHeight="1" spans="1:4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86">
        <f t="shared" si="0"/>
        <v>1</v>
      </c>
      <c r="AK25" s="186" cm="1">
        <f t="array" ref="AK25">SUMPRODUCT(--(B25:AI25=INT(B25:AI25)),--(B25:AI25&gt;0))</f>
        <v>1</v>
      </c>
      <c r="AL25" s="186" cm="1">
        <f t="array" ref="AL25">MAX(FREQUENCY(IF((B25:AI25=INT(B25:AI25))*(B25:AI25&gt;0),COLUMN(B25:AI25)),IF((B25:AI25&lt;&gt;INT(B25:AI25))+(B25:AI25&lt;=0),COLUMN(B25:AI25))))</f>
        <v>1</v>
      </c>
      <c r="AM25" s="187" cm="1">
        <f t="array" ref="AM25">SUMPRODUCT(--(B25:AI25=INT(B25:AI25)),--(B25:AI25&gt;0))/34*100%</f>
        <v>0.0294117647058824</v>
      </c>
      <c r="AN25" s="188">
        <f t="shared" ref="AN25:AP25" si="22">RANK(AJ25,AJ$3:AJ$53,0)</f>
        <v>34</v>
      </c>
      <c r="AO25" s="188">
        <f t="shared" si="22"/>
        <v>34</v>
      </c>
      <c r="AP25" s="188">
        <f t="shared" si="22"/>
        <v>19</v>
      </c>
    </row>
    <row r="26" customHeight="1" spans="1:42">
      <c r="A26" s="189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86">
        <f t="shared" si="0"/>
        <v>0</v>
      </c>
      <c r="AK26" s="186" cm="1">
        <f t="array" ref="AK26">SUMPRODUCT(--(B26:AI26=INT(B26:AI26)),--(B26:AI26&gt;0))</f>
        <v>0</v>
      </c>
      <c r="AL26" s="186" cm="1">
        <f t="array" ref="AL26">MAX(FREQUENCY(IF((B26:AI26=INT(B26:AI26))*(B26:AI26&gt;0),COLUMN(B26:AI26)),IF((B26:AI26&lt;&gt;INT(B26:AI26))+(B26:AI26&lt;=0),COLUMN(B26:AI26))))</f>
        <v>0</v>
      </c>
      <c r="AM26" s="187" cm="1">
        <f t="array" ref="AM26">SUMPRODUCT(--(B26:AI26=INT(B26:AI26)),--(B26:AI26&gt;0))/34*100%</f>
        <v>0</v>
      </c>
      <c r="AN26" s="188">
        <f t="shared" ref="AN26:AP26" si="23">RANK(AJ26,AJ$3:AJ$53,0)</f>
        <v>40</v>
      </c>
      <c r="AO26" s="188">
        <f t="shared" si="23"/>
        <v>40</v>
      </c>
      <c r="AP26" s="188">
        <f t="shared" si="23"/>
        <v>40</v>
      </c>
    </row>
    <row r="27" customHeight="1" spans="1:42">
      <c r="A27" s="189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86">
        <f t="shared" si="0"/>
        <v>0</v>
      </c>
      <c r="AK27" s="186" cm="1">
        <f t="array" ref="AK27">SUMPRODUCT(--(B27:AI27=INT(B27:AI27)),--(B27:AI27&gt;0))</f>
        <v>0</v>
      </c>
      <c r="AL27" s="186" cm="1">
        <f t="array" ref="AL27">MAX(FREQUENCY(IF((B27:AI27=INT(B27:AI27))*(B27:AI27&gt;0),COLUMN(B27:AI27)),IF((B27:AI27&lt;&gt;INT(B27:AI27))+(B27:AI27&lt;=0),COLUMN(B27:AI27))))</f>
        <v>0</v>
      </c>
      <c r="AM27" s="187" cm="1">
        <f t="array" ref="AM27">SUMPRODUCT(--(B27:AI27=INT(B27:AI27)),--(B27:AI27&gt;0))/34*100%</f>
        <v>0</v>
      </c>
      <c r="AN27" s="188">
        <f t="shared" ref="AN27:AP27" si="24">RANK(AJ27,AJ$3:AJ$53,0)</f>
        <v>40</v>
      </c>
      <c r="AO27" s="188">
        <f t="shared" si="24"/>
        <v>40</v>
      </c>
      <c r="AP27" s="188">
        <f t="shared" si="24"/>
        <v>40</v>
      </c>
    </row>
    <row r="28" customHeight="1" spans="1:4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86">
        <f t="shared" si="0"/>
        <v>8</v>
      </c>
      <c r="AK28" s="186" cm="1">
        <f t="array" ref="AK28">SUMPRODUCT(--(B28:AI28=INT(B28:AI28)),--(B28:AI28&gt;0))</f>
        <v>8</v>
      </c>
      <c r="AL28" s="186" cm="1">
        <f t="array" ref="AL28">MAX(FREQUENCY(IF((B28:AI28=INT(B28:AI28))*(B28:AI28&gt;0),COLUMN(B28:AI28)),IF((B28:AI28&lt;&gt;INT(B28:AI28))+(B28:AI28&lt;=0),COLUMN(B28:AI28))))</f>
        <v>2</v>
      </c>
      <c r="AM28" s="187" cm="1">
        <f t="array" ref="AM28">SUMPRODUCT(--(B28:AI28=INT(B28:AI28)),--(B28:AI28&gt;0))/34*100%</f>
        <v>0.235294117647059</v>
      </c>
      <c r="AN28" s="188">
        <f t="shared" ref="AN28:AP28" si="25">RANK(AJ28,AJ$3:AJ$53,0)</f>
        <v>13</v>
      </c>
      <c r="AO28" s="188">
        <f t="shared" si="25"/>
        <v>12</v>
      </c>
      <c r="AP28" s="188">
        <f t="shared" si="25"/>
        <v>13</v>
      </c>
    </row>
    <row r="29" customHeight="1" spans="1:4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86">
        <f t="shared" si="0"/>
        <v>4</v>
      </c>
      <c r="AK29" s="186" cm="1">
        <f t="array" ref="AK29">SUMPRODUCT(--(B29:AI29=INT(B29:AI29)),--(B29:AI29&gt;0))</f>
        <v>4</v>
      </c>
      <c r="AL29" s="186" cm="1">
        <f t="array" ref="AL29">MAX(FREQUENCY(IF((B29:AI29=INT(B29:AI29))*(B29:AI29&gt;0),COLUMN(B29:AI29)),IF((B29:AI29&lt;&gt;INT(B29:AI29))+(B29:AI29&lt;=0),COLUMN(B29:AI29))))</f>
        <v>1</v>
      </c>
      <c r="AM29" s="187" cm="1">
        <f t="array" ref="AM29">SUMPRODUCT(--(B29:AI29=INT(B29:AI29)),--(B29:AI29&gt;0))/34*100%</f>
        <v>0.117647058823529</v>
      </c>
      <c r="AN29" s="188">
        <f t="shared" ref="AN29:AP29" si="26">RANK(AJ29,AJ$3:AJ$53,0)</f>
        <v>21</v>
      </c>
      <c r="AO29" s="188">
        <f t="shared" si="26"/>
        <v>21</v>
      </c>
      <c r="AP29" s="188">
        <f t="shared" si="26"/>
        <v>19</v>
      </c>
    </row>
    <row r="30" customHeight="1" spans="1:4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86">
        <f t="shared" si="0"/>
        <v>8</v>
      </c>
      <c r="AK30" s="186" cm="1">
        <f t="array" ref="AK30">SUMPRODUCT(--(B30:AI30=INT(B30:AI30)),--(B30:AI30&gt;0))</f>
        <v>7</v>
      </c>
      <c r="AL30" s="186" cm="1">
        <f t="array" ref="AL30">MAX(FREQUENCY(IF((B30:AI30=INT(B30:AI30))*(B30:AI30&gt;0),COLUMN(B30:AI30)),IF((B30:AI30&lt;&gt;INT(B30:AI30))+(B30:AI30&lt;=0),COLUMN(B30:AI30))))</f>
        <v>4</v>
      </c>
      <c r="AM30" s="187" cm="1">
        <f t="array" ref="AM30">SUMPRODUCT(--(B30:AI30=INT(B30:AI30)),--(B30:AI30&gt;0))/34*100%</f>
        <v>0.205882352941176</v>
      </c>
      <c r="AN30" s="188">
        <f t="shared" ref="AN30:AP30" si="27">RANK(AJ30,AJ$3:AJ$53,0)</f>
        <v>13</v>
      </c>
      <c r="AO30" s="188">
        <f t="shared" si="27"/>
        <v>16</v>
      </c>
      <c r="AP30" s="188">
        <f t="shared" si="27"/>
        <v>6</v>
      </c>
    </row>
    <row r="31" customHeight="1" spans="1:4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86">
        <f t="shared" si="0"/>
        <v>8</v>
      </c>
      <c r="AK31" s="186" cm="1">
        <f t="array" ref="AK31">SUMPRODUCT(--(B31:AI31=INT(B31:AI31)),--(B31:AI31&gt;0))</f>
        <v>7</v>
      </c>
      <c r="AL31" s="186" cm="1">
        <f t="array" ref="AL31">MAX(FREQUENCY(IF((B31:AI31=INT(B31:AI31))*(B31:AI31&gt;0),COLUMN(B31:AI31)),IF((B31:AI31&lt;&gt;INT(B31:AI31))+(B31:AI31&lt;=0),COLUMN(B31:AI31))))</f>
        <v>2</v>
      </c>
      <c r="AM31" s="187" cm="1">
        <f t="array" ref="AM31">SUMPRODUCT(--(B31:AI31=INT(B31:AI31)),--(B31:AI31&gt;0))/34*100%</f>
        <v>0.205882352941176</v>
      </c>
      <c r="AN31" s="188">
        <f t="shared" ref="AN31:AP31" si="28">RANK(AJ31,AJ$3:AJ$53,0)</f>
        <v>13</v>
      </c>
      <c r="AO31" s="188">
        <f t="shared" si="28"/>
        <v>16</v>
      </c>
      <c r="AP31" s="188">
        <f t="shared" si="28"/>
        <v>13</v>
      </c>
    </row>
    <row r="32" customHeight="1" spans="1:4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86">
        <f t="shared" si="0"/>
        <v>10</v>
      </c>
      <c r="AK32" s="186" cm="1">
        <f t="array" ref="AK32">SUMPRODUCT(--(B32:AI32=INT(B32:AI32)),--(B32:AI32&gt;0))</f>
        <v>9</v>
      </c>
      <c r="AL32" s="186" cm="1">
        <f t="array" ref="AL32">MAX(FREQUENCY(IF((B32:AI32=INT(B32:AI32))*(B32:AI32&gt;0),COLUMN(B32:AI32)),IF((B32:AI32&lt;&gt;INT(B32:AI32))+(B32:AI32&lt;=0),COLUMN(B32:AI32))))</f>
        <v>3</v>
      </c>
      <c r="AM32" s="187" cm="1">
        <f t="array" ref="AM32">SUMPRODUCT(--(B32:AI32=INT(B32:AI32)),--(B32:AI32&gt;0))/34*100%</f>
        <v>0.264705882352941</v>
      </c>
      <c r="AN32" s="188">
        <f t="shared" ref="AN32:AP32" si="29">RANK(AJ32,AJ$3:AJ$53,0)</f>
        <v>9</v>
      </c>
      <c r="AO32" s="188">
        <f t="shared" si="29"/>
        <v>9</v>
      </c>
      <c r="AP32" s="188">
        <f t="shared" si="29"/>
        <v>8</v>
      </c>
    </row>
    <row r="33" customHeight="1" spans="1:4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86">
        <f t="shared" si="0"/>
        <v>3</v>
      </c>
      <c r="AK33" s="186" cm="1">
        <f t="array" ref="AK33">SUMPRODUCT(--(B33:AI33=INT(B33:AI33)),--(B33:AI33&gt;0))</f>
        <v>3</v>
      </c>
      <c r="AL33" s="186" cm="1">
        <f t="array" ref="AL33">MAX(FREQUENCY(IF((B33:AI33=INT(B33:AI33))*(B33:AI33&gt;0),COLUMN(B33:AI33)),IF((B33:AI33&lt;&gt;INT(B33:AI33))+(B33:AI33&lt;=0),COLUMN(B33:AI33))))</f>
        <v>1</v>
      </c>
      <c r="AM33" s="187" cm="1">
        <f t="array" ref="AM33">SUMPRODUCT(--(B33:AI33=INT(B33:AI33)),--(B33:AI33&gt;0))/34*100%</f>
        <v>0.0882352941176471</v>
      </c>
      <c r="AN33" s="188">
        <f t="shared" ref="AN33:AP33" si="30">RANK(AJ33,AJ$3:AJ$53,0)</f>
        <v>25</v>
      </c>
      <c r="AO33" s="188">
        <f t="shared" si="30"/>
        <v>23</v>
      </c>
      <c r="AP33" s="188">
        <f t="shared" si="30"/>
        <v>19</v>
      </c>
    </row>
    <row r="34" customHeight="1" spans="1:42">
      <c r="A34" s="189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86">
        <f t="shared" si="0"/>
        <v>0</v>
      </c>
      <c r="AK34" s="186" cm="1">
        <f t="array" ref="AK34">SUMPRODUCT(--(B34:AI34=INT(B34:AI34)),--(B34:AI34&gt;0))</f>
        <v>0</v>
      </c>
      <c r="AL34" s="186" cm="1">
        <f t="array" ref="AL34">MAX(FREQUENCY(IF((B34:AI34=INT(B34:AI34))*(B34:AI34&gt;0),COLUMN(B34:AI34)),IF((B34:AI34&lt;&gt;INT(B34:AI34))+(B34:AI34&lt;=0),COLUMN(B34:AI34))))</f>
        <v>0</v>
      </c>
      <c r="AM34" s="187" cm="1">
        <f t="array" ref="AM34">SUMPRODUCT(--(B34:AI34=INT(B34:AI34)),--(B34:AI34&gt;0))/34*100%</f>
        <v>0</v>
      </c>
      <c r="AN34" s="188">
        <f t="shared" ref="AN34:AP34" si="31">RANK(AJ34,AJ$3:AJ$53,0)</f>
        <v>40</v>
      </c>
      <c r="AO34" s="188">
        <f t="shared" si="31"/>
        <v>40</v>
      </c>
      <c r="AP34" s="188">
        <f t="shared" si="31"/>
        <v>40</v>
      </c>
    </row>
    <row r="35" customHeight="1" spans="1:42">
      <c r="A35" s="189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86">
        <f t="shared" si="0"/>
        <v>0</v>
      </c>
      <c r="AK35" s="186" cm="1">
        <f t="array" ref="AK35">SUMPRODUCT(--(B35:AI35=INT(B35:AI35)),--(B35:AI35&gt;0))</f>
        <v>0</v>
      </c>
      <c r="AL35" s="186" cm="1">
        <f t="array" ref="AL35">MAX(FREQUENCY(IF((B35:AI35=INT(B35:AI35))*(B35:AI35&gt;0),COLUMN(B35:AI35)),IF((B35:AI35&lt;&gt;INT(B35:AI35))+(B35:AI35&lt;=0),COLUMN(B35:AI35))))</f>
        <v>0</v>
      </c>
      <c r="AM35" s="187" cm="1">
        <f t="array" ref="AM35">SUMPRODUCT(--(B35:AI35=INT(B35:AI35)),--(B35:AI35&gt;0))/34*100%</f>
        <v>0</v>
      </c>
      <c r="AN35" s="188">
        <f t="shared" ref="AN35:AP35" si="32">RANK(AJ35,AJ$3:AJ$53,0)</f>
        <v>40</v>
      </c>
      <c r="AO35" s="188">
        <f t="shared" si="32"/>
        <v>40</v>
      </c>
      <c r="AP35" s="188">
        <f t="shared" si="32"/>
        <v>40</v>
      </c>
    </row>
    <row r="36" customHeight="1" spans="1:4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86">
        <f t="shared" ref="AJ36:AJ53" si="33">SUM(B36:AI36)</f>
        <v>1</v>
      </c>
      <c r="AK36" s="186" cm="1">
        <f t="array" ref="AK36">SUMPRODUCT(--(B36:AI36=INT(B36:AI36)),--(B36:AI36&gt;0))</f>
        <v>1</v>
      </c>
      <c r="AL36" s="186" cm="1">
        <f t="array" ref="AL36">MAX(FREQUENCY(IF((B36:AI36=INT(B36:AI36))*(B36:AI36&gt;0),COLUMN(B36:AI36)),IF((B36:AI36&lt;&gt;INT(B36:AI36))+(B36:AI36&lt;=0),COLUMN(B36:AI36))))</f>
        <v>1</v>
      </c>
      <c r="AM36" s="187" cm="1">
        <f t="array" ref="AM36">SUMPRODUCT(--(B36:AI36=INT(B36:AI36)),--(B36:AI36&gt;0))/34*100%</f>
        <v>0.0294117647058824</v>
      </c>
      <c r="AN36" s="188">
        <f t="shared" ref="AN36:AP36" si="34">RANK(AJ36,AJ$3:AJ$53,0)</f>
        <v>34</v>
      </c>
      <c r="AO36" s="188">
        <f t="shared" si="34"/>
        <v>34</v>
      </c>
      <c r="AP36" s="188">
        <f t="shared" si="34"/>
        <v>19</v>
      </c>
    </row>
    <row r="37" customHeight="1" spans="1:4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86">
        <f t="shared" si="33"/>
        <v>7</v>
      </c>
      <c r="AK37" s="186" cm="1">
        <f t="array" ref="AK37">SUMPRODUCT(--(B37:AI37=INT(B37:AI37)),--(B37:AI37&gt;0))</f>
        <v>6</v>
      </c>
      <c r="AL37" s="186" cm="1">
        <f t="array" ref="AL37">MAX(FREQUENCY(IF((B37:AI37=INT(B37:AI37))*(B37:AI37&gt;0),COLUMN(B37:AI37)),IF((B37:AI37&lt;&gt;INT(B37:AI37))+(B37:AI37&lt;=0),COLUMN(B37:AI37))))</f>
        <v>3</v>
      </c>
      <c r="AM37" s="187" cm="1">
        <f t="array" ref="AM37">SUMPRODUCT(--(B37:AI37=INT(B37:AI37)),--(B37:AI37&gt;0))/34*100%</f>
        <v>0.176470588235294</v>
      </c>
      <c r="AN37" s="188">
        <f t="shared" ref="AN37:AP37" si="35">RANK(AJ37,AJ$3:AJ$53,0)</f>
        <v>18</v>
      </c>
      <c r="AO37" s="188">
        <f t="shared" si="35"/>
        <v>19</v>
      </c>
      <c r="AP37" s="188">
        <f t="shared" si="35"/>
        <v>8</v>
      </c>
    </row>
    <row r="38" customHeight="1" spans="1:4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86">
        <f t="shared" si="33"/>
        <v>4</v>
      </c>
      <c r="AK38" s="186" cm="1">
        <f t="array" ref="AK38">SUMPRODUCT(--(B38:AI38=INT(B38:AI38)),--(B38:AI38&gt;0))</f>
        <v>3</v>
      </c>
      <c r="AL38" s="186" cm="1">
        <f t="array" ref="AL38">MAX(FREQUENCY(IF((B38:AI38=INT(B38:AI38))*(B38:AI38&gt;0),COLUMN(B38:AI38)),IF((B38:AI38&lt;&gt;INT(B38:AI38))+(B38:AI38&lt;=0),COLUMN(B38:AI38))))</f>
        <v>1</v>
      </c>
      <c r="AM38" s="187" cm="1">
        <f t="array" ref="AM38">SUMPRODUCT(--(B38:AI38=INT(B38:AI38)),--(B38:AI38&gt;0))/34*100%</f>
        <v>0.0882352941176471</v>
      </c>
      <c r="AN38" s="188">
        <f t="shared" ref="AN38:AP38" si="36">RANK(AJ38,AJ$3:AJ$53,0)</f>
        <v>21</v>
      </c>
      <c r="AO38" s="188">
        <f t="shared" si="36"/>
        <v>23</v>
      </c>
      <c r="AP38" s="188">
        <f t="shared" si="36"/>
        <v>19</v>
      </c>
    </row>
    <row r="39" customHeight="1" spans="1:4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86">
        <f t="shared" si="33"/>
        <v>0</v>
      </c>
      <c r="AK39" s="186" cm="1">
        <f t="array" ref="AK39">SUMPRODUCT(--(B39:AI39=INT(B39:AI39)),--(B39:AI39&gt;0))</f>
        <v>0</v>
      </c>
      <c r="AL39" s="186" cm="1">
        <f t="array" ref="AL39">MAX(FREQUENCY(IF((B39:AI39=INT(B39:AI39))*(B39:AI39&gt;0),COLUMN(B39:AI39)),IF((B39:AI39&lt;&gt;INT(B39:AI39))+(B39:AI39&lt;=0),COLUMN(B39:AI39))))</f>
        <v>0</v>
      </c>
      <c r="AM39" s="187" cm="1">
        <f t="array" ref="AM39">SUMPRODUCT(--(B39:AI39=INT(B39:AI39)),--(B39:AI39&gt;0))/34*100%</f>
        <v>0</v>
      </c>
      <c r="AN39" s="190">
        <f t="shared" ref="AN39:AP39" si="37">RANK(AJ39,AJ$3:AJ$53,0)</f>
        <v>40</v>
      </c>
      <c r="AO39" s="190">
        <f t="shared" si="37"/>
        <v>40</v>
      </c>
      <c r="AP39" s="190">
        <f t="shared" si="37"/>
        <v>40</v>
      </c>
    </row>
    <row r="40" customHeight="1" spans="1:4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86">
        <f t="shared" si="33"/>
        <v>23</v>
      </c>
      <c r="AK40" s="186" cm="1">
        <f t="array" ref="AK40">SUMPRODUCT(--(B40:AI40=INT(B40:AI40)),--(B40:AI40&gt;0))</f>
        <v>21</v>
      </c>
      <c r="AL40" s="186" cm="1">
        <f t="array" ref="AL40">MAX(FREQUENCY(IF((B40:AI40=INT(B40:AI40))*(B40:AI40&gt;0),COLUMN(B40:AI40)),IF((B40:AI40&lt;&gt;INT(B40:AI40))+(B40:AI40&lt;=0),COLUMN(B40:AI40))))</f>
        <v>12</v>
      </c>
      <c r="AM40" s="187" cm="1">
        <f t="array" ref="AM40">SUMPRODUCT(--(B40:AI40=INT(B40:AI40)),--(B40:AI40&gt;0))/34*100%</f>
        <v>0.617647058823529</v>
      </c>
      <c r="AN40" s="188">
        <f t="shared" ref="AN40:AP40" si="38">RANK(AJ40,AJ$3:AJ$53,0)</f>
        <v>2</v>
      </c>
      <c r="AO40" s="188">
        <f t="shared" si="38"/>
        <v>1</v>
      </c>
      <c r="AP40" s="188">
        <f t="shared" si="38"/>
        <v>1</v>
      </c>
    </row>
    <row r="41" customHeight="1" spans="1:4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86">
        <f t="shared" si="33"/>
        <v>11</v>
      </c>
      <c r="AK41" s="186" cm="1">
        <f t="array" ref="AK41">SUMPRODUCT(--(B41:AI41=INT(B41:AI41)),--(B41:AI41&gt;0))</f>
        <v>8</v>
      </c>
      <c r="AL41" s="186" cm="1">
        <f t="array" ref="AL41">MAX(FREQUENCY(IF((B41:AI41=INT(B41:AI41))*(B41:AI41&gt;0),COLUMN(B41:AI41)),IF((B41:AI41&lt;&gt;INT(B41:AI41))+(B41:AI41&lt;=0),COLUMN(B41:AI41))))</f>
        <v>2</v>
      </c>
      <c r="AM41" s="187" cm="1">
        <f t="array" ref="AM41">SUMPRODUCT(--(B41:AI41=INT(B41:AI41)),--(B41:AI41&gt;0))/34*100%</f>
        <v>0.235294117647059</v>
      </c>
      <c r="AN41" s="188">
        <f t="shared" ref="AN41:AP41" si="39">RANK(AJ41,AJ$3:AJ$53,0)</f>
        <v>8</v>
      </c>
      <c r="AO41" s="188">
        <f t="shared" si="39"/>
        <v>12</v>
      </c>
      <c r="AP41" s="188">
        <f t="shared" si="39"/>
        <v>13</v>
      </c>
    </row>
    <row r="42" customHeight="1" spans="1:4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86">
        <f t="shared" si="33"/>
        <v>15</v>
      </c>
      <c r="AK42" s="186" cm="1">
        <f t="array" ref="AK42">SUMPRODUCT(--(B42:AI42=INT(B42:AI42)),--(B42:AI42&gt;0))</f>
        <v>12</v>
      </c>
      <c r="AL42" s="186" cm="1">
        <f t="array" ref="AL42">MAX(FREQUENCY(IF((B42:AI42=INT(B42:AI42))*(B42:AI42&gt;0),COLUMN(B42:AI42)),IF((B42:AI42&lt;&gt;INT(B42:AI42))+(B42:AI42&lt;=0),COLUMN(B42:AI42))))</f>
        <v>5</v>
      </c>
      <c r="AM42" s="187" cm="1">
        <f t="array" ref="AM42">SUMPRODUCT(--(B42:AI42=INT(B42:AI42)),--(B42:AI42&gt;0))/34*100%</f>
        <v>0.352941176470588</v>
      </c>
      <c r="AN42" s="188">
        <f t="shared" ref="AN42:AP42" si="40">RANK(AJ42,AJ$3:AJ$53,0)</f>
        <v>5</v>
      </c>
      <c r="AO42" s="188">
        <f t="shared" si="40"/>
        <v>5</v>
      </c>
      <c r="AP42" s="188">
        <f t="shared" si="40"/>
        <v>3</v>
      </c>
    </row>
    <row r="43" customHeight="1" spans="1:42">
      <c r="A43" s="189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86">
        <f t="shared" si="33"/>
        <v>0</v>
      </c>
      <c r="AK43" s="186" cm="1">
        <f t="array" ref="AK43">SUMPRODUCT(--(B43:AI43=INT(B43:AI43)),--(B43:AI43&gt;0))</f>
        <v>0</v>
      </c>
      <c r="AL43" s="186" cm="1">
        <f t="array" ref="AL43">MAX(FREQUENCY(IF((B43:AI43=INT(B43:AI43))*(B43:AI43&gt;0),COLUMN(B43:AI43)),IF((B43:AI43&lt;&gt;INT(B43:AI43))+(B43:AI43&lt;=0),COLUMN(B43:AI43))))</f>
        <v>0</v>
      </c>
      <c r="AM43" s="187" cm="1">
        <f t="array" ref="AM43">SUMPRODUCT(--(B43:AI43=INT(B43:AI43)),--(B43:AI43&gt;0))/34*100%</f>
        <v>0</v>
      </c>
      <c r="AN43" s="188">
        <f t="shared" ref="AN43:AP43" si="41">RANK(AJ43,AJ$3:AJ$53,0)</f>
        <v>40</v>
      </c>
      <c r="AO43" s="188">
        <f t="shared" si="41"/>
        <v>40</v>
      </c>
      <c r="AP43" s="188">
        <f t="shared" si="41"/>
        <v>40</v>
      </c>
    </row>
    <row r="44" customHeight="1" spans="1:4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86">
        <f t="shared" si="33"/>
        <v>17</v>
      </c>
      <c r="AK44" s="186" cm="1">
        <f t="array" ref="AK44">SUMPRODUCT(--(B44:AI44=INT(B44:AI44)),--(B44:AI44&gt;0))</f>
        <v>14</v>
      </c>
      <c r="AL44" s="186" cm="1">
        <f t="array" ref="AL44">MAX(FREQUENCY(IF((B44:AI44=INT(B44:AI44))*(B44:AI44&gt;0),COLUMN(B44:AI44)),IF((B44:AI44&lt;&gt;INT(B44:AI44))+(B44:AI44&lt;=0),COLUMN(B44:AI44))))</f>
        <v>5</v>
      </c>
      <c r="AM44" s="187" cm="1">
        <f t="array" ref="AM44">SUMPRODUCT(--(B44:AI44=INT(B44:AI44)),--(B44:AI44&gt;0))/34*100%</f>
        <v>0.411764705882353</v>
      </c>
      <c r="AN44" s="188">
        <f t="shared" ref="AN44:AP44" si="42">RANK(AJ44,AJ$3:AJ$53,0)</f>
        <v>3</v>
      </c>
      <c r="AO44" s="188">
        <f t="shared" si="42"/>
        <v>4</v>
      </c>
      <c r="AP44" s="188">
        <f t="shared" si="42"/>
        <v>3</v>
      </c>
    </row>
    <row r="45" customHeight="1" spans="1:42">
      <c r="A45" s="189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86">
        <f t="shared" si="33"/>
        <v>0</v>
      </c>
      <c r="AK45" s="186" cm="1">
        <f t="array" ref="AK45">SUMPRODUCT(--(B45:AI45=INT(B45:AI45)),--(B45:AI45&gt;0))</f>
        <v>0</v>
      </c>
      <c r="AL45" s="186" cm="1">
        <f t="array" ref="AL45">MAX(FREQUENCY(IF((B45:AI45=INT(B45:AI45))*(B45:AI45&gt;0),COLUMN(B45:AI45)),IF((B45:AI45&lt;&gt;INT(B45:AI45))+(B45:AI45&lt;=0),COLUMN(B45:AI45))))</f>
        <v>0</v>
      </c>
      <c r="AM45" s="187" cm="1">
        <f t="array" ref="AM45">SUMPRODUCT(--(B45:AI45=INT(B45:AI45)),--(B45:AI45&gt;0))/34*100%</f>
        <v>0</v>
      </c>
      <c r="AN45" s="188">
        <f t="shared" ref="AN45:AP45" si="43">RANK(AJ45,AJ$3:AJ$53,0)</f>
        <v>40</v>
      </c>
      <c r="AO45" s="188">
        <f t="shared" si="43"/>
        <v>40</v>
      </c>
      <c r="AP45" s="188">
        <f t="shared" si="43"/>
        <v>40</v>
      </c>
    </row>
    <row r="46" customHeight="1" spans="1:4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86">
        <f t="shared" si="33"/>
        <v>30</v>
      </c>
      <c r="AK46" s="186" cm="1">
        <f t="array" ref="AK46">SUMPRODUCT(--(B46:AI46=INT(B46:AI46)),--(B46:AI46&gt;0))</f>
        <v>21</v>
      </c>
      <c r="AL46" s="186" cm="1">
        <f t="array" ref="AL46">MAX(FREQUENCY(IF((B46:AI46=INT(B46:AI46))*(B46:AI46&gt;0),COLUMN(B46:AI46)),IF((B46:AI46&lt;&gt;INT(B46:AI46))+(B46:AI46&lt;=0),COLUMN(B46:AI46))))</f>
        <v>8</v>
      </c>
      <c r="AM46" s="187" cm="1">
        <f t="array" ref="AM46">SUMPRODUCT(--(B46:AI46=INT(B46:AI46)),--(B46:AI46&gt;0))/34*100%</f>
        <v>0.617647058823529</v>
      </c>
      <c r="AN46" s="188">
        <f t="shared" ref="AN46:AP46" si="44">RANK(AJ46,AJ$3:AJ$53,0)</f>
        <v>1</v>
      </c>
      <c r="AO46" s="188">
        <f t="shared" si="44"/>
        <v>1</v>
      </c>
      <c r="AP46" s="188">
        <f t="shared" si="44"/>
        <v>2</v>
      </c>
    </row>
    <row r="47" customHeight="1" spans="1:42">
      <c r="A47" s="189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86">
        <f t="shared" si="33"/>
        <v>0</v>
      </c>
      <c r="AK47" s="186" cm="1">
        <f t="array" ref="AK47">SUMPRODUCT(--(B47:AI47=INT(B47:AI47)),--(B47:AI47&gt;0))</f>
        <v>0</v>
      </c>
      <c r="AL47" s="186" cm="1">
        <f t="array" ref="AL47">MAX(FREQUENCY(IF((B47:AI47=INT(B47:AI47))*(B47:AI47&gt;0),COLUMN(B47:AI47)),IF((B47:AI47&lt;&gt;INT(B47:AI47))+(B47:AI47&lt;=0),COLUMN(B47:AI47))))</f>
        <v>0</v>
      </c>
      <c r="AM47" s="187" cm="1">
        <f t="array" ref="AM47">SUMPRODUCT(--(B47:AI47=INT(B47:AI47)),--(B47:AI47&gt;0))/34*100%</f>
        <v>0</v>
      </c>
      <c r="AN47" s="188">
        <f t="shared" ref="AN47:AP47" si="45">RANK(AJ47,AJ$3:AJ$53,0)</f>
        <v>40</v>
      </c>
      <c r="AO47" s="188">
        <f t="shared" si="45"/>
        <v>40</v>
      </c>
      <c r="AP47" s="188">
        <f t="shared" si="45"/>
        <v>40</v>
      </c>
    </row>
    <row r="48" customHeight="1" spans="1:4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86">
        <f t="shared" si="33"/>
        <v>9</v>
      </c>
      <c r="AK48" s="186" cm="1">
        <f t="array" ref="AK48">SUMPRODUCT(--(B48:AI48=INT(B48:AI48)),--(B48:AI48&gt;0))</f>
        <v>9</v>
      </c>
      <c r="AL48" s="186" cm="1">
        <f t="array" ref="AL48">MAX(FREQUENCY(IF((B48:AI48=INT(B48:AI48))*(B48:AI48&gt;0),COLUMN(B48:AI48)),IF((B48:AI48&lt;&gt;INT(B48:AI48))+(B48:AI48&lt;=0),COLUMN(B48:AI48))))</f>
        <v>2</v>
      </c>
      <c r="AM48" s="187" cm="1">
        <f t="array" ref="AM48">SUMPRODUCT(--(B48:AI48=INT(B48:AI48)),--(B48:AI48&gt;0))/34*100%</f>
        <v>0.264705882352941</v>
      </c>
      <c r="AN48" s="188">
        <f t="shared" ref="AN48:AP48" si="46">RANK(AJ48,AJ$3:AJ$53,0)</f>
        <v>12</v>
      </c>
      <c r="AO48" s="188">
        <f t="shared" si="46"/>
        <v>9</v>
      </c>
      <c r="AP48" s="188">
        <f t="shared" si="46"/>
        <v>13</v>
      </c>
    </row>
    <row r="49" customHeight="1" spans="1:4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86">
        <f t="shared" si="33"/>
        <v>3</v>
      </c>
      <c r="AK49" s="186" cm="1">
        <f t="array" ref="AK49">SUMPRODUCT(--(B49:AI49=INT(B49:AI49)),--(B49:AI49&gt;0))</f>
        <v>3</v>
      </c>
      <c r="AL49" s="186" cm="1">
        <f t="array" ref="AL49">MAX(FREQUENCY(IF((B49:AI49=INT(B49:AI49))*(B49:AI49&gt;0),COLUMN(B49:AI49)),IF((B49:AI49&lt;&gt;INT(B49:AI49))+(B49:AI49&lt;=0),COLUMN(B49:AI49))))</f>
        <v>1</v>
      </c>
      <c r="AM49" s="187" cm="1">
        <f t="array" ref="AM49">SUMPRODUCT(--(B49:AI49=INT(B49:AI49)),--(B49:AI49&gt;0))/34*100%</f>
        <v>0.0882352941176471</v>
      </c>
      <c r="AN49" s="188">
        <f t="shared" ref="AN49:AP49" si="47">RANK(AJ49,AJ$3:AJ$53,0)</f>
        <v>25</v>
      </c>
      <c r="AO49" s="188">
        <f t="shared" si="47"/>
        <v>23</v>
      </c>
      <c r="AP49" s="188">
        <f t="shared" si="47"/>
        <v>19</v>
      </c>
    </row>
    <row r="50" customHeight="1" spans="1:4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86">
        <f t="shared" si="33"/>
        <v>4</v>
      </c>
      <c r="AK50" s="186" cm="1">
        <f t="array" ref="AK50">SUMPRODUCT(--(B50:AI50=INT(B50:AI50)),--(B50:AI50&gt;0))</f>
        <v>4</v>
      </c>
      <c r="AL50" s="186" cm="1">
        <f t="array" ref="AL50">MAX(FREQUENCY(IF((B50:AI50=INT(B50:AI50))*(B50:AI50&gt;0),COLUMN(B50:AI50)),IF((B50:AI50&lt;&gt;INT(B50:AI50))+(B50:AI50&lt;=0),COLUMN(B50:AI50))))</f>
        <v>1</v>
      </c>
      <c r="AM50" s="187" cm="1">
        <f t="array" ref="AM50">SUMPRODUCT(--(B50:AI50=INT(B50:AI50)),--(B50:AI50&gt;0))/34*100%</f>
        <v>0.117647058823529</v>
      </c>
      <c r="AN50" s="188">
        <f t="shared" ref="AN50:AP50" si="48">RANK(AJ50,AJ$3:AJ$53,0)</f>
        <v>21</v>
      </c>
      <c r="AO50" s="188">
        <f t="shared" si="48"/>
        <v>21</v>
      </c>
      <c r="AP50" s="188">
        <f t="shared" si="48"/>
        <v>19</v>
      </c>
    </row>
    <row r="51" customHeight="1" spans="1:42">
      <c r="A51" s="189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86">
        <f t="shared" si="33"/>
        <v>0</v>
      </c>
      <c r="AK51" s="186" cm="1">
        <f t="array" ref="AK51">SUMPRODUCT(--(B51:AI51=INT(B51:AI51)),--(B51:AI51&gt;0))</f>
        <v>0</v>
      </c>
      <c r="AL51" s="186" cm="1">
        <f t="array" ref="AL51">MAX(FREQUENCY(IF((B51:AI51=INT(B51:AI51))*(B51:AI51&gt;0),COLUMN(B51:AI51)),IF((B51:AI51&lt;&gt;INT(B51:AI51))+(B51:AI51&lt;=0),COLUMN(B51:AI51))))</f>
        <v>0</v>
      </c>
      <c r="AM51" s="187" cm="1">
        <f t="array" ref="AM51">SUMPRODUCT(--(B51:AI51=INT(B51:AI51)),--(B51:AI51&gt;0))/34*100%</f>
        <v>0</v>
      </c>
      <c r="AN51" s="188">
        <f t="shared" ref="AN51:AP51" si="49">RANK(AJ51,AJ$3:AJ$53,0)</f>
        <v>40</v>
      </c>
      <c r="AO51" s="188">
        <f t="shared" si="49"/>
        <v>40</v>
      </c>
      <c r="AP51" s="188">
        <f t="shared" si="49"/>
        <v>40</v>
      </c>
    </row>
    <row r="52" customHeight="1" spans="1:42">
      <c r="A52" s="189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86">
        <f t="shared" si="33"/>
        <v>0</v>
      </c>
      <c r="AK52" s="186" cm="1">
        <f t="array" ref="AK52">SUMPRODUCT(--(B52:AI52=INT(B52:AI52)),--(B52:AI52&gt;0))</f>
        <v>0</v>
      </c>
      <c r="AL52" s="186" cm="1">
        <f t="array" ref="AL52">MAX(FREQUENCY(IF((B52:AI52=INT(B52:AI52))*(B52:AI52&gt;0),COLUMN(B52:AI52)),IF((B52:AI52&lt;&gt;INT(B52:AI52))+(B52:AI52&lt;=0),COLUMN(B52:AI52))))</f>
        <v>0</v>
      </c>
      <c r="AM52" s="187" cm="1">
        <f t="array" ref="AM52">SUMPRODUCT(--(B52:AI52=INT(B52:AI52)),--(B52:AI52&gt;0))/34*100%</f>
        <v>0</v>
      </c>
      <c r="AN52" s="188">
        <f t="shared" ref="AN52:AP52" si="50">RANK(AJ52,AJ$3:AJ$53,0)</f>
        <v>40</v>
      </c>
      <c r="AO52" s="188">
        <f t="shared" si="50"/>
        <v>40</v>
      </c>
      <c r="AP52" s="188">
        <f t="shared" si="50"/>
        <v>40</v>
      </c>
    </row>
    <row r="53" customHeight="1" spans="1:42">
      <c r="A53" s="189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86">
        <f t="shared" si="33"/>
        <v>0</v>
      </c>
      <c r="AK53" s="186" cm="1">
        <f t="array" ref="AK53">SUMPRODUCT(--(B53:AI53=INT(B53:AI53)),--(B53:AI53&gt;0))</f>
        <v>0</v>
      </c>
      <c r="AL53" s="186" cm="1">
        <f t="array" ref="AL53">MAX(FREQUENCY(IF((B53:AI53=INT(B53:AI53))*(B53:AI53&gt;0),COLUMN(B53:AI53)),IF((B53:AI53&lt;&gt;INT(B53:AI53))+(B53:AI53&lt;=0),COLUMN(B53:AI53))))</f>
        <v>0</v>
      </c>
      <c r="AM53" s="187" cm="1">
        <f t="array" ref="AM53">SUMPRODUCT(--(B53:AI53=INT(B53:AI53)),--(B53:AI53&gt;0))/34*100%</f>
        <v>0</v>
      </c>
      <c r="AN53" s="188">
        <f t="shared" ref="AN53:AP53" si="51">RANK(AJ53,AJ$3:AJ$53,0)</f>
        <v>40</v>
      </c>
      <c r="AO53" s="188">
        <f t="shared" si="51"/>
        <v>40</v>
      </c>
      <c r="AP53" s="188">
        <f t="shared" si="51"/>
        <v>40</v>
      </c>
    </row>
  </sheetData>
  <mergeCells count="4">
    <mergeCell ref="B1:S1"/>
    <mergeCell ref="T1:AI1"/>
    <mergeCell ref="AJ1:AP1"/>
    <mergeCell ref="A1:A2"/>
  </mergeCells>
  <conditionalFormatting sqref="T3:T53">
    <cfRule type="colorScale" priority="47">
      <colorScale>
        <cfvo type="min"/>
        <cfvo type="max"/>
        <color theme="4" tint="0.8"/>
        <color theme="4" tint="-0.25"/>
      </colorScale>
    </cfRule>
    <cfRule type="colorScale" priority="48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4">
      <colorScale>
        <cfvo type="min"/>
        <cfvo type="max"/>
        <color theme="4" tint="0.8"/>
        <color theme="4" tint="-0.25"/>
      </colorScale>
    </cfRule>
    <cfRule type="colorScale" priority="46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3">
      <colorScale>
        <cfvo type="min"/>
        <cfvo type="max"/>
        <color theme="4" tint="0.8"/>
        <color theme="4" tint="-0.25"/>
      </colorScale>
    </cfRule>
    <cfRule type="colorScale" priority="45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2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1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0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29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28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27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26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25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24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23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">
      <colorScale>
        <cfvo type="min"/>
        <cfvo type="max"/>
        <color theme="4" tint="-0.25"/>
        <color theme="4" tint="0.8"/>
      </colorScale>
    </cfRule>
    <cfRule type="colorScale" priority="12">
      <colorScale>
        <cfvo type="min"/>
        <cfvo type="max"/>
        <color theme="4" tint="0.8"/>
        <color theme="4" tint="-0.25"/>
      </colorScale>
    </cfRule>
    <cfRule type="colorScale" priority="8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5">
      <colorScale>
        <cfvo type="min"/>
        <cfvo type="max"/>
        <color theme="4" tint="-0.25"/>
        <color theme="4" tint="0.8"/>
      </colorScale>
    </cfRule>
    <cfRule type="colorScale" priority="11">
      <colorScale>
        <cfvo type="min"/>
        <cfvo type="max"/>
        <color theme="4" tint="0.8"/>
        <color theme="4" tint="-0.25"/>
      </colorScale>
    </cfRule>
    <cfRule type="colorScale" priority="7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">
      <colorScale>
        <cfvo type="min"/>
        <cfvo type="max"/>
        <color theme="4" tint="-0.25"/>
        <color theme="4" tint="0.8"/>
      </colorScale>
    </cfRule>
    <cfRule type="colorScale" priority="10">
      <colorScale>
        <cfvo type="min"/>
        <cfvo type="max"/>
        <color theme="4" tint="0.8"/>
        <color theme="4" tint="-0.25"/>
      </colorScale>
    </cfRule>
    <cfRule type="colorScale" priority="6">
      <colorScale>
        <cfvo type="min"/>
        <cfvo type="max"/>
        <color theme="4"/>
        <color theme="4" tint="0.8"/>
      </colorScale>
    </cfRule>
    <cfRule type="colorScale" priority="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21">
      <colorScale>
        <cfvo type="min"/>
        <cfvo type="max"/>
        <color theme="9" tint="-0.5"/>
        <color theme="9" tint="0.8"/>
      </colorScale>
    </cfRule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:AO53">
    <cfRule type="colorScale" priority="20">
      <colorScale>
        <cfvo type="min"/>
        <cfvo type="max"/>
        <color theme="9" tint="-0.5"/>
        <color theme="9" tint="0.8"/>
      </colorScale>
    </cfRule>
  </conditionalFormatting>
  <conditionalFormatting sqref="AP3:AP53">
    <cfRule type="colorScale" priority="19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49">
      <colorScale>
        <cfvo type="min"/>
        <cfvo type="max"/>
        <color theme="4" tint="0.8"/>
        <color theme="4" tint="-0.25"/>
      </colorScale>
    </cfRule>
    <cfRule type="colorScale" priority="50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7">
      <colorScale>
        <cfvo type="min"/>
        <cfvo type="max"/>
        <color theme="4" tint="0.8"/>
        <color theme="4"/>
      </colorScale>
    </cfRule>
    <cfRule type="colorScale" priority="18">
      <colorScale>
        <cfvo type="min"/>
        <cfvo type="max"/>
        <color theme="4"/>
        <color theme="4" tint="0.8"/>
      </colorScale>
    </cfRule>
  </conditionalFormatting>
  <pageMargins left="0.75" right="0.75" top="0" bottom="0" header="0.5" footer="0.5"/>
  <pageSetup paperSize="9" scale="80" orientation="landscape"/>
  <headerFooter/>
  <ignoredErrors>
    <ignoredError sqref="AG5:AM8 AH41:AM41 AF42:AM42 AG50:AM53 AF4:AM4 A5:AF7 W8:AF8 A50:AE50 A45:AM47 A48:Y48 AC48:AM48 A49:AM49 A44:AE44 AG44:AM44 AG43:AM43 Y42 W40:AD40 AG3:AP3 AG1:AP2 Y3:Y4 A12:AM38 AG39:AM39 AF11:AM11 AA11:AD11" formulaRange="1"/>
    <ignoredError sqref="Z4:AE4 A8:V8 X8:AF8 A5:AF7 AF50 A50:AD50 Z48:AB48 AE48 Z49:AF49 A48:X49 A47:AF47 AF46 AC46:AD46 AA46 A46:X46 A45:AF45 AF44 Z44:AD44 A44:W44 A43:AF43 A42:X42 A40:V40 AC40:AD40 Z3:AF3 AO3:AP3 A1:AF2 AJ1:AP2 A3:X4 A39:AF39 Z38:AB38 AD38:AF38 A38:X38 A37:AF37 Z36:AF36 A36:X36 A34:AF35 Z28:AF33 A28:X33 A26:AF27 Z24:AF25 A24:X25 A23:AF23 AF22 AA22:AD22 A22:X22 A19:AF21 Z17:AF18 A17:X18 A16:AF16 Z12:AF12 Z13 AB13:AF13 Z14:AF14 Z15 AB15:AE15 A12:X15 AE11 A11:Z11 AB11:AC11 A51:AF53 AN11:AP39 Z10:AF10 AO9:AP9 AN4:AP8 Z41:AE42 A10:X10" formulaRange="1" unlockedFormula="1"/>
    <ignoredError sqref="Z9:AB9 AD9:AF9 X41 A9:X9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305</v>
      </c>
      <c r="B2" s="152" t="s">
        <v>306</v>
      </c>
      <c r="C2" s="153" t="s">
        <v>307</v>
      </c>
      <c r="D2" s="154"/>
      <c r="E2" s="152" t="s">
        <v>306</v>
      </c>
      <c r="F2" s="152"/>
      <c r="G2" s="155" t="s">
        <v>308</v>
      </c>
      <c r="H2" s="147"/>
      <c r="I2" s="147"/>
      <c r="J2" s="156"/>
    </row>
    <row r="3" ht="16.5" spans="1:10">
      <c r="A3" s="148" t="s">
        <v>309</v>
      </c>
      <c r="B3" s="157" t="s">
        <v>310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311</v>
      </c>
      <c r="B4" s="158" t="s">
        <v>250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312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313</v>
      </c>
      <c r="B6" s="161">
        <v>1</v>
      </c>
      <c r="C6" s="161"/>
      <c r="D6" s="161"/>
      <c r="E6" s="161"/>
      <c r="F6" s="161"/>
      <c r="G6" s="162" t="s">
        <v>314</v>
      </c>
      <c r="H6" s="147"/>
      <c r="I6" s="147"/>
      <c r="J6" s="156"/>
    </row>
    <row r="7" ht="16.5" spans="1:10">
      <c r="A7" s="148" t="s">
        <v>315</v>
      </c>
      <c r="B7" s="163" t="s">
        <v>316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317</v>
      </c>
      <c r="B8" s="165">
        <v>1</v>
      </c>
      <c r="C8" s="165"/>
      <c r="D8" s="166" t="s">
        <v>318</v>
      </c>
      <c r="E8" s="166"/>
      <c r="F8" s="166"/>
      <c r="G8" s="165"/>
      <c r="H8" s="147"/>
      <c r="I8" s="147"/>
      <c r="J8" s="156"/>
    </row>
    <row r="9" ht="16.5" spans="1:10">
      <c r="A9" s="148" t="s">
        <v>319</v>
      </c>
      <c r="B9" s="152" t="s">
        <v>320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321</v>
      </c>
      <c r="B10" s="157">
        <v>1</v>
      </c>
      <c r="C10" s="157"/>
      <c r="D10" s="167" t="s">
        <v>322</v>
      </c>
      <c r="E10" s="157">
        <v>1</v>
      </c>
      <c r="F10" s="167" t="s">
        <v>322</v>
      </c>
      <c r="G10" s="147" t="s">
        <v>323</v>
      </c>
      <c r="H10" s="147"/>
      <c r="I10" s="147"/>
      <c r="J10" s="156"/>
    </row>
    <row r="11" ht="16.5" spans="1:10">
      <c r="A11" s="148" t="s">
        <v>324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325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326</v>
      </c>
      <c r="B13" s="2" t="s">
        <v>323</v>
      </c>
      <c r="C13" s="2"/>
      <c r="D13" s="2"/>
      <c r="E13" s="2"/>
      <c r="F13" s="2"/>
      <c r="G13" s="168" t="s">
        <v>327</v>
      </c>
      <c r="H13" s="1"/>
      <c r="I13" s="1"/>
      <c r="J13" s="169"/>
    </row>
    <row r="14" s="1" customFormat="1" ht="16.5" spans="1:10">
      <c r="A14" s="148" t="s">
        <v>328</v>
      </c>
      <c r="B14" s="170" t="s">
        <v>323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329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330</v>
      </c>
      <c r="B2" s="126" t="s">
        <v>331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332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333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334</v>
      </c>
      <c r="C6" s="15" t="s">
        <v>20</v>
      </c>
      <c r="D6" s="131" t="s">
        <v>100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78</v>
      </c>
      <c r="E7" s="131" t="s">
        <v>90</v>
      </c>
      <c r="F7" s="133"/>
    </row>
    <row r="8" s="118" customFormat="1" spans="1:9">
      <c r="A8" s="130"/>
      <c r="B8" s="126" t="s">
        <v>335</v>
      </c>
      <c r="C8" s="15" t="s">
        <v>15</v>
      </c>
      <c r="D8" s="131" t="s">
        <v>83</v>
      </c>
      <c r="E8" s="132"/>
      <c r="F8" s="133"/>
    </row>
    <row r="9" s="118" customFormat="1" spans="1:9">
      <c r="A9" s="130"/>
      <c r="B9" s="126" t="s">
        <v>336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337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338</v>
      </c>
      <c r="C11" s="127" t="s">
        <v>71</v>
      </c>
      <c r="D11" s="128"/>
      <c r="E11" s="128"/>
      <c r="F11" s="129"/>
    </row>
    <row r="12" s="119" customFormat="1" spans="1:9">
      <c r="A12" s="135" t="s">
        <v>339</v>
      </c>
      <c r="B12" s="136" t="s">
        <v>340</v>
      </c>
      <c r="C12" s="137" t="s">
        <v>90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341</v>
      </c>
      <c r="C14" s="137" t="s">
        <v>342</v>
      </c>
      <c r="D14" s="142"/>
      <c r="E14" s="138"/>
      <c r="F14" s="140" t="s">
        <v>36</v>
      </c>
    </row>
    <row r="15" s="119" customFormat="1" spans="1:9">
      <c r="A15" s="141"/>
      <c r="B15" s="136" t="s">
        <v>343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344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345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346</v>
      </c>
      <c r="C19" s="137" t="s">
        <v>83</v>
      </c>
      <c r="D19" s="142"/>
      <c r="E19" s="142"/>
      <c r="F19" s="138"/>
    </row>
    <row r="20" s="119" customFormat="1" spans="1:7">
      <c r="A20" s="141"/>
      <c r="B20" s="136" t="s">
        <v>347</v>
      </c>
      <c r="C20" s="137" t="s">
        <v>86</v>
      </c>
      <c r="D20" s="142"/>
      <c r="E20" s="142"/>
      <c r="F20" s="138"/>
    </row>
    <row r="21" s="119" customFormat="1" spans="1:7">
      <c r="A21" s="141"/>
      <c r="B21" s="136" t="s">
        <v>348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349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350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351</v>
      </c>
      <c r="B3" s="101"/>
      <c r="C3" s="102"/>
      <c r="D3" s="103" t="s">
        <v>44</v>
      </c>
      <c r="E3" s="103" t="s">
        <v>103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67</v>
      </c>
      <c r="G4" s="104" t="s">
        <v>78</v>
      </c>
      <c r="H4" s="105" t="s">
        <v>103</v>
      </c>
      <c r="I4" s="105" t="s">
        <v>90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112</v>
      </c>
      <c r="E5" s="103" t="s">
        <v>81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72</v>
      </c>
      <c r="C6" s="102" t="s">
        <v>30</v>
      </c>
      <c r="D6" s="103" t="s">
        <v>42</v>
      </c>
      <c r="E6" s="103" t="s">
        <v>75</v>
      </c>
      <c r="F6" s="104" t="s">
        <v>71</v>
      </c>
      <c r="G6" s="104" t="s">
        <v>27</v>
      </c>
      <c r="H6" s="105" t="s">
        <v>36</v>
      </c>
      <c r="I6" s="105" t="s">
        <v>104</v>
      </c>
    </row>
    <row r="7" s="93" customFormat="1" customHeight="1" spans="1:16">
      <c r="A7" s="106"/>
      <c r="B7" s="102" t="s">
        <v>24</v>
      </c>
      <c r="C7" s="102" t="s">
        <v>74</v>
      </c>
      <c r="D7" s="103" t="s">
        <v>10</v>
      </c>
      <c r="E7" s="103" t="s">
        <v>73</v>
      </c>
      <c r="F7" s="104" t="s">
        <v>86</v>
      </c>
      <c r="G7" s="104" t="s">
        <v>110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98</v>
      </c>
      <c r="C8" s="102" t="s">
        <v>33</v>
      </c>
      <c r="D8" s="103" t="s">
        <v>60</v>
      </c>
      <c r="E8" s="103" t="s">
        <v>13</v>
      </c>
      <c r="F8" s="104" t="s">
        <v>95</v>
      </c>
      <c r="G8" s="104" t="s">
        <v>52</v>
      </c>
      <c r="H8" s="105" t="s">
        <v>76</v>
      </c>
      <c r="I8" s="105" t="s">
        <v>96</v>
      </c>
    </row>
    <row r="9" s="93" customFormat="1" customHeight="1" spans="1:16">
      <c r="A9" s="106"/>
      <c r="B9" s="102" t="s">
        <v>109</v>
      </c>
      <c r="C9" s="102" t="s">
        <v>58</v>
      </c>
      <c r="D9" s="103" t="s">
        <v>68</v>
      </c>
      <c r="E9" s="103" t="s">
        <v>100</v>
      </c>
      <c r="F9" s="104" t="s">
        <v>47</v>
      </c>
      <c r="G9" s="104" t="s">
        <v>106</v>
      </c>
      <c r="H9" s="105" t="s">
        <v>54</v>
      </c>
      <c r="I9" s="105" t="s">
        <v>83</v>
      </c>
    </row>
    <row r="10" s="93" customFormat="1" customHeight="1" spans="1:16">
      <c r="A10" s="107"/>
      <c r="B10" s="108"/>
      <c r="C10" s="109"/>
      <c r="D10" s="110" t="s">
        <v>113</v>
      </c>
      <c r="E10" s="111"/>
      <c r="F10" s="112"/>
      <c r="G10" s="112"/>
      <c r="H10" s="112"/>
      <c r="I10" s="113"/>
    </row>
    <row r="11" s="93" customFormat="1" customHeight="1" spans="1:16">
      <c r="A11" s="100" t="s">
        <v>352</v>
      </c>
      <c r="B11" s="101"/>
      <c r="C11" s="102"/>
      <c r="D11" s="103" t="s">
        <v>44</v>
      </c>
      <c r="E11" s="103" t="s">
        <v>103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90</v>
      </c>
      <c r="D12" s="103" t="s">
        <v>59</v>
      </c>
      <c r="E12" s="103" t="s">
        <v>112</v>
      </c>
      <c r="F12" s="104" t="s">
        <v>15</v>
      </c>
      <c r="G12" s="104" t="s">
        <v>78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81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67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72</v>
      </c>
      <c r="C14" s="102" t="s">
        <v>42</v>
      </c>
      <c r="D14" s="103" t="s">
        <v>36</v>
      </c>
      <c r="E14" s="103" t="s">
        <v>104</v>
      </c>
      <c r="F14" s="104" t="s">
        <v>110</v>
      </c>
      <c r="G14" s="104" t="s">
        <v>73</v>
      </c>
      <c r="H14" s="105" t="s">
        <v>75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74</v>
      </c>
      <c r="D15" s="103" t="s">
        <v>10</v>
      </c>
      <c r="E15" s="103" t="s">
        <v>63</v>
      </c>
      <c r="F15" s="104" t="s">
        <v>27</v>
      </c>
      <c r="G15" s="104" t="s">
        <v>71</v>
      </c>
      <c r="H15" s="105" t="s">
        <v>18</v>
      </c>
      <c r="I15" s="105" t="s">
        <v>86</v>
      </c>
    </row>
    <row r="16" s="93" customFormat="1" customHeight="1" spans="1:16">
      <c r="A16" s="106"/>
      <c r="B16" s="102" t="s">
        <v>33</v>
      </c>
      <c r="C16" s="102" t="s">
        <v>98</v>
      </c>
      <c r="D16" s="103" t="s">
        <v>96</v>
      </c>
      <c r="E16" s="103" t="s">
        <v>95</v>
      </c>
      <c r="F16" s="104" t="s">
        <v>13</v>
      </c>
      <c r="G16" s="104" t="s">
        <v>52</v>
      </c>
      <c r="H16" s="105" t="s">
        <v>76</v>
      </c>
      <c r="I16" s="105" t="s">
        <v>60</v>
      </c>
    </row>
    <row r="17" s="93" customFormat="1" customHeight="1" spans="1:9">
      <c r="A17" s="106"/>
      <c r="B17" s="102" t="s">
        <v>109</v>
      </c>
      <c r="C17" s="102" t="s">
        <v>58</v>
      </c>
      <c r="D17" s="103" t="s">
        <v>106</v>
      </c>
      <c r="E17" s="103" t="s">
        <v>100</v>
      </c>
      <c r="F17" s="104" t="s">
        <v>47</v>
      </c>
      <c r="G17" s="104" t="s">
        <v>68</v>
      </c>
      <c r="H17" s="105" t="s">
        <v>113</v>
      </c>
      <c r="I17" s="105" t="s">
        <v>83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353</v>
      </c>
      <c r="B19" s="101"/>
      <c r="C19" s="102"/>
      <c r="D19" s="103" t="s">
        <v>44</v>
      </c>
      <c r="E19" s="103"/>
      <c r="F19" s="104" t="s">
        <v>103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112</v>
      </c>
      <c r="E20" s="103" t="s">
        <v>78</v>
      </c>
      <c r="F20" s="104" t="s">
        <v>51</v>
      </c>
      <c r="G20" s="104" t="s">
        <v>90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67</v>
      </c>
      <c r="C21" s="102" t="s">
        <v>29</v>
      </c>
      <c r="D21" s="103" t="s">
        <v>81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75</v>
      </c>
      <c r="C22" s="102" t="s">
        <v>72</v>
      </c>
      <c r="D22" s="103" t="s">
        <v>71</v>
      </c>
      <c r="E22" s="103" t="s">
        <v>36</v>
      </c>
      <c r="F22" s="104" t="s">
        <v>27</v>
      </c>
      <c r="G22" s="104" t="s">
        <v>20</v>
      </c>
      <c r="H22" s="105" t="s">
        <v>76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86</v>
      </c>
      <c r="D23" s="103" t="s">
        <v>73</v>
      </c>
      <c r="E23" s="103" t="s">
        <v>63</v>
      </c>
      <c r="F23" s="104" t="s">
        <v>110</v>
      </c>
      <c r="G23" s="104" t="s">
        <v>95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98</v>
      </c>
      <c r="D24" s="103" t="s">
        <v>74</v>
      </c>
      <c r="E24" s="103" t="s">
        <v>33</v>
      </c>
      <c r="F24" s="104" t="s">
        <v>100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106</v>
      </c>
      <c r="C25" s="102" t="s">
        <v>83</v>
      </c>
      <c r="D25" s="103" t="s">
        <v>68</v>
      </c>
      <c r="E25" s="103" t="s">
        <v>58</v>
      </c>
      <c r="F25" s="104" t="s">
        <v>74</v>
      </c>
      <c r="G25" s="104" t="s">
        <v>96</v>
      </c>
      <c r="H25" s="105" t="s">
        <v>109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113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354</v>
      </c>
      <c r="B1" s="83" t="s">
        <v>355</v>
      </c>
      <c r="C1" s="84" t="s">
        <v>196</v>
      </c>
    </row>
    <row r="2" spans="1:3">
      <c r="A2" s="85" t="s">
        <v>1</v>
      </c>
      <c r="B2" s="80" t="s">
        <v>356</v>
      </c>
      <c r="C2" s="81" t="s">
        <v>357</v>
      </c>
    </row>
    <row r="3" spans="1:3">
      <c r="A3" s="85"/>
      <c r="B3" s="80" t="s">
        <v>358</v>
      </c>
      <c r="C3" s="81" t="s">
        <v>359</v>
      </c>
    </row>
    <row r="4" spans="1:3">
      <c r="A4" s="85"/>
      <c r="B4" s="80" t="s">
        <v>360</v>
      </c>
      <c r="C4" s="81" t="s">
        <v>361</v>
      </c>
    </row>
    <row r="5" spans="1:3">
      <c r="A5" s="85"/>
      <c r="B5" s="80" t="s">
        <v>362</v>
      </c>
      <c r="C5" s="81" t="s">
        <v>363</v>
      </c>
    </row>
    <row r="6" spans="1:3">
      <c r="A6" s="85"/>
      <c r="B6" s="80" t="s">
        <v>364</v>
      </c>
      <c r="C6" s="81" t="s">
        <v>365</v>
      </c>
    </row>
    <row r="7" spans="1:3">
      <c r="A7" s="85"/>
      <c r="B7" s="80" t="s">
        <v>366</v>
      </c>
      <c r="C7" s="81" t="s">
        <v>367</v>
      </c>
    </row>
    <row r="8" spans="1:3">
      <c r="A8" s="85"/>
      <c r="B8" s="80" t="s">
        <v>368</v>
      </c>
      <c r="C8" s="81" t="s">
        <v>369</v>
      </c>
    </row>
    <row r="9" spans="1:3">
      <c r="A9" s="85"/>
      <c r="B9" s="80" t="s">
        <v>370</v>
      </c>
      <c r="C9" s="81" t="s">
        <v>371</v>
      </c>
    </row>
    <row r="10" spans="1:3">
      <c r="A10" s="85"/>
      <c r="B10" s="80" t="s">
        <v>372</v>
      </c>
      <c r="C10" s="81" t="s">
        <v>373</v>
      </c>
    </row>
    <row r="11" spans="1:3">
      <c r="A11" s="85"/>
      <c r="B11" s="80" t="s">
        <v>374</v>
      </c>
      <c r="C11" s="81" t="s">
        <v>375</v>
      </c>
    </row>
    <row r="12" spans="1:3">
      <c r="A12" s="85"/>
      <c r="B12" s="80" t="s">
        <v>376</v>
      </c>
      <c r="C12" s="81" t="s">
        <v>377</v>
      </c>
    </row>
    <row r="13" spans="1:3">
      <c r="A13" s="85"/>
      <c r="B13" s="80" t="s">
        <v>378</v>
      </c>
      <c r="C13" s="81" t="s">
        <v>379</v>
      </c>
    </row>
    <row r="14" spans="1:3">
      <c r="A14" s="85"/>
      <c r="B14" s="80" t="s">
        <v>380</v>
      </c>
      <c r="C14" s="81" t="s">
        <v>381</v>
      </c>
    </row>
    <row r="15" spans="1:3">
      <c r="A15" s="85"/>
      <c r="B15" s="80" t="s">
        <v>382</v>
      </c>
      <c r="C15" s="81" t="s">
        <v>383</v>
      </c>
    </row>
    <row r="16" spans="1:3">
      <c r="A16" s="85"/>
      <c r="B16" s="80" t="s">
        <v>384</v>
      </c>
      <c r="C16" s="81" t="s">
        <v>385</v>
      </c>
    </row>
    <row r="17" spans="1:3">
      <c r="A17" s="85"/>
      <c r="B17" s="80" t="s">
        <v>386</v>
      </c>
      <c r="C17" s="81" t="s">
        <v>387</v>
      </c>
    </row>
    <row r="18" spans="1:3">
      <c r="A18" s="85"/>
      <c r="B18" s="80" t="s">
        <v>388</v>
      </c>
      <c r="C18" s="81" t="s">
        <v>389</v>
      </c>
    </row>
    <row r="19" spans="1:3">
      <c r="A19" s="85"/>
      <c r="B19" s="80" t="s">
        <v>390</v>
      </c>
      <c r="C19" s="81" t="s">
        <v>391</v>
      </c>
    </row>
    <row r="20" spans="1:3">
      <c r="A20" s="85"/>
      <c r="B20" s="80" t="s">
        <v>392</v>
      </c>
      <c r="C20" s="81" t="s">
        <v>393</v>
      </c>
    </row>
    <row r="21" spans="1:3">
      <c r="A21" s="85"/>
      <c r="B21" s="80" t="s">
        <v>392</v>
      </c>
      <c r="C21" s="81" t="s">
        <v>394</v>
      </c>
    </row>
    <row r="22" spans="1:3">
      <c r="A22" s="85"/>
      <c r="B22" s="80" t="s">
        <v>395</v>
      </c>
      <c r="C22" s="81" t="s">
        <v>396</v>
      </c>
    </row>
    <row r="23" spans="1:3">
      <c r="A23" s="85"/>
      <c r="B23" s="80" t="s">
        <v>397</v>
      </c>
      <c r="C23" s="81" t="s">
        <v>398</v>
      </c>
    </row>
    <row r="24" spans="1:3">
      <c r="A24" s="85"/>
      <c r="B24" s="80" t="s">
        <v>399</v>
      </c>
      <c r="C24" s="81" t="s">
        <v>400</v>
      </c>
    </row>
    <row r="25" spans="1:3">
      <c r="A25" s="86" t="s">
        <v>2</v>
      </c>
      <c r="B25" s="80" t="s">
        <v>401</v>
      </c>
      <c r="C25" s="81" t="s">
        <v>402</v>
      </c>
    </row>
    <row r="26" spans="1:3">
      <c r="A26" s="86"/>
      <c r="B26" s="80" t="s">
        <v>403</v>
      </c>
      <c r="C26" s="81" t="s">
        <v>404</v>
      </c>
    </row>
    <row r="27" spans="1:3">
      <c r="A27" s="86"/>
      <c r="B27" s="80" t="s">
        <v>405</v>
      </c>
      <c r="C27" s="81" t="s">
        <v>406</v>
      </c>
    </row>
    <row r="28" spans="1:3">
      <c r="A28" s="86"/>
      <c r="B28" s="80" t="s">
        <v>407</v>
      </c>
      <c r="C28" s="81" t="s">
        <v>408</v>
      </c>
    </row>
    <row r="29" spans="1:3">
      <c r="A29" s="86"/>
      <c r="B29" s="80" t="s">
        <v>409</v>
      </c>
      <c r="C29" s="81" t="s">
        <v>410</v>
      </c>
    </row>
    <row r="30" spans="1:3">
      <c r="A30" s="86"/>
      <c r="B30" s="80" t="s">
        <v>411</v>
      </c>
      <c r="C30" s="81" t="s">
        <v>412</v>
      </c>
    </row>
    <row r="31" spans="1:3">
      <c r="A31" s="86"/>
      <c r="B31" s="80" t="s">
        <v>413</v>
      </c>
      <c r="C31" s="81" t="s">
        <v>414</v>
      </c>
    </row>
    <row r="32" spans="1:3">
      <c r="A32" s="86"/>
      <c r="B32" s="80" t="s">
        <v>415</v>
      </c>
      <c r="C32" s="81" t="s">
        <v>416</v>
      </c>
    </row>
    <row r="33" spans="1:3">
      <c r="A33" s="86"/>
      <c r="B33" s="80" t="s">
        <v>417</v>
      </c>
      <c r="C33" s="81" t="s">
        <v>418</v>
      </c>
    </row>
    <row r="34" spans="1:3">
      <c r="A34" s="86"/>
      <c r="B34" s="80" t="s">
        <v>419</v>
      </c>
      <c r="C34" s="81" t="s">
        <v>420</v>
      </c>
    </row>
    <row r="35" spans="1:3">
      <c r="A35" s="86"/>
      <c r="B35" s="80" t="s">
        <v>421</v>
      </c>
      <c r="C35" s="81" t="s">
        <v>422</v>
      </c>
    </row>
    <row r="36" spans="1:3">
      <c r="A36" s="86"/>
      <c r="B36" s="80" t="s">
        <v>423</v>
      </c>
      <c r="C36" s="81" t="s">
        <v>424</v>
      </c>
    </row>
    <row r="37" spans="1:3">
      <c r="A37" s="87"/>
      <c r="B37" s="80" t="s">
        <v>425</v>
      </c>
      <c r="C37" s="81" t="s">
        <v>426</v>
      </c>
    </row>
    <row r="38" spans="1:3">
      <c r="A38" s="88" t="s">
        <v>3</v>
      </c>
      <c r="B38" s="80" t="s">
        <v>427</v>
      </c>
      <c r="C38" s="81" t="s">
        <v>428</v>
      </c>
    </row>
    <row r="39" spans="1:3">
      <c r="A39" s="89"/>
      <c r="B39" s="80" t="s">
        <v>429</v>
      </c>
      <c r="C39" s="81" t="s">
        <v>430</v>
      </c>
    </row>
    <row r="40" spans="1:3">
      <c r="A40" s="89"/>
      <c r="B40" s="80" t="s">
        <v>431</v>
      </c>
      <c r="C40" s="81" t="s">
        <v>432</v>
      </c>
    </row>
    <row r="41" spans="1:3">
      <c r="A41" s="89"/>
      <c r="B41" s="80" t="s">
        <v>433</v>
      </c>
      <c r="C41" s="81" t="s">
        <v>365</v>
      </c>
    </row>
    <row r="42" spans="1:3">
      <c r="A42" s="89"/>
      <c r="B42" s="80" t="s">
        <v>434</v>
      </c>
      <c r="C42" s="81" t="s">
        <v>435</v>
      </c>
    </row>
    <row r="43" spans="1:3">
      <c r="A43" s="89"/>
      <c r="B43" s="80" t="s">
        <v>436</v>
      </c>
      <c r="C43" s="81" t="s">
        <v>437</v>
      </c>
    </row>
    <row r="44" spans="1:3">
      <c r="A44" s="89"/>
      <c r="B44" s="80" t="s">
        <v>438</v>
      </c>
      <c r="C44" s="81" t="s">
        <v>439</v>
      </c>
    </row>
    <row r="45" spans="1:3">
      <c r="A45" s="89"/>
      <c r="B45" s="80" t="s">
        <v>440</v>
      </c>
      <c r="C45" s="81" t="s">
        <v>441</v>
      </c>
    </row>
    <row r="46" spans="1:3">
      <c r="A46" s="89"/>
      <c r="B46" s="80" t="s">
        <v>442</v>
      </c>
      <c r="C46" s="81" t="s">
        <v>443</v>
      </c>
    </row>
    <row r="47" spans="1:3">
      <c r="A47" s="89"/>
      <c r="B47" s="80" t="s">
        <v>444</v>
      </c>
      <c r="C47" s="81" t="s">
        <v>445</v>
      </c>
    </row>
    <row r="48" spans="1:3">
      <c r="A48" s="89"/>
      <c r="B48" s="80" t="s">
        <v>446</v>
      </c>
      <c r="C48" s="81" t="s">
        <v>447</v>
      </c>
    </row>
    <row r="49" spans="1:3">
      <c r="A49" s="89"/>
      <c r="B49" s="80" t="s">
        <v>448</v>
      </c>
      <c r="C49" s="81" t="s">
        <v>449</v>
      </c>
    </row>
    <row r="50" spans="1:3">
      <c r="A50" s="90"/>
      <c r="B50" s="80" t="s">
        <v>450</v>
      </c>
      <c r="C50" s="81" t="s">
        <v>451</v>
      </c>
    </row>
    <row r="51" customFormat="1" spans="1:3">
      <c r="A51" s="79"/>
      <c r="B51" s="80" t="s">
        <v>452</v>
      </c>
      <c r="C51" s="81"/>
    </row>
    <row r="52" customFormat="1" spans="1:3">
      <c r="A52" s="79"/>
      <c r="B52" s="80" t="s">
        <v>452</v>
      </c>
      <c r="C52" s="81"/>
    </row>
    <row r="53" customFormat="1" spans="1:3">
      <c r="A53" s="79"/>
      <c r="B53" s="80" t="s">
        <v>452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296</v>
      </c>
      <c r="B1" s="68" t="s">
        <v>0</v>
      </c>
      <c r="C1" s="69" t="s">
        <v>453</v>
      </c>
      <c r="D1" s="70" t="s">
        <v>454</v>
      </c>
    </row>
    <row r="2" spans="1:4">
      <c r="A2" s="71">
        <v>1</v>
      </c>
      <c r="B2" s="72" t="s">
        <v>7</v>
      </c>
      <c r="C2" s="73">
        <v>20111216</v>
      </c>
      <c r="D2" s="66" t="s">
        <v>455</v>
      </c>
    </row>
    <row r="3" spans="1:4">
      <c r="A3" s="71">
        <v>2</v>
      </c>
      <c r="B3" s="72" t="s">
        <v>10</v>
      </c>
      <c r="C3" s="74">
        <v>20111227</v>
      </c>
      <c r="D3" s="66" t="s">
        <v>456</v>
      </c>
    </row>
    <row r="4" spans="1:4">
      <c r="A4" s="71">
        <v>3</v>
      </c>
      <c r="B4" s="72" t="s">
        <v>13</v>
      </c>
      <c r="C4" s="74">
        <v>20120518</v>
      </c>
      <c r="D4" s="66" t="s">
        <v>457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306</v>
      </c>
    </row>
    <row r="7" spans="1:4">
      <c r="A7" s="71">
        <v>6</v>
      </c>
      <c r="B7" s="72" t="s">
        <v>20</v>
      </c>
      <c r="C7" s="74">
        <v>20120809</v>
      </c>
      <c r="D7" s="66" t="s">
        <v>458</v>
      </c>
    </row>
    <row r="8" spans="1:4">
      <c r="A8" s="71">
        <v>7</v>
      </c>
      <c r="B8" s="72" t="s">
        <v>24</v>
      </c>
      <c r="C8" s="74">
        <v>20120227</v>
      </c>
      <c r="D8" s="66" t="s">
        <v>459</v>
      </c>
    </row>
    <row r="9" spans="1:4">
      <c r="A9" s="71">
        <v>8</v>
      </c>
      <c r="B9" s="72" t="s">
        <v>26</v>
      </c>
      <c r="C9" s="74">
        <v>20120127</v>
      </c>
      <c r="D9" s="66" t="s">
        <v>460</v>
      </c>
    </row>
    <row r="10" spans="1:4">
      <c r="A10" s="71">
        <v>9</v>
      </c>
      <c r="B10" s="72" t="s">
        <v>27</v>
      </c>
      <c r="C10" s="74">
        <v>20111202</v>
      </c>
      <c r="D10" s="66" t="s">
        <v>461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462</v>
      </c>
    </row>
    <row r="13" spans="1:4">
      <c r="A13" s="71">
        <v>12</v>
      </c>
      <c r="B13" s="72" t="s">
        <v>31</v>
      </c>
      <c r="C13" s="74">
        <v>20110908</v>
      </c>
      <c r="D13" s="66" t="s">
        <v>463</v>
      </c>
    </row>
    <row r="14" spans="1:4">
      <c r="A14" s="71">
        <v>13</v>
      </c>
      <c r="B14" s="72" t="s">
        <v>33</v>
      </c>
      <c r="C14" s="74">
        <v>20120228</v>
      </c>
      <c r="D14" s="66" t="s">
        <v>464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465</v>
      </c>
    </row>
    <row r="17" spans="1:4">
      <c r="A17" s="71">
        <v>16</v>
      </c>
      <c r="B17" s="72" t="s">
        <v>38</v>
      </c>
      <c r="C17" s="74">
        <v>20120722</v>
      </c>
      <c r="D17" s="66" t="s">
        <v>466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467</v>
      </c>
    </row>
    <row r="21" spans="1:4">
      <c r="A21" s="71">
        <v>20</v>
      </c>
      <c r="B21" s="72" t="s">
        <v>47</v>
      </c>
      <c r="C21" s="74">
        <v>20120827</v>
      </c>
      <c r="D21" s="66" t="s">
        <v>468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469</v>
      </c>
    </row>
    <row r="24" spans="1:4">
      <c r="A24" s="71">
        <v>23</v>
      </c>
      <c r="B24" s="72" t="s">
        <v>54</v>
      </c>
      <c r="C24" s="74">
        <v>20120413</v>
      </c>
      <c r="D24" s="66" t="s">
        <v>470</v>
      </c>
    </row>
    <row r="25" spans="1:4">
      <c r="A25" s="71">
        <v>24</v>
      </c>
      <c r="B25" s="72" t="s">
        <v>58</v>
      </c>
      <c r="C25" s="74">
        <v>20120629</v>
      </c>
      <c r="D25" s="66" t="s">
        <v>471</v>
      </c>
    </row>
    <row r="26" spans="1:4">
      <c r="A26" s="71">
        <v>25</v>
      </c>
      <c r="B26" s="72" t="s">
        <v>59</v>
      </c>
      <c r="C26" s="74">
        <v>20111105</v>
      </c>
      <c r="D26" s="66" t="s">
        <v>472</v>
      </c>
    </row>
    <row r="27" spans="1:4">
      <c r="A27" s="71">
        <v>26</v>
      </c>
      <c r="B27" s="72" t="s">
        <v>60</v>
      </c>
      <c r="C27" s="74">
        <v>20120112</v>
      </c>
      <c r="D27" s="66" t="s">
        <v>473</v>
      </c>
    </row>
    <row r="28" spans="1:4">
      <c r="A28" s="71">
        <v>27</v>
      </c>
      <c r="B28" s="72" t="s">
        <v>63</v>
      </c>
      <c r="C28" s="74">
        <v>20111119</v>
      </c>
      <c r="D28" s="66" t="s">
        <v>474</v>
      </c>
    </row>
    <row r="29" customFormat="1" spans="1:4">
      <c r="A29" s="71">
        <v>28</v>
      </c>
      <c r="B29" s="72" t="s">
        <v>67</v>
      </c>
      <c r="C29" s="74">
        <v>20120110</v>
      </c>
      <c r="D29" s="66"/>
    </row>
    <row r="30" spans="1:4">
      <c r="A30" s="71">
        <v>29</v>
      </c>
      <c r="B30" s="72" t="s">
        <v>68</v>
      </c>
      <c r="C30" s="74">
        <v>20120331</v>
      </c>
      <c r="D30" s="66" t="s">
        <v>475</v>
      </c>
    </row>
    <row r="31" spans="1:4">
      <c r="A31" s="71">
        <v>30</v>
      </c>
      <c r="B31" s="72" t="s">
        <v>71</v>
      </c>
      <c r="C31" s="74">
        <v>20111109</v>
      </c>
      <c r="D31" s="66" t="s">
        <v>476</v>
      </c>
    </row>
    <row r="32" spans="1:4">
      <c r="A32" s="71">
        <v>31</v>
      </c>
      <c r="B32" s="72" t="s">
        <v>72</v>
      </c>
      <c r="C32" s="74">
        <v>20120824</v>
      </c>
      <c r="D32" s="66" t="s">
        <v>477</v>
      </c>
    </row>
    <row r="33" customFormat="1" spans="1:5">
      <c r="A33" s="71">
        <v>32</v>
      </c>
      <c r="B33" s="72" t="s">
        <v>73</v>
      </c>
      <c r="C33" s="74">
        <v>20120425</v>
      </c>
      <c r="D33" s="66"/>
    </row>
    <row r="34" spans="1:5">
      <c r="A34" s="71">
        <v>33</v>
      </c>
      <c r="B34" s="72" t="s">
        <v>74</v>
      </c>
      <c r="C34" s="74">
        <v>20120624</v>
      </c>
      <c r="D34" s="66" t="s">
        <v>478</v>
      </c>
    </row>
    <row r="35" customFormat="1" spans="1:5">
      <c r="A35" s="71">
        <v>34</v>
      </c>
      <c r="B35" s="72" t="s">
        <v>75</v>
      </c>
      <c r="C35" s="74">
        <v>20120507</v>
      </c>
      <c r="D35" s="66"/>
    </row>
    <row r="36" spans="1:5">
      <c r="A36" s="71">
        <v>35</v>
      </c>
      <c r="B36" s="72" t="s">
        <v>76</v>
      </c>
      <c r="C36" s="74">
        <v>20120603</v>
      </c>
      <c r="D36" s="66" t="s">
        <v>479</v>
      </c>
    </row>
    <row r="37" spans="1:5">
      <c r="A37" s="71">
        <v>36</v>
      </c>
      <c r="B37" s="72" t="s">
        <v>78</v>
      </c>
      <c r="C37" s="73">
        <v>20120326</v>
      </c>
      <c r="D37" s="66" t="s">
        <v>480</v>
      </c>
    </row>
    <row r="38" spans="1:5">
      <c r="A38" s="75">
        <v>37</v>
      </c>
      <c r="B38" s="75" t="s">
        <v>81</v>
      </c>
      <c r="C38" s="76">
        <v>20111106</v>
      </c>
      <c r="D38" s="77" t="s">
        <v>481</v>
      </c>
      <c r="E38" t="s">
        <v>482</v>
      </c>
    </row>
    <row r="39" spans="1:5">
      <c r="A39" s="71">
        <v>38</v>
      </c>
      <c r="B39" s="72" t="s">
        <v>83</v>
      </c>
      <c r="C39" s="74">
        <v>20120811</v>
      </c>
      <c r="D39" s="78" t="s">
        <v>483</v>
      </c>
    </row>
    <row r="40" spans="1:5">
      <c r="A40" s="71">
        <v>39</v>
      </c>
      <c r="B40" s="72" t="s">
        <v>86</v>
      </c>
      <c r="C40" s="74">
        <v>20111217</v>
      </c>
      <c r="D40" s="78" t="s">
        <v>484</v>
      </c>
    </row>
    <row r="41" spans="1:5">
      <c r="A41" s="71">
        <v>40</v>
      </c>
      <c r="B41" s="72" t="s">
        <v>90</v>
      </c>
      <c r="C41" s="74">
        <v>20111013</v>
      </c>
      <c r="D41" s="66" t="s">
        <v>485</v>
      </c>
      <c r="E41" t="s">
        <v>482</v>
      </c>
    </row>
    <row r="42" customFormat="1" spans="1:5">
      <c r="A42" s="71">
        <v>41</v>
      </c>
      <c r="B42" s="72" t="s">
        <v>95</v>
      </c>
      <c r="C42" s="74">
        <v>20111027</v>
      </c>
      <c r="D42" s="66"/>
    </row>
    <row r="43" spans="1:5">
      <c r="A43" s="71">
        <v>42</v>
      </c>
      <c r="B43" s="72" t="s">
        <v>96</v>
      </c>
      <c r="C43" s="74">
        <v>20120207</v>
      </c>
      <c r="D43" s="66" t="s">
        <v>486</v>
      </c>
    </row>
    <row r="44" customFormat="1" spans="1:5">
      <c r="A44" s="71">
        <v>43</v>
      </c>
      <c r="B44" s="72" t="s">
        <v>98</v>
      </c>
      <c r="C44" s="73">
        <v>20120508</v>
      </c>
      <c r="D44" s="66"/>
    </row>
    <row r="45" spans="1:5">
      <c r="A45" s="71">
        <v>44</v>
      </c>
      <c r="B45" s="72" t="s">
        <v>100</v>
      </c>
      <c r="C45" s="74">
        <v>20110929</v>
      </c>
      <c r="D45" s="66" t="s">
        <v>487</v>
      </c>
    </row>
    <row r="46" customFormat="1" spans="1:5">
      <c r="A46" s="71">
        <v>45</v>
      </c>
      <c r="B46" s="72" t="s">
        <v>103</v>
      </c>
      <c r="C46" s="74">
        <v>20111205</v>
      </c>
      <c r="D46" s="66"/>
    </row>
    <row r="47" spans="1:5">
      <c r="A47" s="71">
        <v>46</v>
      </c>
      <c r="B47" s="72" t="s">
        <v>104</v>
      </c>
      <c r="C47" s="74">
        <v>20120108</v>
      </c>
      <c r="D47" s="66" t="s">
        <v>488</v>
      </c>
      <c r="E47" t="s">
        <v>482</v>
      </c>
    </row>
    <row r="48" spans="1:5">
      <c r="A48" s="71">
        <v>47</v>
      </c>
      <c r="B48" s="72" t="s">
        <v>106</v>
      </c>
      <c r="C48" s="74">
        <v>20120311</v>
      </c>
      <c r="D48" s="66" t="s">
        <v>489</v>
      </c>
    </row>
    <row r="49" customFormat="1" spans="1:4">
      <c r="A49" s="71">
        <v>48</v>
      </c>
      <c r="B49" s="72" t="s">
        <v>109</v>
      </c>
      <c r="C49" s="74">
        <v>20110902</v>
      </c>
      <c r="D49" s="66"/>
    </row>
    <row r="50" spans="1:4">
      <c r="A50" s="71">
        <v>49</v>
      </c>
      <c r="B50" s="72" t="s">
        <v>110</v>
      </c>
      <c r="C50" s="74">
        <v>20120723</v>
      </c>
      <c r="D50" s="66" t="s">
        <v>490</v>
      </c>
    </row>
    <row r="51" customFormat="1" spans="1:4">
      <c r="A51" s="71">
        <v>50</v>
      </c>
      <c r="B51" s="72" t="s">
        <v>112</v>
      </c>
      <c r="C51" s="74">
        <v>20120101</v>
      </c>
      <c r="D51" s="66"/>
    </row>
    <row r="52" spans="1:4">
      <c r="A52" s="71">
        <v>51</v>
      </c>
      <c r="B52" s="72" t="s">
        <v>113</v>
      </c>
      <c r="C52" s="74">
        <v>20111220</v>
      </c>
      <c r="D52" s="66" t="s">
        <v>491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492</v>
      </c>
      <c r="B1" s="35" t="s">
        <v>493</v>
      </c>
      <c r="C1" s="36" t="s">
        <v>494</v>
      </c>
      <c r="D1" s="37"/>
      <c r="E1" s="38" t="s">
        <v>495</v>
      </c>
    </row>
    <row r="2" s="28" customFormat="1" ht="409" customHeight="1" spans="1:5">
      <c r="A2" s="39" t="s">
        <v>311</v>
      </c>
      <c r="B2" s="40" t="s">
        <v>250</v>
      </c>
      <c r="C2" s="41" t="s">
        <v>496</v>
      </c>
      <c r="D2" s="32" t="s">
        <v>497</v>
      </c>
      <c r="E2" s="33" t="s">
        <v>498</v>
      </c>
    </row>
    <row r="3" s="28" customFormat="1" ht="56" spans="1:5">
      <c r="A3" s="42"/>
      <c r="B3" s="43"/>
      <c r="C3" s="44"/>
      <c r="D3" s="32" t="s">
        <v>499</v>
      </c>
      <c r="E3" s="33" t="s">
        <v>500</v>
      </c>
    </row>
    <row r="4" s="28" customFormat="1" spans="1:5">
      <c r="A4" s="42"/>
      <c r="B4" s="43"/>
      <c r="C4" s="44"/>
      <c r="D4" s="32" t="s">
        <v>501</v>
      </c>
      <c r="E4" s="33" t="s">
        <v>502</v>
      </c>
    </row>
    <row r="5" s="28" customFormat="1" ht="56" spans="1:5">
      <c r="A5" s="42"/>
      <c r="B5" s="43"/>
      <c r="C5" s="44"/>
      <c r="D5" s="32" t="s">
        <v>503</v>
      </c>
      <c r="E5" s="33" t="s">
        <v>504</v>
      </c>
    </row>
    <row r="6" s="28" customFormat="1" ht="238" spans="1:5">
      <c r="A6" s="42"/>
      <c r="B6" s="43"/>
      <c r="C6" s="44"/>
      <c r="D6" s="32" t="s">
        <v>505</v>
      </c>
      <c r="E6" s="33" t="s">
        <v>506</v>
      </c>
    </row>
    <row r="7" s="28" customFormat="1" ht="238" spans="1:5">
      <c r="A7" s="42"/>
      <c r="B7" s="43"/>
      <c r="C7" s="41" t="s">
        <v>507</v>
      </c>
      <c r="D7" s="32" t="s">
        <v>508</v>
      </c>
      <c r="E7" s="33" t="s">
        <v>509</v>
      </c>
    </row>
    <row r="8" s="28" customFormat="1" ht="56" spans="1:5">
      <c r="A8" s="42"/>
      <c r="B8" s="43"/>
      <c r="C8" s="44"/>
      <c r="D8" s="32" t="s">
        <v>510</v>
      </c>
      <c r="E8" s="33" t="s">
        <v>511</v>
      </c>
    </row>
    <row r="9" s="28" customFormat="1" ht="84" spans="1:5">
      <c r="A9" s="42"/>
      <c r="B9" s="43"/>
      <c r="C9" s="44"/>
      <c r="D9" s="32" t="s">
        <v>512</v>
      </c>
      <c r="E9" s="33" t="s">
        <v>513</v>
      </c>
    </row>
    <row r="10" s="28" customFormat="1" ht="28" spans="1:5">
      <c r="A10" s="42"/>
      <c r="B10" s="43"/>
      <c r="C10" s="44"/>
      <c r="D10" s="32" t="s">
        <v>514</v>
      </c>
      <c r="E10" s="33" t="s">
        <v>515</v>
      </c>
    </row>
    <row r="11" s="28" customFormat="1" spans="1:5">
      <c r="A11" s="42"/>
      <c r="B11" s="43"/>
      <c r="C11" s="45"/>
      <c r="D11" s="32" t="s">
        <v>516</v>
      </c>
      <c r="E11" s="33" t="s">
        <v>517</v>
      </c>
    </row>
    <row r="12" s="28" customFormat="1" ht="154" spans="1:5">
      <c r="A12" s="42"/>
      <c r="B12" s="43"/>
      <c r="C12" s="31"/>
      <c r="D12" s="32" t="s">
        <v>518</v>
      </c>
      <c r="E12" s="33" t="s">
        <v>519</v>
      </c>
    </row>
    <row r="13" s="28" customFormat="1" ht="56" spans="1:5">
      <c r="A13" s="42"/>
      <c r="B13" s="43"/>
      <c r="C13" s="46" t="s">
        <v>520</v>
      </c>
      <c r="D13" s="37"/>
      <c r="E13" s="33" t="s">
        <v>521</v>
      </c>
    </row>
    <row r="14" s="28" customFormat="1" ht="84" spans="1:5">
      <c r="A14" s="42"/>
      <c r="B14" s="43"/>
      <c r="C14" s="46" t="s">
        <v>522</v>
      </c>
      <c r="D14" s="37"/>
      <c r="E14" s="33" t="s">
        <v>523</v>
      </c>
    </row>
    <row r="15" s="28" customFormat="1" ht="28" spans="1:5">
      <c r="A15" s="42"/>
      <c r="B15" s="43"/>
      <c r="C15" s="46" t="s">
        <v>524</v>
      </c>
      <c r="D15" s="37"/>
      <c r="E15" s="33" t="s">
        <v>525</v>
      </c>
    </row>
    <row r="16" s="28" customFormat="1" spans="1:5">
      <c r="A16" s="42"/>
      <c r="B16" s="43"/>
      <c r="C16" s="46" t="s">
        <v>526</v>
      </c>
      <c r="D16" s="37"/>
      <c r="E16" s="33"/>
    </row>
    <row r="17" s="28" customFormat="1" spans="1:5">
      <c r="A17" s="42"/>
      <c r="B17" s="43"/>
      <c r="C17" s="46" t="s">
        <v>527</v>
      </c>
      <c r="D17" s="37"/>
      <c r="E17" s="33" t="s">
        <v>528</v>
      </c>
    </row>
    <row r="18" s="28" customFormat="1" spans="1:5">
      <c r="A18" s="42"/>
      <c r="B18" s="43"/>
      <c r="C18" s="41" t="s">
        <v>529</v>
      </c>
      <c r="D18" s="32" t="s">
        <v>530</v>
      </c>
      <c r="E18" s="33" t="s">
        <v>531</v>
      </c>
    </row>
    <row r="19" s="28" customFormat="1" spans="1:5">
      <c r="A19" s="42"/>
      <c r="B19" s="43"/>
      <c r="C19" s="45"/>
      <c r="D19" s="32" t="s">
        <v>532</v>
      </c>
      <c r="E19" s="33" t="s">
        <v>533</v>
      </c>
    </row>
    <row r="20" s="28" customFormat="1" spans="1:5">
      <c r="A20" s="42"/>
      <c r="B20" s="43"/>
      <c r="C20" s="46" t="s">
        <v>534</v>
      </c>
      <c r="D20" s="37"/>
      <c r="E20" s="33"/>
    </row>
    <row r="21" s="28" customFormat="1" spans="1:5">
      <c r="A21" s="42"/>
      <c r="B21" s="43"/>
      <c r="C21" s="46" t="s">
        <v>535</v>
      </c>
      <c r="D21" s="37"/>
      <c r="E21" s="33" t="s">
        <v>536</v>
      </c>
    </row>
    <row r="22" s="28" customFormat="1" ht="28" spans="1:5">
      <c r="A22" s="42"/>
      <c r="B22" s="43"/>
      <c r="C22" s="46" t="s">
        <v>537</v>
      </c>
      <c r="D22" s="47"/>
      <c r="E22" s="33" t="s">
        <v>538</v>
      </c>
    </row>
    <row r="23" s="28" customFormat="1" spans="1:5">
      <c r="A23" s="42"/>
      <c r="B23" s="43"/>
      <c r="C23" s="31" t="s">
        <v>286</v>
      </c>
      <c r="D23" s="31"/>
      <c r="E23" s="33" t="s">
        <v>539</v>
      </c>
    </row>
    <row r="24" s="28" customFormat="1" spans="1:5">
      <c r="A24" s="42"/>
      <c r="B24" s="43"/>
      <c r="C24" s="31" t="s">
        <v>540</v>
      </c>
      <c r="D24" s="31"/>
      <c r="E24" s="33" t="s">
        <v>541</v>
      </c>
    </row>
    <row r="25" s="28" customFormat="1" ht="28" spans="1:5">
      <c r="A25" s="39" t="s">
        <v>309</v>
      </c>
      <c r="B25" s="40" t="s">
        <v>310</v>
      </c>
      <c r="C25" s="44" t="s">
        <v>496</v>
      </c>
      <c r="D25" s="48" t="s">
        <v>542</v>
      </c>
      <c r="E25" s="33" t="s">
        <v>543</v>
      </c>
    </row>
    <row r="26" s="28" customFormat="1" spans="1:5">
      <c r="A26" s="42"/>
      <c r="B26" s="43"/>
      <c r="C26" s="44"/>
      <c r="D26" s="32" t="s">
        <v>544</v>
      </c>
      <c r="E26" s="33" t="s">
        <v>545</v>
      </c>
    </row>
    <row r="27" s="28" customFormat="1" ht="28" spans="1:5">
      <c r="A27" s="42"/>
      <c r="B27" s="43"/>
      <c r="C27" s="44"/>
      <c r="D27" s="32" t="s">
        <v>546</v>
      </c>
      <c r="E27" s="33" t="s">
        <v>547</v>
      </c>
    </row>
    <row r="28" s="28" customFormat="1" ht="42" spans="1:5">
      <c r="A28" s="42"/>
      <c r="B28" s="43"/>
      <c r="C28" s="44"/>
      <c r="D28" s="32" t="s">
        <v>548</v>
      </c>
      <c r="E28" s="33" t="s">
        <v>549</v>
      </c>
    </row>
    <row r="29" s="28" customFormat="1" ht="42" spans="1:5">
      <c r="A29" s="39" t="s">
        <v>305</v>
      </c>
      <c r="B29" s="40" t="s">
        <v>306</v>
      </c>
      <c r="C29" s="41" t="s">
        <v>496</v>
      </c>
      <c r="D29" s="32" t="s">
        <v>497</v>
      </c>
      <c r="E29" s="33" t="s">
        <v>550</v>
      </c>
    </row>
    <row r="30" s="28" customFormat="1" ht="70" spans="1:5">
      <c r="A30" s="42"/>
      <c r="B30" s="43"/>
      <c r="C30" s="44"/>
      <c r="D30" s="32" t="s">
        <v>551</v>
      </c>
      <c r="E30" s="33" t="s">
        <v>552</v>
      </c>
    </row>
    <row r="31" s="28" customFormat="1" spans="1:5">
      <c r="A31" s="42"/>
      <c r="B31" s="43"/>
      <c r="C31" s="44"/>
      <c r="D31" s="32" t="s">
        <v>542</v>
      </c>
      <c r="E31" s="33" t="s">
        <v>553</v>
      </c>
    </row>
    <row r="32" s="28" customFormat="1" ht="28" spans="1:5">
      <c r="A32" s="42"/>
      <c r="B32" s="43"/>
      <c r="C32" s="45"/>
      <c r="D32" s="32" t="s">
        <v>554</v>
      </c>
      <c r="E32" s="33" t="s">
        <v>555</v>
      </c>
    </row>
    <row r="33" s="28" customFormat="1" ht="42" spans="1:5">
      <c r="A33" s="42"/>
      <c r="B33" s="49"/>
      <c r="C33" s="46" t="s">
        <v>507</v>
      </c>
      <c r="D33" s="47"/>
      <c r="E33" s="33" t="s">
        <v>556</v>
      </c>
    </row>
    <row r="34" s="28" customFormat="1" ht="42" spans="1:5">
      <c r="A34" s="42"/>
      <c r="B34" s="50" t="s">
        <v>557</v>
      </c>
      <c r="C34" s="36" t="s">
        <v>507</v>
      </c>
      <c r="D34" s="51"/>
      <c r="E34" s="52" t="s">
        <v>558</v>
      </c>
    </row>
    <row r="35" s="28" customFormat="1" ht="42" spans="1:5">
      <c r="A35" s="53"/>
      <c r="B35" s="54"/>
      <c r="C35" s="36" t="s">
        <v>496</v>
      </c>
      <c r="D35" s="51"/>
      <c r="E35" s="52" t="s">
        <v>559</v>
      </c>
    </row>
    <row r="36" s="28" customFormat="1" spans="1:5">
      <c r="A36" s="39" t="s">
        <v>312</v>
      </c>
      <c r="B36" s="55" t="s">
        <v>560</v>
      </c>
      <c r="C36" s="56"/>
      <c r="D36" s="57"/>
      <c r="E36" s="52" t="s">
        <v>131</v>
      </c>
    </row>
    <row r="37" s="28" customFormat="1" spans="1:5">
      <c r="A37" s="53"/>
      <c r="B37" s="58" t="s">
        <v>561</v>
      </c>
      <c r="C37" s="59"/>
      <c r="D37" s="60"/>
      <c r="E37" s="33" t="s">
        <v>562</v>
      </c>
    </row>
    <row r="38" s="28" customFormat="1" spans="1:5">
      <c r="A38" s="29" t="s">
        <v>313</v>
      </c>
      <c r="B38" s="58" t="s">
        <v>563</v>
      </c>
      <c r="C38" s="59"/>
      <c r="D38" s="60"/>
      <c r="E38" s="33" t="s">
        <v>564</v>
      </c>
    </row>
    <row r="39" s="28" customFormat="1" spans="1:5">
      <c r="A39" s="39" t="s">
        <v>315</v>
      </c>
      <c r="B39" s="40" t="s">
        <v>565</v>
      </c>
      <c r="C39" s="41" t="s">
        <v>496</v>
      </c>
      <c r="D39" s="32" t="s">
        <v>566</v>
      </c>
      <c r="E39" s="33" t="s">
        <v>567</v>
      </c>
    </row>
    <row r="40" s="28" customFormat="1" spans="1:5">
      <c r="A40" s="42"/>
      <c r="B40" s="43"/>
      <c r="C40" s="45"/>
      <c r="D40" s="32" t="s">
        <v>568</v>
      </c>
      <c r="E40" s="33" t="s">
        <v>569</v>
      </c>
    </row>
    <row r="41" s="28" customFormat="1" spans="1:5">
      <c r="A41" s="42"/>
      <c r="B41" s="43"/>
      <c r="C41" s="46" t="s">
        <v>570</v>
      </c>
      <c r="D41" s="47"/>
      <c r="E41" s="33" t="s">
        <v>571</v>
      </c>
    </row>
    <row r="42" s="28" customFormat="1" spans="1:5">
      <c r="A42" s="53"/>
      <c r="B42" s="49"/>
      <c r="C42" s="46" t="s">
        <v>507</v>
      </c>
      <c r="D42" s="47"/>
      <c r="E42" s="33" t="s">
        <v>572</v>
      </c>
    </row>
    <row r="43" s="28" customFormat="1" spans="1:5">
      <c r="A43" s="39" t="s">
        <v>317</v>
      </c>
      <c r="B43" s="50" t="s">
        <v>563</v>
      </c>
      <c r="C43" s="61" t="s">
        <v>573</v>
      </c>
      <c r="D43" s="62"/>
      <c r="E43" s="52" t="s">
        <v>574</v>
      </c>
    </row>
    <row r="44" s="28" customFormat="1" ht="28" spans="1:5">
      <c r="A44" s="42"/>
      <c r="B44" s="54"/>
      <c r="C44" s="61" t="s">
        <v>548</v>
      </c>
      <c r="D44" s="62"/>
      <c r="E44" s="52" t="s">
        <v>575</v>
      </c>
    </row>
    <row r="45" s="28" customFormat="1" spans="1:5">
      <c r="A45" s="53"/>
      <c r="B45" s="58" t="s">
        <v>576</v>
      </c>
      <c r="C45" s="59"/>
      <c r="D45" s="60"/>
      <c r="E45" s="33" t="s">
        <v>149</v>
      </c>
    </row>
    <row r="46" s="28" customFormat="1" spans="1:5">
      <c r="A46" s="39" t="s">
        <v>325</v>
      </c>
      <c r="B46" s="40" t="s">
        <v>577</v>
      </c>
      <c r="C46" s="41" t="s">
        <v>496</v>
      </c>
      <c r="D46" s="32" t="s">
        <v>578</v>
      </c>
      <c r="E46" s="33"/>
    </row>
    <row r="47" s="28" customFormat="1" spans="1:5">
      <c r="A47" s="42"/>
      <c r="B47" s="43"/>
      <c r="C47" s="44"/>
      <c r="D47" s="32" t="s">
        <v>579</v>
      </c>
      <c r="E47" s="33"/>
    </row>
    <row r="48" s="28" customFormat="1" spans="1:5">
      <c r="A48" s="53"/>
      <c r="B48" s="49"/>
      <c r="C48" s="45"/>
      <c r="D48" s="32" t="s">
        <v>548</v>
      </c>
      <c r="E48" s="33" t="s">
        <v>580</v>
      </c>
    </row>
    <row r="49" s="28" customFormat="1" spans="1:5">
      <c r="A49" s="29" t="s">
        <v>319</v>
      </c>
      <c r="B49" s="58" t="s">
        <v>320</v>
      </c>
      <c r="C49" s="59"/>
      <c r="D49" s="60"/>
      <c r="E49" s="33" t="s">
        <v>581</v>
      </c>
    </row>
    <row r="50" s="28" customFormat="1" spans="1:5">
      <c r="A50" s="39" t="s">
        <v>321</v>
      </c>
      <c r="B50" s="58" t="s">
        <v>563</v>
      </c>
      <c r="C50" s="59"/>
      <c r="D50" s="60"/>
      <c r="E50" s="33" t="s">
        <v>582</v>
      </c>
    </row>
    <row r="51" s="28" customFormat="1" spans="1:5">
      <c r="A51" s="53"/>
      <c r="B51" s="58" t="s">
        <v>563</v>
      </c>
      <c r="C51" s="59"/>
      <c r="D51" s="60"/>
      <c r="E51" s="33" t="s">
        <v>162</v>
      </c>
    </row>
    <row r="52" s="28" customFormat="1" spans="1:5">
      <c r="A52" s="29" t="s">
        <v>324</v>
      </c>
      <c r="B52" s="58" t="s">
        <v>563</v>
      </c>
      <c r="C52" s="59"/>
      <c r="D52" s="60"/>
      <c r="E52" s="33"/>
    </row>
    <row r="53" s="28" customFormat="1" spans="1:5">
      <c r="A53" s="39" t="s">
        <v>583</v>
      </c>
      <c r="B53" s="58" t="s">
        <v>563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584</v>
      </c>
    </row>
    <row r="55" s="28" customFormat="1" spans="1:5">
      <c r="A55" s="29" t="s">
        <v>326</v>
      </c>
      <c r="B55" s="30"/>
      <c r="C55" s="31"/>
      <c r="D55" s="32"/>
      <c r="E55" s="33" t="s">
        <v>585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586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587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588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589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590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591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592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593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594</v>
      </c>
      <c r="C20" s="9" t="s">
        <v>595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596</v>
      </c>
      <c r="C21" s="9" t="s">
        <v>597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598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599</v>
      </c>
      <c r="C24" s="22" t="s">
        <v>600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601</v>
      </c>
      <c r="C27" s="22" t="s">
        <v>602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603</v>
      </c>
      <c r="C28" s="22" t="s">
        <v>604</v>
      </c>
      <c r="D28" s="10"/>
      <c r="E28" s="11"/>
      <c r="F28" s="12"/>
      <c r="G28" s="13"/>
    </row>
    <row r="29" s="6" customFormat="1" spans="1:7">
      <c r="A29" s="14" t="s">
        <v>67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68</v>
      </c>
      <c r="B30" s="8"/>
      <c r="C30" s="22" t="s">
        <v>605</v>
      </c>
      <c r="D30" s="10"/>
      <c r="E30" s="11"/>
      <c r="F30" s="12"/>
      <c r="G30" s="13"/>
    </row>
    <row r="31" s="6" customFormat="1" spans="1:7">
      <c r="A31" s="14" t="s">
        <v>71</v>
      </c>
      <c r="B31" s="8"/>
      <c r="C31" s="9"/>
      <c r="D31" s="10"/>
      <c r="E31" s="11"/>
      <c r="F31" s="12"/>
      <c r="G31" s="13"/>
    </row>
    <row r="32" s="6" customFormat="1" spans="1:7">
      <c r="A32" s="14" t="s">
        <v>72</v>
      </c>
      <c r="B32" s="8"/>
      <c r="C32" s="9"/>
      <c r="D32" s="10"/>
      <c r="E32" s="11"/>
      <c r="F32" s="12"/>
      <c r="G32" s="13"/>
    </row>
    <row r="33" s="6" customFormat="1" spans="1:7">
      <c r="A33" s="14" t="s">
        <v>73</v>
      </c>
      <c r="B33" s="8"/>
      <c r="C33" s="9"/>
      <c r="D33" s="10"/>
      <c r="E33" s="11"/>
      <c r="F33" s="12"/>
      <c r="G33" s="13"/>
    </row>
    <row r="34" s="6" customFormat="1" spans="1:7">
      <c r="A34" s="14" t="s">
        <v>74</v>
      </c>
      <c r="B34" s="8"/>
      <c r="C34" s="9"/>
      <c r="D34" s="10"/>
      <c r="E34" s="11"/>
      <c r="F34" s="12"/>
      <c r="G34" s="13"/>
    </row>
    <row r="35" s="6" customFormat="1" spans="1:7">
      <c r="A35" s="14" t="s">
        <v>75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76</v>
      </c>
      <c r="B36" s="23" t="s">
        <v>606</v>
      </c>
      <c r="C36" s="9"/>
      <c r="D36" s="10"/>
      <c r="E36" s="11"/>
      <c r="F36" s="12"/>
      <c r="G36" s="13"/>
    </row>
    <row r="37" s="6" customFormat="1" ht="126" spans="1:7">
      <c r="A37" s="14" t="s">
        <v>78</v>
      </c>
      <c r="B37" s="8"/>
      <c r="C37" s="22" t="s">
        <v>607</v>
      </c>
      <c r="D37" s="10"/>
      <c r="E37" s="11"/>
      <c r="F37" s="12"/>
      <c r="G37" s="13"/>
    </row>
    <row r="38" s="6" customFormat="1" ht="28" spans="1:7">
      <c r="A38" s="14" t="s">
        <v>81</v>
      </c>
      <c r="B38" s="24" t="s">
        <v>608</v>
      </c>
      <c r="C38" s="25"/>
      <c r="D38" s="26"/>
      <c r="E38" s="26"/>
      <c r="F38" s="26"/>
      <c r="G38" s="26"/>
    </row>
    <row r="39" s="6" customFormat="1" ht="42" spans="1:7">
      <c r="A39" s="14" t="s">
        <v>83</v>
      </c>
      <c r="B39" s="8"/>
      <c r="C39" s="22" t="s">
        <v>609</v>
      </c>
      <c r="D39" s="10"/>
      <c r="E39" s="11"/>
      <c r="F39" s="12"/>
      <c r="G39" s="13"/>
    </row>
    <row r="40" s="6" customFormat="1" spans="1:7">
      <c r="A40" s="14" t="s">
        <v>86</v>
      </c>
      <c r="B40" s="23" t="s">
        <v>610</v>
      </c>
      <c r="C40" s="22" t="s">
        <v>611</v>
      </c>
      <c r="D40" s="10"/>
      <c r="E40" s="11"/>
      <c r="F40" s="12"/>
      <c r="G40" s="13"/>
    </row>
    <row r="41" s="6" customFormat="1" ht="126" spans="1:7">
      <c r="A41" s="14" t="s">
        <v>90</v>
      </c>
      <c r="B41" s="8"/>
      <c r="C41" s="22" t="s">
        <v>612</v>
      </c>
      <c r="D41" s="10"/>
      <c r="E41" s="11"/>
      <c r="F41" s="12"/>
      <c r="G41" s="13"/>
    </row>
    <row r="42" s="6" customFormat="1" spans="1:7">
      <c r="A42" s="14" t="s">
        <v>95</v>
      </c>
      <c r="B42" s="8"/>
      <c r="C42" s="9"/>
      <c r="D42" s="10"/>
      <c r="E42" s="11"/>
      <c r="F42" s="12"/>
      <c r="G42" s="13"/>
    </row>
    <row r="43" s="6" customFormat="1" spans="1:7">
      <c r="A43" s="14" t="s">
        <v>96</v>
      </c>
      <c r="B43" s="23" t="s">
        <v>613</v>
      </c>
      <c r="C43" s="9"/>
      <c r="D43" s="10"/>
      <c r="E43" s="11"/>
      <c r="F43" s="12"/>
      <c r="G43" s="13"/>
    </row>
    <row r="44" s="6" customFormat="1" spans="1:7">
      <c r="A44" s="14" t="s">
        <v>98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100</v>
      </c>
      <c r="B45" s="8" t="s">
        <v>614</v>
      </c>
      <c r="C45" s="9"/>
      <c r="D45" s="10"/>
      <c r="E45" s="11"/>
      <c r="F45" s="12"/>
      <c r="G45" s="13"/>
    </row>
    <row r="46" s="6" customFormat="1" spans="1:7">
      <c r="A46" s="14" t="s">
        <v>103</v>
      </c>
      <c r="B46" s="8"/>
      <c r="C46" s="9"/>
      <c r="D46" s="10"/>
      <c r="E46" s="11"/>
      <c r="F46" s="12"/>
      <c r="G46" s="13"/>
    </row>
    <row r="47" s="6" customFormat="1" spans="1:7">
      <c r="A47" s="14" t="s">
        <v>104</v>
      </c>
      <c r="B47" s="8"/>
      <c r="C47" s="9"/>
      <c r="D47" s="10"/>
      <c r="E47" s="11"/>
      <c r="F47" s="12"/>
      <c r="G47" s="13"/>
    </row>
    <row r="48" s="6" customFormat="1" spans="1:7">
      <c r="A48" s="14" t="s">
        <v>106</v>
      </c>
      <c r="B48" s="8"/>
      <c r="C48" s="22" t="s">
        <v>615</v>
      </c>
      <c r="D48" s="10"/>
      <c r="E48" s="11"/>
      <c r="F48" s="12"/>
      <c r="G48" s="13"/>
    </row>
    <row r="49" s="6" customFormat="1" spans="1:7">
      <c r="A49" s="14" t="s">
        <v>109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110</v>
      </c>
      <c r="B50" s="8"/>
      <c r="C50" s="22" t="s">
        <v>616</v>
      </c>
      <c r="D50" s="10"/>
      <c r="E50" s="11"/>
      <c r="F50" s="12"/>
      <c r="G50" s="13"/>
    </row>
    <row r="51" s="6" customFormat="1" spans="1:7">
      <c r="A51" s="14" t="s">
        <v>112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113</v>
      </c>
      <c r="B52" s="8" t="s">
        <v>617</v>
      </c>
      <c r="C52" s="22" t="s">
        <v>618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619</v>
      </c>
      <c r="C1" s="3" t="s">
        <v>620</v>
      </c>
      <c r="E1" s="3" t="s">
        <v>438</v>
      </c>
      <c r="F1" s="3" t="s">
        <v>621</v>
      </c>
    </row>
    <row r="2" spans="2:6">
      <c r="B2" s="4" t="s">
        <v>622</v>
      </c>
      <c r="C2" s="4">
        <v>13</v>
      </c>
      <c r="E2" s="4" t="s">
        <v>623</v>
      </c>
      <c r="F2" s="4">
        <v>6</v>
      </c>
    </row>
    <row r="3" spans="2:6">
      <c r="B3" s="4" t="s">
        <v>624</v>
      </c>
      <c r="C3" s="4">
        <v>13</v>
      </c>
      <c r="E3" s="4" t="s">
        <v>625</v>
      </c>
      <c r="F3" s="4">
        <v>13</v>
      </c>
    </row>
    <row r="4" spans="2:6">
      <c r="B4" s="4" t="s">
        <v>626</v>
      </c>
      <c r="C4" s="4">
        <v>12</v>
      </c>
      <c r="E4" s="4" t="s">
        <v>493</v>
      </c>
      <c r="F4" s="4">
        <v>4</v>
      </c>
    </row>
    <row r="5" spans="2:6">
      <c r="B5" s="4" t="s">
        <v>627</v>
      </c>
      <c r="C5" s="4">
        <v>2</v>
      </c>
      <c r="E5" s="4" t="s">
        <v>628</v>
      </c>
      <c r="F5" s="4">
        <v>6</v>
      </c>
    </row>
    <row r="6" spans="2:6">
      <c r="B6" s="4" t="s">
        <v>629</v>
      </c>
      <c r="C6" s="4">
        <v>2</v>
      </c>
      <c r="E6" s="4" t="s">
        <v>630</v>
      </c>
      <c r="F6" s="4">
        <v>4</v>
      </c>
    </row>
    <row r="7" spans="2:6">
      <c r="B7" s="4" t="s">
        <v>631</v>
      </c>
      <c r="C7" s="4">
        <v>1</v>
      </c>
      <c r="E7" s="4" t="s">
        <v>632</v>
      </c>
      <c r="F7" s="4">
        <v>1</v>
      </c>
    </row>
    <row r="8" spans="2:6">
      <c r="B8" s="4" t="s">
        <v>633</v>
      </c>
      <c r="C8" s="4">
        <v>4</v>
      </c>
      <c r="E8" s="4" t="s">
        <v>634</v>
      </c>
      <c r="F8" s="4">
        <v>3</v>
      </c>
    </row>
    <row r="9" spans="2:6">
      <c r="E9" s="4" t="s">
        <v>635</v>
      </c>
      <c r="F9" s="4">
        <v>1</v>
      </c>
    </row>
    <row r="10" spans="2:6">
      <c r="E10" s="4" t="s">
        <v>636</v>
      </c>
      <c r="F10" s="4">
        <v>5</v>
      </c>
    </row>
    <row r="11" spans="2:6">
      <c r="E11" s="4" t="s">
        <v>637</v>
      </c>
      <c r="F11" s="4">
        <v>1</v>
      </c>
    </row>
    <row r="12" spans="2:6">
      <c r="E12" s="4" t="s">
        <v>633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2026-01-26T11:19:23Z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