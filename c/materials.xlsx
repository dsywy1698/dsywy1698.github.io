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s\c\"/>
    </mc:Choice>
  </mc:AlternateContent>
  <bookViews>
    <workbookView windowWidth="20750" windowHeight="10480" tabRatio="724" firstSheet="5"/>
  </bookViews>
  <sheets>
    <sheet name="师生" sheetId="5" r:id="rId1"/>
    <sheet name="集体" sheetId="13" r:id="rId2"/>
    <sheet name="事例" sheetId="14" r:id="rId3"/>
    <sheet name="老师" sheetId="17" r:id="rId4"/>
    <sheet name="职务" sheetId="18" r:id="rId5"/>
    <sheet name="座位" sheetId="19" r:id="rId6"/>
    <sheet name="大事" sheetId="20" r:id="rId7"/>
    <sheet name="外号" sheetId="21" r:id="rId8"/>
    <sheet name="老（旧）" sheetId="22" r:id="rId9"/>
    <sheet name="生（旧）" sheetId="23" r:id="rId10"/>
    <sheet name="统计" sheetId="2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<sst xmlns="http://schemas.openxmlformats.org/spreadsheetml/2006/main" count="1220" uniqueCount="684">
  <si>
    <t>姓名</t>
  </si>
  <si>
    <t>七上</t>
  </si>
  <si>
    <t>七下</t>
  </si>
  <si>
    <t>八上</t>
  </si>
  <si>
    <t>八下</t>
  </si>
  <si>
    <t>九上</t>
  </si>
  <si>
    <t>九下</t>
  </si>
  <si>
    <t>王淮</t>
  </si>
  <si>
    <t>声音声音</t>
  </si>
  <si>
    <t>江乐萱</t>
  </si>
  <si>
    <t>林芷琪</t>
  </si>
  <si>
    <t>猴、郑致辰</t>
  </si>
  <si>
    <t>带菜（给孔保管）、小测降等级、测心电图时对薛阅晨说“在这里！”、小心点、尖叫、跑完800m：瘫倒在地</t>
  </si>
  <si>
    <t>郭沁诗</t>
  </si>
  <si>
    <t>转后面看郑致辰答案、体育课和黄桂芳在教室聊天</t>
  </si>
  <si>
    <t>黄丰泽</t>
  </si>
  <si>
    <t>骂人、没错</t>
  </si>
  <si>
    <t>贝多芬</t>
  </si>
  <si>
    <t>（八下）培优和14去、多次转后面看14、和14坐同桌时关系好
（林芷琪提供）</t>
  </si>
  <si>
    <t>江雨晴</t>
  </si>
  <si>
    <t>恩芽小说</t>
  </si>
  <si>
    <t>孔祥懿</t>
  </si>
  <si>
    <t>济南、2个包</t>
  </si>
  <si>
    <t>祥懿又是你、午餐（芹菜炒肉、土豆丝、秋葵、番茄酱）课间吃饭、画画、捏/咬/打人、炫耀、演讲、喵喵姐</t>
  </si>
  <si>
    <r>
      <rPr>
        <sz val="10"/>
        <rFont val="阿里妈妈方圆体 VF Medium"/>
        <charset val="134"/>
      </rPr>
      <t>萌、上课吃东西（早上水果，下午菜，下午高峰）（泡鸭爪/棒棒糖/营养品（长高）/奥利奥/薯条）、作业没写应对方式（没带法、证人法、偶然法、不会法、以为法、灭口法、自我安慰法）、宣泄、睡觉（低头/点头）、带读（一，起）、水杯倒（不盖盖）、尼玛的、东西被陆梓豪偷吃、排队时讲话、我又……上了、我不行了……、自己做了……→谁做了……啊！、告状、动作、英语小测翻书/笔记、隔班借作业抄、废啊、（12.11）带仓鼠、OC（龙烛</t>
    </r>
    <r>
      <rPr>
        <sz val="10"/>
        <rFont val="宋体"/>
        <charset val="134"/>
      </rPr>
      <t>玥</t>
    </r>
    <r>
      <rPr>
        <sz val="10"/>
        <rFont val="阿里妈妈方圆体 VF Medium"/>
        <charset val="134"/>
      </rPr>
      <t>）、在干嘛啊、吃饭（走动、分享）、我真棒</t>
    </r>
  </si>
  <si>
    <t>林钰颖</t>
  </si>
  <si>
    <t>（老鼠、雏鸡）恶心、磕CP、看小说（男同）</t>
  </si>
  <si>
    <t>倪浩宇</t>
  </si>
  <si>
    <t>叶弘毅</t>
  </si>
  <si>
    <t>相同单词造句</t>
  </si>
  <si>
    <t>张雨希</t>
  </si>
  <si>
    <t>郑诗语</t>
  </si>
  <si>
    <t>哎呀</t>
  </si>
  <si>
    <t>郑永泽</t>
  </si>
  <si>
    <t>阮贞铭（眼光）、炸蛋脚（打人招数）、美国有乔丹中国有永泽</t>
  </si>
  <si>
    <t>雷阵雨（郑永泽、江雨晴）</t>
  </si>
  <si>
    <t>郑致辰</t>
  </si>
  <si>
    <t>牛奶拌饭</t>
  </si>
  <si>
    <t>陈婕</t>
  </si>
  <si>
    <t>江允儿</t>
  </si>
  <si>
    <t>排球少年（日向翔阳）</t>
  </si>
  <si>
    <t>柠檬水</t>
  </si>
  <si>
    <t>土拨鼠（文艺汇演，蔡华楷发现江允儿门牙大，得名）</t>
  </si>
  <si>
    <t>徐嘉明</t>
  </si>
  <si>
    <t>物理学家、发明家、列夫托尔斯泰</t>
  </si>
  <si>
    <t>俞昕辰</t>
  </si>
  <si>
    <t>有病啊！</t>
  </si>
  <si>
    <t>李欢颜</t>
  </si>
  <si>
    <t>跑操回班速度、口罩、等一下、中午猕猴桃</t>
  </si>
  <si>
    <t>teke off your mask--mask--（动作示意）</t>
  </si>
  <si>
    <t>廖成羲</t>
  </si>
  <si>
    <t>嘴瓢</t>
  </si>
  <si>
    <t>写背诵内容（工整到潦草、一竖一点）</t>
  </si>
  <si>
    <t>林奕扬</t>
  </si>
  <si>
    <t>骚（腰部绕环）、讨饭、座椅丝滑、班主任林奕扬、换衣服、摇头</t>
  </si>
  <si>
    <t>爆胎</t>
  </si>
  <si>
    <t>踩桌子通行、对臭味敏感、头痛/腰痛/骨折/受伤、伙食、林奕扬来校吐槽/分享、座位下打球、Yes!</t>
  </si>
  <si>
    <t>钓鱼、“没有”</t>
  </si>
  <si>
    <t>张桢烨</t>
  </si>
  <si>
    <t>朱奕辰</t>
  </si>
  <si>
    <t>左撇子、郑炜“义父”、辞职劳委</t>
  </si>
  <si>
    <t>（蔡华楷：陈梦灵相关，朱奕辰拿出并翻开数学笔记本某页“芹菜99”大字展示）</t>
  </si>
  <si>
    <t>爱国有方讲出陈梦玲的事（洗澡时视频通话）、分手前：让（给）22唱最后一页</t>
  </si>
  <si>
    <t>李映辰</t>
  </si>
  <si>
    <t>睡觉、趴/坐桌子、画画</t>
  </si>
  <si>
    <t>咬手指、拉杆包、张桢烨、点空调时开窗、英语小测上画画/写“看不懂”“不写交不了作业”、跑操走路/提裤子</t>
  </si>
  <si>
    <t>跑操（回班速度、套圈）、手套、放学零食、走路（眼为证、脚近乎擦地、步幅大、身体前倾）</t>
  </si>
  <si>
    <t>放学后自动回家（哪怕没放学）、吹空调：手放在扇叶上+抬头+掰扇叶</t>
  </si>
  <si>
    <t>林梓颢</t>
  </si>
  <si>
    <t>郑锦熠</t>
  </si>
  <si>
    <t>郑炜</t>
  </si>
  <si>
    <t>大文豪、奶奶</t>
  </si>
  <si>
    <t>打羽毛球</t>
  </si>
  <si>
    <t>奶奶发消息冒号</t>
  </si>
  <si>
    <t>黄恩亚</t>
  </si>
  <si>
    <t>体香、生殖系统、迟到、午餐、跑步、字迹、腿伸过道、基督教、恩典时期的亚当、近代史、头发（捂头）、私藏卷子、拉小提琴、脏话、叫人、外八、开创黄话开端（塑料袋像避孕套）</t>
  </si>
  <si>
    <t>推北师大、磨鞋、获奖时笑、菜被人吃、秀鼓包</t>
  </si>
  <si>
    <t>朋友圈（模糊图片、装）、马克笔写字、挠痒动作、起立时（借口、拖延、不情愿、偷坐）</t>
  </si>
  <si>
    <t>麦当劳、教辅、抄答案、补习班（山亚大厦）</t>
  </si>
  <si>
    <t>林承钰</t>
  </si>
  <si>
    <t>厕所滑倒，衣服沾屎</t>
  </si>
  <si>
    <t>喜欢11班郑天心（天天开心、承天寺）</t>
  </si>
  <si>
    <t>郑熠菲</t>
  </si>
  <si>
    <t>装</t>
  </si>
  <si>
    <t>关山度熠菲</t>
  </si>
  <si>
    <t>方欣妍</t>
  </si>
  <si>
    <t>季仁槿</t>
  </si>
  <si>
    <t>张梦琪</t>
  </si>
  <si>
    <t>郑欣甜</t>
  </si>
  <si>
    <t>颜哲铭</t>
  </si>
  <si>
    <t>陈子岩</t>
  </si>
  <si>
    <t>女明星</t>
  </si>
  <si>
    <t>陈睿卓</t>
  </si>
  <si>
    <t>午餐（海参/小米粥）、唱歌、2辆车、装、小学毕业照</t>
  </si>
  <si>
    <t>对俞昕辰说要唱《再给我两分钟》</t>
  </si>
  <si>
    <t>杨依诺</t>
  </si>
  <si>
    <t>“社会人”</t>
  </si>
  <si>
    <t>薛阅晨</t>
  </si>
  <si>
    <t>嘴甜、郑永泽</t>
  </si>
  <si>
    <t>受着呗、……的都是gay、我操！</t>
  </si>
  <si>
    <t>自己没写地理作业：不收；写了：收</t>
  </si>
  <si>
    <t>蔡华楷</t>
  </si>
  <si>
    <t>口水</t>
  </si>
  <si>
    <t>讨饭</t>
  </si>
  <si>
    <t>不靠谱、晴蔡</t>
  </si>
  <si>
    <t>豆包起抖音名：败者为王</t>
  </si>
  <si>
    <t>对不起！对不起！对不起！
上周五，我不应该因自己情绪不好，就把情绪发泄在你身，然后放学还无视了你，你能原谅我吗？
对不起
（多个小对不起组成的大对不起）
可是，可是，别生气了，
别生气了嘛，看在我主动认错的份上</t>
  </si>
  <si>
    <t>39-15
分开后，15上课转头看39（6.11下午三节课次数：59，19，29）
下课一起聊天
说“生气”</t>
  </si>
  <si>
    <t>洪鑫洋</t>
  </si>
  <si>
    <t>早读（劝学/磨刀霍霍向鑫洋）、生物30分、记笔记</t>
  </si>
  <si>
    <t>孺子、反思（我也老了、相见时难别亦难，东风无力百花残、未来是你们，但现在未必、革命尚未成功）（一旬老人）、哲学（旁观者：学地理要以旁观者视角、水循环：逆水行舟，退到极点就是进）、装（问第几题有问题，体现自己做得快、费马点）、考进班级前10、种地（初二第三次月考、打赌八上期末物理自己和郑永泽考的低者种地）、因错题争论、三江口（小宝）（江怡佳、江允儿、江雨晴）、问问题（秦岭山顶的人）、摘眼镜：睡觉</t>
  </si>
  <si>
    <t>下课和语文老师聊天（自己的事）、写积累本（后退出）
和47/43/6关系好</t>
  </si>
  <si>
    <t>洪鑫洋名言：
我努力学习就是为了装……我就装怎么了？
我要考年段前30
我一天24小时都在看手机，从没看过书
我要去参加奥数比赛</t>
  </si>
  <si>
    <t>名言：男人不能被女人左右，但可以左右女人。
惯性是一种力。</t>
  </si>
  <si>
    <t>初二寒假三条美女朋友圈配文：
臭小狗
我也想要
早安</t>
  </si>
  <si>
    <t>人生是一场没有回头的列车，沿途的风景需要记录下精彩的瞬间，要让人生充满光与色彩而不是路口日复一日的两点一线。（世界的眼睛）</t>
  </si>
  <si>
    <t>人不能只贪恋一朵玫瑰 5.27
在物理世界中，惯性是可以被称为“惯性力”的 5.27
天天复习有用吗？！ 5.30
北美洲雨热同期 6.2
耳朵不要捐给有需要的人 6.24
热？怎么会热呢？心里有你怎么会热呢？6.24</t>
  </si>
  <si>
    <t>游武毅</t>
  </si>
  <si>
    <t>崔宇臣</t>
  </si>
  <si>
    <t>起立时小动作</t>
  </si>
  <si>
    <t>饮料</t>
  </si>
  <si>
    <t>2026/2/1官宣分手</t>
  </si>
  <si>
    <t>曾好</t>
  </si>
  <si>
    <t>自带饭、身材、手机、历史、戴眼镜</t>
  </si>
  <si>
    <t>陆梓豪</t>
  </si>
  <si>
    <t>和叶弘毅分享菜</t>
  </si>
  <si>
    <t>中午拿2矿泉水、番茄沙司、被叫到：抱头</t>
  </si>
  <si>
    <t>扔作业动作</t>
  </si>
  <si>
    <t>钱尚恩</t>
  </si>
  <si>
    <t>唐家祺</t>
  </si>
  <si>
    <t>哼歌、白色裤子</t>
  </si>
  <si>
    <t>刘天馨</t>
  </si>
  <si>
    <t>陆梓豪（作业/午餐/值日）</t>
  </si>
  <si>
    <t>嫂子</t>
  </si>
  <si>
    <t>从爱国有方生病离开时：老崔，我会想你</t>
  </si>
  <si>
    <t>黄桂芳</t>
  </si>
  <si>
    <t>林奕扬：头油味</t>
  </si>
  <si>
    <t>李梦妍</t>
  </si>
  <si>
    <t>狡猾、雕版印刷、抢东西、画粑粑、曾好、梳子/镜子/护手霜/增高鞋、梗（橙绿、盆地、六棱柱、考试成绩、set bus come）、大冒险、傻子吧、我要吃这个</t>
  </si>
  <si>
    <t>曹世强</t>
  </si>
  <si>
    <t>蒲林豪</t>
  </si>
  <si>
    <t>杂技（脚架脖子）、文件袋放腿上、口水</t>
  </si>
  <si>
    <t>画画</t>
  </si>
  <si>
    <t>发奋图强</t>
  </si>
  <si>
    <t>数1</t>
  </si>
  <si>
    <t>讲评作业（折名字/3、4组过道）、课件（熊熊疑惑、喜羊羊修花圃）、今天纪律差、笔记本拿出来、作业只改正面、告诉原因、同意举手</t>
  </si>
  <si>
    <t>××写第×题、固定请人、站后面、每次考试后总结、同意→弘毅</t>
  </si>
  <si>
    <t>英1</t>
  </si>
  <si>
    <t>小测（CTMO）、作业（抄几默几、积累本、AB本、订正）、one by one、笔记（活页、不要换笔、一课一页）、课前带读、作文本/草稿本/小绿（粉、黄、红）/预习、抄作业本、手机管理、做题标记、羽毛球、一人一包、学习小组、巡课、3条红领巾、AI视频</t>
  </si>
  <si>
    <t>跑操造句</t>
  </si>
  <si>
    <t>请假13个工作日（作业减、早读乱、大脚）、投屏打字、收作业制度、男厕洗手、量化制度、监控、电脑控制、周五末节读书、干嘛嘞/清楚没/理解没理解</t>
  </si>
  <si>
    <t>政3</t>
  </si>
  <si>
    <t>53面最后一段总结！53面最后一段总结！53面！53面！53面最后一段总结！53面最后一段总结！最后一段总结！最后一段！总结！53面！53面！53面最后一段总结！</t>
  </si>
  <si>
    <t>啧+手势，对不对、重音、预习复习、透明水杯，拿学生水杯、嘛、欸欸欸、复读机、××什么？×——×。、理论性比较强</t>
  </si>
  <si>
    <t>史1</t>
  </si>
  <si>
    <t>在课文当中画一下</t>
  </si>
  <si>
    <t>史2</t>
  </si>
  <si>
    <t>历史屌丝（论述题“中国只有变得更NB”、“中国要完蛋了”）我爱历史、科代表放视频、小测翻书</t>
  </si>
  <si>
    <t>屌丝集团、blin豪</t>
  </si>
  <si>
    <t>物1</t>
  </si>
  <si>
    <t>读“m”“l”“等于”、写“解”、M来了、给课代表买奶茶、自印卷子、提前进班、写其他课作业、物理课本拿出来、上句话是什么、作业课上完成、电话铃“lemon tree”</t>
  </si>
  <si>
    <t>体1</t>
  </si>
  <si>
    <t>（班上）起立、扣分</t>
  </si>
  <si>
    <t>段长</t>
  </si>
  <si>
    <t>集体</t>
  </si>
  <si>
    <t>F5（画黑板报而认识，成员：孔、雨、允、诗、槿）</t>
  </si>
  <si>
    <t>教室</t>
  </si>
  <si>
    <t>空调没冷气、允许女生留长发、活动课项目变少</t>
  </si>
  <si>
    <t>环境</t>
  </si>
  <si>
    <t>换桌子</t>
  </si>
  <si>
    <t>午餐</t>
  </si>
  <si>
    <t>么么脆鸡排、密封条、虫卵</t>
  </si>
  <si>
    <t>2个碗装汤</t>
  </si>
  <si>
    <t>热门</t>
  </si>
  <si>
    <t>五子棋、笔</t>
  </si>
  <si>
    <t>水瓶、炸弹脚、折星</t>
  </si>
  <si>
    <t>梗</t>
  </si>
  <si>
    <t>金叵罗</t>
  </si>
  <si>
    <t>睿昕咖啡、谢谢爷爷</t>
  </si>
  <si>
    <t>关系</t>
  </si>
  <si>
    <t>2-13，40-15，36-17</t>
  </si>
  <si>
    <t>零食饮料、背书、吃早餐</t>
  </si>
  <si>
    <t>9班民族乐器</t>
  </si>
  <si>
    <t>26.1.5周一特色餐；1.22特色餐；26.4.8年糕</t>
  </si>
  <si>
    <t>黑板擦（生化武器）</t>
  </si>
  <si>
    <t>40中主席台屏幕左半边不显示</t>
  </si>
  <si>
    <t>自行车停放</t>
  </si>
  <si>
    <t>下课——无跑操铃——突然响起——啊</t>
  </si>
  <si>
    <t>2024.9.24，林芷琪：初三毕业请全班吃蛋糕</t>
  </si>
  <si>
    <t>26.1.23，林奕扬带蓝牙耳机</t>
  </si>
  <si>
    <t>××住在澎湖湾，天天喝稀饭。
没有筷子没有碗，只有一个破烂摊。</t>
  </si>
  <si>
    <t>拗九节送粥（张桢烨）</t>
  </si>
  <si>
    <t>八下3.27开始（不含当天）禁止打球</t>
  </si>
  <si>
    <t>学生整理词组后刘老师审核+补充</t>
  </si>
  <si>
    <t>思维体操</t>
  </si>
  <si>
    <t>政治组科艺节：跳蚤市场</t>
  </si>
  <si>
    <t>日常</t>
  </si>
  <si>
    <t>日期</t>
  </si>
  <si>
    <t>事件</t>
  </si>
  <si>
    <t>八上强制打印校本</t>
  </si>
  <si>
    <t>八上10.14</t>
  </si>
  <si>
    <t>没有校本——赶快去打印</t>
  </si>
  <si>
    <t>八上10.13</t>
  </si>
  <si>
    <t>早读课抄物理作业，下午物理书没带，说：“作业夹在书里了”</t>
  </si>
  <si>
    <t>八上12.16</t>
  </si>
  <si>
    <t>物：头都快埋到地板上去了。</t>
  </si>
  <si>
    <t>跑操</t>
  </si>
  <si>
    <t>八上12.9</t>
  </si>
  <si>
    <t>结束时女生已往棚子走约半圈，但偷懒直接掉头，被罚跑3圈。第一圈：提前掉头，导致混乱；第二圈：罚跑时唐家祺前面的学生越跑转弯越早；第三圈：罚跑时女生到棚子时走路。</t>
  </si>
  <si>
    <t>八上1.8</t>
  </si>
  <si>
    <t>（洪鑫洋在第三组前面，江允儿在二组中部）进班不往讲台走，往第二组过道绕并看江允儿一眼</t>
  </si>
  <si>
    <t>八上1.12</t>
  </si>
  <si>
    <r>
      <rPr>
        <sz val="11"/>
        <rFont val="黑体"/>
        <charset val="134"/>
      </rPr>
      <t>语文作文《玫瑰触动了我》：
总有人说“爱人如养花”。我一开始哪里懂这句话的分量。
（第一朵）我蹲下来盯着</t>
    </r>
    <r>
      <rPr>
        <strike/>
        <sz val="11"/>
        <rFont val="黑体"/>
        <charset val="134"/>
      </rPr>
      <t>它</t>
    </r>
    <r>
      <rPr>
        <sz val="11"/>
        <rFont val="黑体"/>
        <charset val="134"/>
      </rPr>
      <t>她。
像撞见了星星落进了草丛里。
连写作业都把她挪到桌角。
（第二朵）“这次我看着你长好不好”
（第三朵）花茎上栓着别人的丝带。
像我没留住的那两缕玫瑰香。
我总觉得是那两缕玫瑰香，偷偷回来看我了。
（结尾）我忽然懂了“爱人如养花”。</t>
    </r>
  </si>
  <si>
    <t>八上1.15</t>
  </si>
  <si>
    <t>语：我觉得他写的这些朋友圈都挺好的。</t>
  </si>
  <si>
    <t>八上3.5</t>
  </si>
  <si>
    <t>（洪鑫洋睡觉）物理：洪鑫洋来站起来。</t>
  </si>
  <si>
    <t>八上5.30</t>
  </si>
  <si>
    <t>自己放学后提醒小测加宠物分：自己过了英语小测就提醒，没过就不提醒，理由“容易忘记”</t>
  </si>
  <si>
    <t>八6.1</t>
  </si>
  <si>
    <t>小装不叫装。
（数学145方法）每天刷100套卷子。
（数学月考）我除了最后一道题，其他题都是失误。</t>
  </si>
  <si>
    <t>八6.4</t>
  </si>
  <si>
    <t>坐第四组：空调往下，自己吹得到
坐第一组：空调往上，一直吹会着凉（6.4）</t>
  </si>
  <si>
    <t>八6.18</t>
  </si>
  <si>
    <t>我不缺那三个。
我连七上的（练习）都找到了。</t>
  </si>
  <si>
    <t>江允儿装</t>
  </si>
  <si>
    <t>八上12.26</t>
  </si>
  <si>
    <t>小测A-，“我都没背”</t>
  </si>
  <si>
    <t>八上12.29</t>
  </si>
  <si>
    <t>和46号上台写英语句，多次探头看，刘老师让唐家祺改正后同步改正</t>
  </si>
  <si>
    <t>八上12.30</t>
  </si>
  <si>
    <t>迟到，多人提醒不站</t>
  </si>
  <si>
    <t>七下3.4</t>
  </si>
  <si>
    <t>体育课，黄恩亚和陈子岩聊天（Q=陈子岩，A=黄恩亚）。黄恩亚：“崔宇臣实在太萌了，心都快给他萌化了。”Q：为什么你现在不臭了？A：（把旧衣服拿去卖）……卖了十亿多，我家是卖劳斯莱斯的。Q：喜不喜欢崔宇臣、喜不喜欢讲黄话？A：半假半真。Q：你认为的自己的人生转折点？A：我从期中考后就尝到生物的滋味。Q：为什么爱玩抽象？A：为了刷在班里的存在感。</t>
  </si>
  <si>
    <t>八下3.3</t>
  </si>
  <si>
    <t>午餐吃麦当劳：饭盒里有薯条、麦乐鸡，最大的格子内直接放入带包装袋的板烧鸡腿堡</t>
  </si>
  <si>
    <t>八下3.4</t>
  </si>
  <si>
    <t>午餐吃麦当劳（加苏打饼干）。进班时，生：恩亚我来了！落座后，围住，唱恩亚歌，刚打开缝隙就一哄而上，陆梓豪、林奕扬吃一口汉堡，光盘速度快。</t>
  </si>
  <si>
    <t>八下3.17</t>
  </si>
  <si>
    <t>吃香芋派</t>
  </si>
  <si>
    <t>八下3.20</t>
  </si>
  <si>
    <t>英语小测抄（抽屉里摆材料，桌上笔记本第一张就是笔记，可以透过封面看到，被刘老师提醒）</t>
  </si>
  <si>
    <t>八下3.18</t>
  </si>
  <si>
    <t>拿着别班作业单子，问“你认不认识××”</t>
  </si>
  <si>
    <t>哼唱《花海》</t>
  </si>
  <si>
    <t>八下3.24</t>
  </si>
  <si>
    <t>跑操定点结束后回班多次喊“飙马野郎”</t>
  </si>
  <si>
    <t>八下3.2x</t>
  </si>
  <si>
    <t>在抽屉底下看漫画（飙马野郎）</t>
  </si>
  <si>
    <t>八下5.12</t>
  </si>
  <si>
    <t>看高中生物书</t>
  </si>
  <si>
    <t>吃榴莲披萨（次日：烤肠披萨）</t>
  </si>
  <si>
    <t>手机管理</t>
  </si>
  <si>
    <t>崔母将崔玩手机事情告诉刘老师，手机被收，次日谈话</t>
  </si>
  <si>
    <t>八上1.4</t>
  </si>
  <si>
    <t>小测多人不过关，刘老师局部调查手机使用</t>
  </si>
  <si>
    <t>刘必艳</t>
  </si>
  <si>
    <t>八上12.31</t>
  </si>
  <si>
    <t>文艺汇演，孔转头被调换位置。理由：转到后面讲话。孔：没讲话，只是转到后面看了一眼。刘：闭嘴。随后请张佳欣“作证”：是那个女生吗？-是。</t>
  </si>
  <si>
    <t>（以小见大）林奕扬、崔宇臣升旗站位错——前几天也错——站最前面——谈话</t>
  </si>
  <si>
    <t>八上1.16</t>
  </si>
  <si>
    <t>政治课前：“必艳来了！”生：奔回座位，瞬间安静</t>
  </si>
  <si>
    <t>跑操喊口号</t>
  </si>
  <si>
    <t>八上1.7</t>
  </si>
  <si>
    <t>留下跑4圈</t>
  </si>
  <si>
    <t>部分学生跑8小圈（约合4大圈），跑完逐个要求大声喊“一二三四”后回班</t>
  </si>
  <si>
    <t>物理校本第三题关于足球守门员戴手套增大摩擦力。林奕扬：第三题不合实际，我就是守门员……手套上的乳胶是光滑的</t>
  </si>
  <si>
    <t>八上1.13</t>
  </si>
  <si>
    <t>吃切块甘蔗</t>
  </si>
  <si>
    <t>踩桌子：从第四组出发，踩第三组第二桌2脚、第二组第二、一桌各1脚</t>
  </si>
  <si>
    <t>40中中午放《富士山下》，林奕扬：卧槽我天天睡觉听这个</t>
  </si>
  <si>
    <t>中午打扫包干区时：今晚要去仓实小。4班有人说要砍他，今晚不见不散。今天他哥哥接他，他哥哥有纹身，今晚要让他跪下。//抖音被盗，把手机卡掰了</t>
  </si>
  <si>
    <t>八下4.28</t>
  </si>
  <si>
    <t>（密度计）哎老师这不是鱼漂吗</t>
  </si>
  <si>
    <t>数学课谈政策</t>
  </si>
  <si>
    <t>讲评作业——上次作业只印了一半——家长会讲过，有家长疑惑，再讲——为何不“一刀切”（无作业必须打印）：考虑有人打印成本高——倡导自主学习——国家政策：不定教辅（上学期领导检查）——原因：培育人才（次）、人口减少（主）——当下情况：50人/班变为30~40人/班（仓实小现状）——内卷——大学录取率——国家政策——自主学习——买课外练习（五三、解析）——公立对比私立、学位与大学、公务员——985学生心高气傲——私企对比国企：导致公务员增加——学生：考公或保送——讲这些内容目的：给前景——好学生：学习；差生：送外卖？——本科挤压送外卖——素质：本科&gt;送外卖——努力学习——考高中前提：数学及格（浪费半节课）</t>
  </si>
  <si>
    <t>八上1.14</t>
  </si>
  <si>
    <t>试卷：解设没写单位-1——一分十几万——上周会考：50%老师外校——私立高中学费vs公立——总费用——一类校寄读费——很多人差1分——40中也有寄读（几万）——寄读条件（家境、走后门）——上次讲到“上高中的百分比变高”，原因：私立增加——每一分的价值——学生甘心、家长不甘心——借钱——兄弟姐妹（家长爱心）——好的儿女十几万都出——寄读一定好吗——（城门中学的学生觉得40中好，寄宿后越来越差）——学校没很照顾寄读——自己寄读其他学校感觉低人一等——学生内心——希望：努力——到时候后悔，3年多付10万</t>
  </si>
  <si>
    <t>八下3.5</t>
  </si>
  <si>
    <t>好高中无人管——一三附无第四节/第四节无老师看管——有人退步，一本考不上（6%）——原因：初中逼着念——自觉——刘老师逼着（优缺点）</t>
  </si>
  <si>
    <t>八上10.31</t>
  </si>
  <si>
    <t>语文好段抄生物书“生态系统”章节导言</t>
  </si>
  <si>
    <t>40中</t>
  </si>
  <si>
    <t>数：油印室额度都用光了。</t>
  </si>
  <si>
    <t>往棚子跑时不到一半脱离队伍走路，在白线前调头（套圈最厉害）</t>
  </si>
  <si>
    <t>晴蔡</t>
  </si>
  <si>
    <t>八上1.19</t>
  </si>
  <si>
    <t>中午江雨晴整块鸡排（鸡块？）给蔡华楷（郑永泽说）</t>
  </si>
  <si>
    <t>可爱的江雨晴，别生气了。还我可爱的江雨晴。//抽背时盯着江雨晴</t>
  </si>
  <si>
    <t>刘老师麦串台</t>
  </si>
  <si>
    <t>八上1.20</t>
  </si>
  <si>
    <t>听到“然后，晚自习”</t>
  </si>
  <si>
    <t>政治老师：你坐好嘛，女孩子……注意自己的形象。</t>
  </si>
  <si>
    <t>八3.17</t>
  </si>
  <si>
    <t>郑致辰！冷静一下！</t>
  </si>
  <si>
    <t>吃东西</t>
  </si>
  <si>
    <t>八上1.21</t>
  </si>
  <si>
    <t>崔宇臣：塔斯汀</t>
  </si>
  <si>
    <t>仪容仪表</t>
  </si>
  <si>
    <t>八上1.30</t>
  </si>
  <si>
    <t>季仁槿、陈睿卓穿浅色裤子被谈话/罚站背书墙前，放学留下大扫除“扫尾”。</t>
  </si>
  <si>
    <t>崔宇臣、刘天馨</t>
  </si>
  <si>
    <t>体育课二人独处在门口栏杆边聊天</t>
  </si>
  <si>
    <t>过小测</t>
  </si>
  <si>
    <t>（物理午托）卓：卧槽有丧尸！（多人蹲在后排准备冲刺）；蒲林豪打开门；廖成羲：“上厕所”师：“憋着”</t>
  </si>
  <si>
    <t>刘老师占课</t>
  </si>
  <si>
    <t>音乐课长期变为做生物任务。当天无任务，改抄英语笔记，大课间时告知回班抄笔记，音乐课改背书（地理）</t>
  </si>
  <si>
    <t>八下4.30</t>
  </si>
  <si>
    <t>第一节英语课后半部分生物实验考试，午托物理换成英语</t>
  </si>
  <si>
    <t>刘老师“以小见大”</t>
  </si>
  <si>
    <t>八3.13</t>
  </si>
  <si>
    <t>课件：“Emm,then you will have to take some ()”任务：listen and repeat。
听完本句录音，学生大声朗读“emm”，空格处说不出来。刘老师：注意力不在重点、刚才崔宇臣/林芷琪笑、不止“emm”，其他也一样、态度
重来，学生顺利读出“foreign cash”。刘老师：都能说出来
接下来顺利读完。刘老师：集中注意力就不会拖拉停顿、命令执行效率（circle/underline/repeat）、80%学生认识circle（认识的举手），但执行时（第一遍：10个左右成绩好学生完成；第二遍：要去催的人完成；第三遍：提醒蔡华楷、薛阅晨、崔宇臣等人，王淮等人可进行下一步骤）、刚才段长公开课无拖拉，说明是能专心的、课程紧迫，但这样导致无法完成课时、吸收效率（有人90%吸收，有人10%但晚上努力背诵，却无效果）、笔记本不要合上/笔拿手上：频繁拿笔效率低，细节问题不容忽视、注意力集中的方法（take notes/answer the questions aloud）</t>
  </si>
  <si>
    <t>首次没收修正带</t>
  </si>
  <si>
    <t>八3.27</t>
  </si>
  <si>
    <t>陈子岩过小测用修正带被发现，问后发现是借季仁槿的</t>
  </si>
  <si>
    <t>芹菜</t>
  </si>
  <si>
    <t>/</t>
  </si>
  <si>
    <t>爱国有方唱军歌时牙套掉，蔡华楷帮忙捡起。
江雨晴带橡皮泥，不给朱奕辰，给蔡华楷。
月考不给朱亦辰抄，江雨晴碰一下就给。
考试时递来黑白两橡皮，蔡华楷在上面写答案。
（朱奕辰提供）</t>
  </si>
  <si>
    <t>八5.4</t>
  </si>
  <si>
    <t>玩密室。单线任务到走廊尽头拿报告，和一人同行，拿完后NPC出来→“操你妈！{n}”
单线放“借命钱”，多人同行→在最前面甩“桃木剑”</t>
  </si>
  <si>
    <t>刘老师故意安排陈睿卓、俞昕辰坐</t>
  </si>
  <si>
    <t>八5.7</t>
  </si>
  <si>
    <t>（第四组）-如果再坐这么远，以后固定坐在第四组</t>
  </si>
  <si>
    <t>八5.8</t>
  </si>
  <si>
    <t>（第四组）请第三组对话后，让二人对话</t>
  </si>
  <si>
    <t>21/45</t>
  </si>
  <si>
    <t>八5.15</t>
  </si>
  <si>
    <t>跳蚤市场，钱尚恩给张桢烨买花</t>
  </si>
  <si>
    <t>八5.20</t>
  </si>
  <si>
    <t>方翔发棒棒糖，21吃糖时45将纸棒进进出出运动</t>
  </si>
  <si>
    <t>八6.25</t>
  </si>
  <si>
    <t>45→21-我可以抱一下你吗？</t>
  </si>
  <si>
    <t>八5.18</t>
  </si>
  <si>
    <t>郑诗语用季仁槿排球</t>
  </si>
  <si>
    <t>八5.27</t>
  </si>
  <si>
    <t>体育课下节生物课，空调扇叶往下，后排（陈睿卓为代表）强烈要求往上，40，44，38明确反对。
正方：刘老师要求的
反方：往上不也一样/（薛阅晨：我操你红卫兵吧！）
后排要求蒲林豪往上调，蒲林豪调到中间，后薛阅晨调自动上下转动叶片</t>
  </si>
  <si>
    <t>八6.10</t>
  </si>
  <si>
    <t>江允儿：多次传纸条、往后转、下课聊天</t>
  </si>
  <si>
    <t>江允儿和蔡华楷坐，分开后学会：好机会/我是一个考生，我有两科考完
给蔡华楷海苔/果冻/薯条
传纸条不让人看</t>
  </si>
  <si>
    <t>八6.26</t>
  </si>
  <si>
    <t>林钰颖黑板写“雷阵雨”，语-雷阵雨？好耳熟</t>
  </si>
  <si>
    <t>数学老师拿走郑诗语作业-还是诗语写的完整</t>
  </si>
  <si>
    <t>音乐课江雨晴被罚唱歌，想让蔡华楷一起唱红色高跟鞋，被拒绝（22 offer）</t>
  </si>
  <si>
    <t>语文</t>
  </si>
  <si>
    <t>方翔</t>
  </si>
  <si>
    <t>郑慧敏</t>
  </si>
  <si>
    <t>陈文慧</t>
  </si>
  <si>
    <t>数学</t>
  </si>
  <si>
    <t>严伟胜</t>
  </si>
  <si>
    <t>英语</t>
  </si>
  <si>
    <t>政治</t>
  </si>
  <si>
    <t>林向东</t>
  </si>
  <si>
    <t>历史</t>
  </si>
  <si>
    <t>冯越</t>
  </si>
  <si>
    <t>地理</t>
  </si>
  <si>
    <t>张则斌</t>
  </si>
  <si>
    <t>林雅情</t>
  </si>
  <si>
    <t>生物</t>
  </si>
  <si>
    <t>毛俊文</t>
  </si>
  <si>
    <t>翁敏珍</t>
  </si>
  <si>
    <t>物理</t>
  </si>
  <si>
    <t>——</t>
  </si>
  <si>
    <t>陈淑霞</t>
  </si>
  <si>
    <t>化学</t>
  </si>
  <si>
    <t>体育</t>
  </si>
  <si>
    <t>张榕杰</t>
  </si>
  <si>
    <t>劳技</t>
  </si>
  <si>
    <t>翁锦梅</t>
  </si>
  <si>
    <t>音乐</t>
  </si>
  <si>
    <t>美术</t>
  </si>
  <si>
    <t>职位</t>
  </si>
  <si>
    <t>班委</t>
  </si>
  <si>
    <t>班长</t>
  </si>
  <si>
    <t>副班长</t>
  </si>
  <si>
    <t>学习委员</t>
  </si>
  <si>
    <t>劳动委员</t>
  </si>
  <si>
    <t>体育委员</t>
  </si>
  <si>
    <t>生活委员</t>
  </si>
  <si>
    <t>宣传委员</t>
  </si>
  <si>
    <t>文艺委员</t>
  </si>
  <si>
    <t>课代表</t>
  </si>
  <si>
    <t>语文课代表</t>
  </si>
  <si>
    <t>数学课代表</t>
  </si>
  <si>
    <t>唐家褀</t>
  </si>
  <si>
    <t>英语课代表</t>
  </si>
  <si>
    <t>政治课代表</t>
  </si>
  <si>
    <t>历史课代表</t>
  </si>
  <si>
    <t>地理课代表</t>
  </si>
  <si>
    <t>生物课代表</t>
  </si>
  <si>
    <t>物理课代表</t>
  </si>
  <si>
    <t>化学课代表</t>
  </si>
  <si>
    <t>讲台旁“皇位”临流顺序：李映辰——蒲林豪——郑欣甜——李映辰——郑欣甜——蒲林豪</t>
  </si>
  <si>
    <t>第一轮</t>
  </si>
  <si>
    <t>第二轮</t>
  </si>
  <si>
    <t>第三轮</t>
  </si>
  <si>
    <t>第四轮</t>
  </si>
  <si>
    <t>第五轮</t>
  </si>
  <si>
    <t>年级</t>
  </si>
  <si>
    <t>时间</t>
  </si>
  <si>
    <t>2024.8.29-2024.8.30</t>
  </si>
  <si>
    <t>到校注册，叶弘毅展示《数学家的眼光》</t>
  </si>
  <si>
    <t>2024.9.2</t>
  </si>
  <si>
    <t>正式开学</t>
  </si>
  <si>
    <t>2024.9.15</t>
  </si>
  <si>
    <t>蒲林豪第一次流口水</t>
  </si>
  <si>
    <t>2024.9.26</t>
  </si>
  <si>
    <t>蒲林豪照镜子被数学老师发现</t>
  </si>
  <si>
    <t>2024.9.29-2024.9.30</t>
  </si>
  <si>
    <t>运动会</t>
  </si>
  <si>
    <t>2024.10.10</t>
  </si>
  <si>
    <t>么么脆鸡排首次出现</t>
  </si>
  <si>
    <t>2024.10.24</t>
  </si>
  <si>
    <t>海带汤出现虫卵</t>
  </si>
  <si>
    <t>2024.10.30</t>
  </si>
  <si>
    <t>（语文）方老师被电动车撞，郑老师代课半学期</t>
  </si>
  <si>
    <t>2024.11.5</t>
  </si>
  <si>
    <t>发借书卡</t>
  </si>
  <si>
    <t>2024.11.14</t>
  </si>
  <si>
    <t>洪鑫洋被班级处分</t>
  </si>
  <si>
    <t>2024.11.19</t>
  </si>
  <si>
    <t>龙翔军训，辅导员通报：“初一（9）班的崔宇臣！”</t>
  </si>
  <si>
    <t>2024.11.21</t>
  </si>
  <si>
    <t>朗诵比赛</t>
  </si>
  <si>
    <t>2024.11.23</t>
  </si>
  <si>
    <t>闭营仪式，军训结束</t>
  </si>
  <si>
    <t>2024.12.2</t>
  </si>
  <si>
    <t>唐家祺发明“笔格啵拉拉”</t>
  </si>
  <si>
    <t>2024.12.19</t>
  </si>
  <si>
    <t>劳技课包饺子</t>
  </si>
  <si>
    <t>2024.12.28</t>
  </si>
  <si>
    <t>雕刻水仙</t>
  </si>
  <si>
    <t>2024.12.31</t>
  </si>
  <si>
    <t>元旦汇演，地理老师、段长上台跳舞</t>
  </si>
  <si>
    <t>2025.1.9</t>
  </si>
  <si>
    <t>蔡华楷抱来七下生物书</t>
  </si>
  <si>
    <t>政治老师和大家分别</t>
  </si>
  <si>
    <t>2025.1.16</t>
  </si>
  <si>
    <t>郑炜作文《我的动物朋友》《十年后的我》</t>
  </si>
  <si>
    <t>2025.1.17</t>
  </si>
  <si>
    <t>语文老师和大家分别</t>
  </si>
  <si>
    <t>2025.1.23</t>
  </si>
  <si>
    <t>闭学式，生物老师带大家“预习”人的生殖</t>
  </si>
  <si>
    <t>2025.2.20</t>
  </si>
  <si>
    <t>刘必艳给“如来佛组”喝奶茶，备注“不要香菜和芹菜”</t>
  </si>
  <si>
    <t>2025.2.28</t>
  </si>
  <si>
    <t>最后一节郑老师的语文课</t>
  </si>
  <si>
    <t>2025.3.11</t>
  </si>
  <si>
    <t>徐嘉明用放大镜点火</t>
  </si>
  <si>
    <t>2025.3.21</t>
  </si>
  <si>
    <t>第二次大型换座位</t>
  </si>
  <si>
    <t>2025.4.1</t>
  </si>
  <si>
    <t>郑熠菲写“成志思汗”、“2069年”</t>
  </si>
  <si>
    <t>2025.5.6</t>
  </si>
  <si>
    <t>杨依诺转学</t>
  </si>
  <si>
    <t>2025.5.9</t>
  </si>
  <si>
    <t>刘必艳给“卷死其他组”吃烤鱼</t>
  </si>
  <si>
    <t>2025.5.13</t>
  </si>
  <si>
    <t>段长宣读初一第一张年段处分</t>
  </si>
  <si>
    <t>2025.5.27</t>
  </si>
  <si>
    <t>班班有歌声</t>
  </si>
  <si>
    <t>2025.5.30</t>
  </si>
  <si>
    <t>六一节活动、趣味运动会</t>
  </si>
  <si>
    <t>2025.6.5</t>
  </si>
  <si>
    <t>高考喊楼</t>
  </si>
  <si>
    <t>2025.6.13</t>
  </si>
  <si>
    <t>中考祝福</t>
  </si>
  <si>
    <t>2025.6.30</t>
  </si>
  <si>
    <t>林芷琪照片被做成壁纸</t>
  </si>
  <si>
    <t>2025.8.31</t>
  </si>
  <si>
    <t>刘老师开始请假</t>
  </si>
  <si>
    <t>2025.9.5</t>
  </si>
  <si>
    <t>信息老师讲解安全问题</t>
  </si>
  <si>
    <t>2025.9.23</t>
  </si>
  <si>
    <t>刘老师安装“向日葵远程控制”</t>
  </si>
  <si>
    <t>2025.9.29-2025.9.30</t>
  </si>
  <si>
    <t>2025.10.20</t>
  </si>
  <si>
    <t>菜多多餐盒换新</t>
  </si>
  <si>
    <t>2025.11.3</t>
  </si>
  <si>
    <t>供餐公司变为“融德时代”</t>
  </si>
  <si>
    <t>2025.11.7</t>
  </si>
  <si>
    <t>刘老师安装“带对讲机的监控”</t>
  </si>
  <si>
    <t>2025.11.12</t>
  </si>
  <si>
    <t>首次特色餐</t>
  </si>
  <si>
    <t>2025.11.17</t>
  </si>
  <si>
    <t>爱国有方实践，徐嘉明撞碎玻璃</t>
  </si>
  <si>
    <t>2025.11.27</t>
  </si>
  <si>
    <t>洪鑫洋写期中考反思</t>
  </si>
  <si>
    <t>2025.12.17</t>
  </si>
  <si>
    <t>政治老师首次用课件</t>
  </si>
  <si>
    <t>2025.12.23</t>
  </si>
  <si>
    <t>语文老师表演跟《一人我饮酒醉》伴奏读《得道多助，失道寡助》</t>
  </si>
  <si>
    <t>2025.12.31</t>
  </si>
  <si>
    <t>元旦汇演，小品出现3个梗</t>
  </si>
  <si>
    <t>2025..</t>
  </si>
  <si>
    <t>座号</t>
  </si>
  <si>
    <t>生日</t>
  </si>
  <si>
    <t>外号</t>
  </si>
  <si>
    <t>少林寺大师兄、金池长老、道长、王维、王柱、够霸气</t>
  </si>
  <si>
    <t>抽象姐、水仙、海鲜、马猴、monkey brother</t>
  </si>
  <si>
    <t>郭沁涛、国庆节、狗狗</t>
  </si>
  <si>
    <t>喵喵姐、逗姐、爷爷</t>
  </si>
  <si>
    <t>木木、毛蛋、阿三姐</t>
  </si>
  <si>
    <t>hello fish、大鲵、小祖宗、狗腿子</t>
  </si>
  <si>
    <t>数学家、叶书记</t>
  </si>
  <si>
    <t>自信姐</t>
  </si>
  <si>
    <t>郑水泽、机器人、AI</t>
  </si>
  <si>
    <t>鞋美、学该、无量仙翁</t>
  </si>
  <si>
    <t>江允入、小宝、土拨鼠</t>
  </si>
  <si>
    <t>班级处分</t>
  </si>
  <si>
    <t>玻璃王</t>
  </si>
  <si>
    <t>阿廖、长臂猿</t>
  </si>
  <si>
    <t>骚包</t>
  </si>
  <si>
    <t>阿三哥（印度阿三）</t>
  </si>
  <si>
    <t>映辰大帝、大月亮、空姐</t>
  </si>
  <si>
    <t>牛肉干</t>
  </si>
  <si>
    <t>三秒男、疾跑哥布林、郑鸡</t>
  </si>
  <si>
    <t>小郑炜、站军姿、吕布</t>
  </si>
  <si>
    <t>恩鸭</t>
  </si>
  <si>
    <t>厕所爱豆</t>
  </si>
  <si>
    <t>死装姐</t>
  </si>
  <si>
    <t>巧克力、奶奶</t>
  </si>
  <si>
    <t>人机公主</t>
  </si>
  <si>
    <t>那艺娜、欣甜大帝</t>
  </si>
  <si>
    <t>女明星、女苔藓、陈小强、小明</t>
  </si>
  <si>
    <r>
      <rPr>
        <sz val="10"/>
        <rFont val="黑体"/>
        <charset val="134"/>
      </rPr>
      <t>装备哥、睿zhuo</t>
    </r>
    <r>
      <rPr>
        <sz val="10"/>
        <rFont val="Times New Roman"/>
        <charset val="134"/>
      </rPr>
      <t>̄</t>
    </r>
    <r>
      <rPr>
        <sz val="10"/>
        <rFont val="黑体"/>
        <charset val="134"/>
      </rPr>
      <t>、睿猪、陶喆、文班亚马、苏州园林</t>
    </r>
  </si>
  <si>
    <t>一肉、杨二诺</t>
  </si>
  <si>
    <t>四一男、喵喵男、老大、薛宝钗、promise</t>
  </si>
  <si>
    <t>口水男、菜花、葵花楷、黄瓜哥、柠檬哥、败者为王</t>
  </si>
  <si>
    <t>巨乳、信仰、机长、现在（未来）之星、三江口（源）、孺子、微醺哥、肥猪、臭氧</t>
  </si>
  <si>
    <t>卡皮巴拉</t>
  </si>
  <si>
    <t>小胖、鸡排仙人</t>
  </si>
  <si>
    <t>提问哥、马嘉祺、驴嘉祺</t>
  </si>
  <si>
    <t>湿纸巾</t>
  </si>
  <si>
    <t>梦兰、盆地姐、起泡胶、大熊猫</t>
  </si>
  <si>
    <t>薄林豪、葡萄、蒋林豪、叵罗豪</t>
  </si>
  <si>
    <t>大脚、屁眼</t>
  </si>
  <si>
    <t>海平面</t>
  </si>
  <si>
    <t>科目</t>
  </si>
  <si>
    <t>老师</t>
  </si>
  <si>
    <t>内容</t>
  </si>
  <si>
    <t>介绍</t>
  </si>
  <si>
    <t>上课</t>
  </si>
  <si>
    <t>小测</t>
  </si>
  <si>
    <t>一般每日的必备项目。小测时，刘必艳会打开课件，放出准备好的小测页面。学生须在指定时间内写上答案（通常计时结束后会延时30秒~1分钟）。
小测基本流程：
1.合上资料，放在桌子中间
2.准备小测纸，填写个人信息
3.写小测
4.停笔，从后往前传
小测主要内容：
1.单词（4~8个，包括看音标写单词和听写，部分单词要求写全程/三单/词性转化/复数）
2.积累本（1个，可能出现题号为8.5）
3.词组（4~8个，七上时在笔记里，七下时在校本里）
4.句子
小测等级分为：
1.A+（全对）
2.A-（1~2处细节错误）
3.B（过关，正常能力范围）
4.B-（错误偏多，但可以过关，七下时需找刘必艳）
5.F+(不过关）
6.F,F-(不过关，大量错误）
7.无等级（不过关）
不过关者需在下课/午托/放学时找刘必艳订正并重测，直至过关。七下时，刘必艳会写“CTMO”（come to my office），代表到办公室找她。后来演变为B-需主动找她。
过关者需将小测在错题旁订正1遍并在背面订正3遍（蓝笔），有时没过关的人不留，就让订正5遍。同时，不该错的单词/词组错了有可能会喜提10遍或更多。
一般刘必艳这样下达指令：
Close your books and test.
Ok,test.
Close your books and notebooks,and then put (all of) them in the middle (of your desk).
Hand in (,quickly).</t>
  </si>
  <si>
    <t>轮流讲题</t>
  </si>
  <si>
    <t>讲题分“老师讲”和“one by one”两种形式。学生讲题时，需：
1.翻译句子
2.说出原因
刘天馨、张梦琪等成绩差的学生可直接跳过，但刘必艳可能会问“Can you?”。</t>
  </si>
  <si>
    <t>草稿本</t>
  </si>
  <si>
    <t>上课时使用。</t>
  </si>
  <si>
    <t>笔记</t>
  </si>
  <si>
    <t>刘必艳要求每个人去买一本活页本，用来在英语课上记笔记。每页只能记1课的笔记，并且要顶格写，不要省纸。为了防止学生记笔记速度过慢，刘必艳还不让换笔，如果要让笔记美观可以用荧光笔画出重点。
同时，活页本还要记积累的单词，于是又叫“积累本”。</t>
  </si>
  <si>
    <t>单词</t>
  </si>
  <si>
    <t>在正式上某节课前，刘必艳会把这节课的单词讲掉，主要方法是：
1.跟读（像这样：
师：monkey,monkey
生：monkey,monkey
师：monkey,monkey
生：monkey,monkey
师：mon
生：m，o，n
师：key
生：k，e，y
师：monkey
生：m，o，n，k，e，y
师：monkey,monkey
生：monkey,monkey，noun，猴子）
2.其他（词性转化、复数、三单、过去式、现在进行时、反义词、词组、巨型、补充中文）
讲单词时，刘必艳随机叫人并将书投影。</t>
  </si>
  <si>
    <t>作业</t>
  </si>
  <si>
    <t>抄词本（抄默本）</t>
  </si>
  <si>
    <t>抄词本分A本、B本，两本交替使用。
正常每天在A、B本上写的内容包括：
1.单词（英文+词性+完整中文）
最开始，单词每个抄1遍，但几次小测后发现大家根本没去用心背，于是规则改为了“抄一默三”，即先抄一遍单词，再遮住抄完的单词默一遍并检查是否正确，累计默写3遍。过了一段时间，刘必艳让小测每次都过关者“抄一默一”。班上成绩，后来又让成绩顶尖的几个人只抄（默）不熟悉的单词，剩下的时间则背默积累本单词，不久后发现大家只背课上抄的积累本单词，又要求积累课外单词。
2.过去式+词组
过去式是七下的新增内容，学生需将动词原形+过去式+中文“抄一默三”。后来，刘必艳为节省课上时间，不让大家在笔记本中抄词组，而是背默“白本”（四十中自印的《英语校本作业》）里面的词组，每个词组写1遍。同时，刘必艳将单词和过去式的规则改为“抄一默一”。
3.课文（课文+中文）
课文需要背诵并默写1遍。
后来，刘必艳将规则改为“默一”，且默完需核对并逐一打勾，第二天只需给组长检查、批日期；积累本则照常。</t>
  </si>
  <si>
    <t>作文本</t>
  </si>
  <si>
    <t>每上一个单元就需要写一篇作文。除了成绩很差的可以抄书外，其他人都要自己写。作文统一写在右侧，左侧则是题目。写完作文后，刘必艳批改并下发，学生需用蓝笔将订正后的句子写在错误句子下面，同时打印题目贴在左侧（或抄题目）。第二次批改后，就在下一页抄正作文。通常一篇作文需要耗费4页纸。</t>
  </si>
  <si>
    <t>小绿（小粉、小黄）</t>
  </si>
  <si>
    <t>小绿/小粉/小黄也就是练习册，由刘必艳根据封面颜色命名。
刘必艳要求做题“不能空白地放在那里”，需要做标记，也就是用黑笔随手画出依据，具体方法是：
1.一般将依据用黑笔画线
2.阅读题需将原文中的依据画出，并在旁边写上对应的题号
3.还原句子需翻译每个选项。</t>
  </si>
  <si>
    <t>预习</t>
  </si>
  <si>
    <t>预习时除特别要求外不需要完成书上的练习，但要对照白本找出生词并用蓝笔将词性、中文写在对应单词旁边。后来，刘必艳又要求画出词组。</t>
  </si>
  <si>
    <t>复习</t>
  </si>
  <si>
    <t>复习的主要内容包括书本、笔记、白本，这些内容通常会体现在次日的小测中。</t>
  </si>
  <si>
    <t>抄作业</t>
  </si>
  <si>
    <t>刘必艳只允许大家用统一的抄作业本，其他一律禁止。抄作业时要求一字不漏，不要漏抄。开学初还经常检查抄作业本。
一般英语作业的内容为：
1.复习P……~……
2.单词……~……，过去式……~……，校本P……
3.课文P……
4.小绿（小粉）P……~……
5.订正作文，打印题目
6.试卷……
7.订测×3
8.预习P……~……</t>
  </si>
  <si>
    <t>考试</t>
  </si>
  <si>
    <t>考试的大部分要求和日常做练习时相同，但新增了以下几点：
1.拿到卷子先看听力的短文填词，初步判断词性、单复数、大写、三单、时态等并写在旁边
2.如果时间充裕，作文必须打草稿</t>
  </si>
  <si>
    <t>手机</t>
  </si>
  <si>
    <t>刘必艳对手机管理严格。她说，初中是努力学习的阶段，玩手机会影响学习。所以周一到周五禁止使用手机，周末也只能用0.5~1小时。如果违反，刘必艳可能会要求将手机交给她管理。
开学初，刘必艳说如果期中成绩很好，就可以建一个没有老师参与的群，但在学生私自建群时间败露后，刘必艳就禁止初中阶段建群，如果发现就班级处分。
刘必艳允许学生加自己微信，但不能屏蔽朋友圈。</t>
  </si>
  <si>
    <t>一人一包</t>
  </si>
  <si>
    <t>刘必艳制定了“一人一包”规则，如果发现有人带纯牛奶、面包外的零食或在非下课时间吃东西，就罚他给班上每个人买棒棒糖。</t>
  </si>
  <si>
    <t>羽毛球</t>
  </si>
  <si>
    <t>与段长</t>
  </si>
  <si>
    <t>课件用一样</t>
  </si>
  <si>
    <t>占课</t>
  </si>
  <si>
    <t>拼好课</t>
  </si>
  <si>
    <t>七上周五最后一节语文+英语</t>
  </si>
  <si>
    <t>抽背</t>
  </si>
  <si>
    <t>曾改为默写一段时间，后来回到抽背</t>
  </si>
  <si>
    <t>学习小组</t>
  </si>
  <si>
    <t>量化</t>
  </si>
  <si>
    <t>剪头发</t>
  </si>
  <si>
    <t>早读</t>
  </si>
  <si>
    <t>早读时如果没声音，就要全班起立。
七下时，刘必艳把数学早读规则修改：40分前读语文，40分后读数学。</t>
  </si>
  <si>
    <t>巡课</t>
  </si>
  <si>
    <t>刘必艳经常巡课，时不时就会“闪现”门口或窗外，非常可怕。</t>
  </si>
  <si>
    <t>集会</t>
  </si>
  <si>
    <t>如果周一升旗有人没带红领巾，刘必艳会让那人第二天带3条。</t>
  </si>
  <si>
    <t>讲评</t>
  </si>
  <si>
    <t>数学老师会说：“作业拿出来。”然后打开展台，走到3、4组过道寻找作业。找到的作业会被他拿去投影（他会将名字折起来），拍照后归还。</t>
  </si>
  <si>
    <t>课件</t>
  </si>
  <si>
    <t>数学老师的课件基本上是去网上找的，因此内容五花八门。</t>
  </si>
  <si>
    <t>导学案</t>
  </si>
  <si>
    <t>数学老师会说：“导学案拿出来。”并让大家做题。午托时可能会让大家做完某页，否则不要睡觉。</t>
  </si>
  <si>
    <t>其他</t>
  </si>
  <si>
    <t>数学老师如果觉得纪律不好，就会直接说：“今天纪律差！”
数学老师仅允许数学120分以上的人在课上写数学作业。
笔记本拿出来。</t>
  </si>
  <si>
    <t>方翔曾发明“防伪标志”，但目前仅用过1次。
班上有一个习俗：念小测满分名单时，大家会根据那个人在班上的地位用“哇”或“咦”起哄。如郑永泽、王淮、张雨希是“哇”，郑致辰、林芷琪、林奕扬是“咦”。</t>
  </si>
  <si>
    <t>课文</t>
  </si>
  <si>
    <t>她讲课文时，会：
1.播放课文朗诵音频（选）
2.让大家齐读全文（选，到后面会出现只有几个人读的情况）
3.讲解课文
前两项操作主打一个浪费时间。</t>
  </si>
  <si>
    <t>七上时，她讲评作业实则是让大家核对答案；七下时有时会进行讲解。</t>
  </si>
  <si>
    <t>声音</t>
  </si>
  <si>
    <t>方翔称自己从不使用小蜜蜂，且“自己的嗓门对面的楼的人都能听见”。她可能讲着讲着，突然就提高音调，把走神的人吓一跳。但平时的声音有催眠效果。</t>
  </si>
  <si>
    <t>七上时，她批改校本/金牌只是看有没有写，有的话就打勾并写上“阅”，有时空一些题都没关系；七下时干脆让组长检查。
方翔的周末固定作业是练字1张。</t>
  </si>
  <si>
    <t>郑××</t>
  </si>
  <si>
    <t>每天课上会先拿单子通报作业情况，并叫值日班长扣分。格式：
来，我先说一下没交作业的人。扣分的人在哪？每个人扣一分。来，×号×××……来，不要说话！</t>
  </si>
  <si>
    <t>课件半自制，最后一节课还在讲评校本。
名言：我没马，我骑小电驴；漂亮的我生气地打丑陋的你；……
抽西游记</t>
  </si>
  <si>
    <t>魏××</t>
  </si>
  <si>
    <t>2次辩论</t>
  </si>
  <si>
    <t>官××</t>
  </si>
  <si>
    <t>每节小测，期中考前5才能看视频</t>
  </si>
  <si>
    <t>×××</t>
  </si>
  <si>
    <t>请大家在课文当中画一下。</t>
  </si>
  <si>
    <t>张××</t>
  </si>
  <si>
    <t>知识点</t>
  </si>
  <si>
    <t>ZSD1演变为Z1</t>
  </si>
  <si>
    <t>拍照</t>
  </si>
  <si>
    <t>王淮、陆梓豪</t>
  </si>
  <si>
    <t>重男轻女、打人</t>
  </si>
  <si>
    <t>七下时这方面逐渐弱化。</t>
  </si>
  <si>
    <t>70分以上做素养提升；考试不及格/没进步3分以上每节课抄知识点。</t>
  </si>
  <si>
    <t>叫人</t>
  </si>
  <si>
    <t>四一男、三倒二女、隔壁位</t>
  </si>
  <si>
    <t>绿色软勺、预习人的生殖、一中门口有两个乞丐坐在井上没穿一点衣服、勿以恶小而为之、五块钱、课上写课课练、乐乐课堂</t>
  </si>
  <si>
    <t>毛××</t>
  </si>
  <si>
    <t>闭麦、生奇宝贝</t>
  </si>
  <si>
    <t>蔡××</t>
  </si>
  <si>
    <t>繁体字</t>
  </si>
  <si>
    <t>铅笔</t>
  </si>
  <si>
    <t>上课！起立！！！！！做眼保健操！下课状态。</t>
  </si>
  <si>
    <t>（在班上）动不动起立、扣分等</t>
  </si>
  <si>
    <t>物理、雕刻水仙、包饺子、人防工程（视频里的张叔叔、兵王）</t>
  </si>
  <si>
    <t>航拍中国、美食PPT</t>
  </si>
  <si>
    <t>信息</t>
  </si>
  <si>
    <t>第一节课讲：弄坏东西赔款价格、静电（老师跳起来休克）、不要跳窗（多20cm、窗框踩坏要赔</t>
  </si>
  <si>
    <t>读“m”。</t>
  </si>
  <si>
    <t>王淮之前整纪律时说过：“声音声音！”结果这句话成为了班上热梗。下课、课前甚至上课时都能听到此起彼伏的“声音声音！”，还有人当着王淮的面说“声音声音！”后又出现“睡觉睡觉”这一句话，不过并未引起太大轰动。</t>
  </si>
  <si>
    <t>猴。
关心郑致辰。</t>
  </si>
  <si>
    <t>最稳定但骂人最脏；骂完拍手+摊手（经典）“他骂我我不能骂他吗？”</t>
  </si>
  <si>
    <t>江雨晴喜欢写小说（如“恩芽”）。</t>
  </si>
  <si>
    <t>语文老师：“祥懿，又是你~”
下午课间吃午饭。
爱吃番茄酱。上课画画。捏人</t>
  </si>
  <si>
    <r>
      <rPr>
        <sz val="11"/>
        <rFont val="等线"/>
        <charset val="134"/>
      </rPr>
      <t>叶弘毅喜欢用相同的英语单词造句，如：</t>
    </r>
    <r>
      <rPr>
        <sz val="11"/>
        <rFont val="黑体"/>
        <charset val="134"/>
      </rPr>
      <t xml:space="preserve">
</t>
    </r>
    <r>
      <rPr>
        <sz val="11"/>
        <rFont val="黑体"/>
        <charset val="134"/>
        <scheme val="major"/>
      </rPr>
      <t>light the light light</t>
    </r>
  </si>
  <si>
    <t>郑致辰曾数次吃过“牛奶拌饭”，甚至还吃过一次“酸奶拌饭”，后又疑似出现石榴拌饭。</t>
  </si>
  <si>
    <t>徐嘉明曾在数学课上用放大镜试图点燃纸巾，被称“物理学家”。
徐嘉明创造“修正带陀螺”等，被称“发明家”。</t>
  </si>
  <si>
    <r>
      <rPr>
        <sz val="11"/>
        <rFont val="等线"/>
        <charset val="134"/>
      </rPr>
      <t>廖成羲在回答问题时经常嘴瓢。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英语课上，刘必艳发现他经常是记笔记最快的一个，可走近一看，字迹非常潦草，于是总让他放慢速度。</t>
    </r>
  </si>
  <si>
    <t>廖成羲背诵内容潦草，抽背时先一笔一划认真写，然后干脆摆烂。写道最后一个字时一竖下来，用力一点。</t>
  </si>
  <si>
    <r>
      <rPr>
        <sz val="11"/>
        <rFont val="黑体"/>
        <charset val="134"/>
      </rPr>
      <t xml:space="preserve">变态
</t>
    </r>
    <r>
      <rPr>
        <sz val="11"/>
        <rFont val="等线"/>
        <charset val="134"/>
      </rPr>
      <t>林奕扬很“变态”，经常用夹子音说话（通常说英语），还会做恶心的动作或“骚扰”别人，常摸别人屁股。
林奕扬在体育课上做腰部绕环时特别“骚”。</t>
    </r>
    <r>
      <rPr>
        <sz val="11"/>
        <rFont val="黑体"/>
        <charset val="134"/>
      </rPr>
      <t xml:space="preserve">
讨饭
</t>
    </r>
    <r>
      <rPr>
        <sz val="11"/>
        <rFont val="等线"/>
        <charset val="134"/>
      </rPr>
      <t>开学初时每到中午，林奕扬就会开始“讨饭”，当回到座位上时总是收获颇满。近来，林奕扬每日会从孔祥懿讨一片生菜，并在上面铺上饭菜吃。后来就被班主任制止了。再后来，林奕扬开始自带饭（经常有海鲜），但还是会去讨饭。</t>
    </r>
    <r>
      <rPr>
        <sz val="11"/>
        <rFont val="黑体"/>
        <charset val="134"/>
      </rPr>
      <t xml:space="preserve">
课程
</t>
    </r>
    <r>
      <rPr>
        <sz val="11"/>
        <rFont val="等线"/>
        <charset val="134"/>
      </rPr>
      <t>他曾打印了一张课程表放在桌垫下，只不过把“班主任 刘必艳”划掉，改成了“班主任 林奕扬”。</t>
    </r>
    <r>
      <rPr>
        <sz val="11"/>
        <rFont val="黑体"/>
        <charset val="134"/>
      </rPr>
      <t xml:space="preserve">
座椅
</t>
    </r>
    <r>
      <rPr>
        <sz val="11"/>
        <rFont val="等线"/>
        <charset val="134"/>
      </rPr>
      <t>有一个奇怪的现象：每次林奕扬坐的座位都特别丝滑，坐过的人都深有同感。</t>
    </r>
    <r>
      <rPr>
        <sz val="11"/>
        <rFont val="黑体"/>
        <charset val="134"/>
      </rPr>
      <t xml:space="preserve">
换衣服
</t>
    </r>
    <r>
      <rPr>
        <sz val="11"/>
        <rFont val="等线"/>
        <charset val="134"/>
      </rPr>
      <t>自从英语老师说“体育课要带衣服换”之后，林奕扬就经常上演“换衣服”绝活，而且通常都是在上课时换。</t>
    </r>
    <r>
      <rPr>
        <sz val="11"/>
        <rFont val="黑体"/>
        <charset val="134"/>
      </rPr>
      <t xml:space="preserve">
摇头
</t>
    </r>
    <r>
      <rPr>
        <sz val="11"/>
        <rFont val="等线"/>
        <charset val="134"/>
      </rPr>
      <t>林奕扬被老师罚站时会不自觉摇头。</t>
    </r>
  </si>
  <si>
    <r>
      <rPr>
        <sz val="11"/>
        <rFont val="黑体"/>
        <charset val="134"/>
      </rPr>
      <t xml:space="preserve">“爆胎”
</t>
    </r>
    <r>
      <rPr>
        <sz val="11"/>
        <rFont val="等线"/>
        <charset val="134"/>
      </rPr>
      <t>某节地理课，临近下课时要去上厕所，被地理老师称“每节课都要爆胎”后来泛指林奕扬上课（尤其是地理课）时上厕所。</t>
    </r>
  </si>
  <si>
    <r>
      <rPr>
        <sz val="11"/>
        <rFont val="等线"/>
        <charset val="134"/>
      </rPr>
      <t>朱奕辰属班上少有的“左撇子”，是郑炜的“义父”。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他原是劳委，但经常想要辞职，如果周二班会课有人抽罚就会祈祷：“（抽到）当劳委！当劳委！……”
后来，刘必艳问谁想辞职时，他就趁此机会辞去了劳委的职位。</t>
    </r>
  </si>
  <si>
    <r>
      <rPr>
        <sz val="11"/>
        <rFont val="等线"/>
        <charset val="134"/>
      </rPr>
      <t>李映辰在七上过半后，作为被调到讲台旁边。她经常睡觉并被刘必艳“强制抬头”。但只要不睡觉就会活力四射（同郑欣甜）。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她喜欢在纸上画画（主要是画人）。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李映辰成绩令人惊讶。如数学开门考时考了127分，甚至超越一些成绩好的学生；一次数学小测全对，被称“理科生”。</t>
    </r>
  </si>
  <si>
    <t>李映辰会时不时咬手指。
李映辰的书包是有拉杆的，可能是因为省力。
李映辰和张桢烨关系好。
李映辰喜欢点空调时开窗，多次被刘必艳谈话。
李映辰曾在英语小测上画画，写“看不懂”。</t>
  </si>
  <si>
    <r>
      <rPr>
        <sz val="11"/>
        <rFont val="黑体"/>
        <charset val="134"/>
      </rPr>
      <t xml:space="preserve">作文
</t>
    </r>
    <r>
      <rPr>
        <sz val="11"/>
        <rFont val="等线"/>
        <charset val="134"/>
      </rPr>
      <t xml:space="preserve">郑炜请假时，他的作文发了下来。于是陈子岩就去看了看，于是发现两篇作文：《十年后的我》、《我的动物朋友》，内容炸裂。
于是，“电子钱”、“烤肠”等就成了他的代名词。一些人还说“郑炜没用过手机”。
《我的动物朋友》里面的一句话成为了经典：
 </t>
    </r>
    <r>
      <rPr>
        <sz val="11"/>
        <rFont val="黑体"/>
        <charset val="134"/>
        <scheme val="minor"/>
      </rPr>
      <t xml:space="preserve">但是其中一条把稀饭吞了进去，但是一动不动，死不明目的睡着了。 </t>
    </r>
    <r>
      <rPr>
        <sz val="11"/>
        <rFont val="等线"/>
        <charset val="134"/>
      </rPr>
      <t xml:space="preserve">
七下时，他被称为“大文豪”。</t>
    </r>
  </si>
  <si>
    <t>郑炜打羽毛球姿势滑稽。</t>
  </si>
  <si>
    <r>
      <rPr>
        <sz val="11"/>
        <rFont val="黑体"/>
        <charset val="134"/>
      </rPr>
      <t xml:space="preserve">体香
</t>
    </r>
    <r>
      <rPr>
        <sz val="11"/>
        <rFont val="等线"/>
        <charset val="134"/>
      </rPr>
      <t>黄恩亚的臭味被多人吐槽，周围的人都说他很臭，并且他的洗澡频率也常被提及。
假如某人的考卷（作业）紧挨着黄恩亚的考卷（作业），那这张考卷（作业）就相当于被他“玷污”了。而碰到他就更不得了了。军训时，本来学生说“蒲林豪不臭”，结果黄恩亚抓住他的衣服闻了一下，学生就说“现在臭了！”。
半期考后，进行了一次大规模的换座，结果林芷琪就成了恩亚的同桌。而后，每当黄恩亚迟到，都是林芷琪的福音（黄恩亚会站到后面半天）。
一次跑操时，9班中部的男生就会玩起“逃离恩亚”游戏。每当这时，大家就会说“恩亚要来了！”然后疯狂往前挤，场面极其混乱。（后来就被刘必艳镇压了）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他的体香似乎有规律：冬季臭味减弱，夏季臭味增大。</t>
    </r>
    <r>
      <rPr>
        <sz val="11"/>
        <rFont val="黑体"/>
        <charset val="134"/>
      </rPr>
      <t xml:space="preserve">
生殖器官
</t>
    </r>
    <r>
      <rPr>
        <sz val="11"/>
        <rFont val="等线"/>
        <charset val="134"/>
      </rPr>
      <t>“撸管”也是他的代名词之一，被不少人调侃、笑话。自从上了“系统”这节生物课后，同学们就说他的必修课是七年级下册的生物，蔡华楷还称在七年级下学期时可以把自己的生物课代表让给他。为此班上还有一句对他名字的“分析”：“好黄呀，是恩亚吧！”
黄恩亚上课时，手时常会不自觉地放到生殖器官的地方，也不知道在干什么，经常被其他人发现。
传闻，黄恩亚拥有“巨根”，据说他“没立起来时都那么长，立起来就更不敢想象了。”
他的生殖能力也很经典，如地理课讲到“人口”时，学生会说：“中国的生育率就靠你了！”
黄恩亚似乎对此很“自豪”，丝毫没有羞耻的感觉，经常说出很“震撼”的话。
他常常和“91”联系起来。一次午托，黄恩亚和崔宇臣谈到“看91”，于是黄恩亚就开始讲起自己在这方面的经验。他说，自己可以“翻墙”技术，即通过“加速器”访问91，不过免费的加速器容易被发现。他还谈到“外网”、“隐藏IP”等方面的技术，对于原理也知之甚详。最后，他还说自己没有真正试过这招，但他曾在别人的电脑上访问国外的网站。他还谈到“Youtube”，说这是一个国外的视频网站，很多关于政治的内容。</t>
    </r>
    <r>
      <rPr>
        <sz val="11"/>
        <rFont val="黑体"/>
        <charset val="134"/>
      </rPr>
      <t xml:space="preserve">
舌战群儒
</t>
    </r>
    <r>
      <rPr>
        <sz val="11"/>
        <rFont val="等线"/>
        <charset val="134"/>
      </rPr>
      <t>黄恩亚经常迟到。但有一次他迟到后，他的爸爸还为他“打抱不平”，于是就和英语老师在家长群“舌战群儒”，还产生了一些“名句”。
后来黄恩亚说，他当时并没有肚子疼，自己也没打算让他爸爸和班主任理论。但没想到黄恩亚爸爸却瞒着他编谎。</t>
    </r>
    <r>
      <rPr>
        <sz val="11"/>
        <rFont val="黑体"/>
        <charset val="134"/>
      </rPr>
      <t xml:space="preserve">
午餐
</t>
    </r>
    <r>
      <rPr>
        <sz val="11"/>
        <rFont val="等线"/>
        <charset val="134"/>
      </rPr>
      <t>黄恩亚的自带饭和别人不同，他的菜是有一定规律的。
黄恩亚每天装午餐的塑料袋里有一盒水果和饭盒。他的饭盒有四格，在七上时，他的饭盒里面几乎每天都有两格装着西兰花，一格装饭，剩下一个要么是青椒炒牛肉，要么是“红烧肉”（黄恩亚自称这是“红烧肉”，实际菜名未知，看起来像没沾酱汁的荔枝肉）。水果则必然是切块苹果。
但到了期末，他的菜品就开始上新，土豆、春菜等纷纷涌现。在七上的最后一天，黄恩亚的水果多出了两个剥好的砂糖橘，而且“苹果+砂糖橘”的搭配沿用到了七下。
七下时，西兰花就只剩一格了——据观察，另一格被拿来装炒蛋。同时新菜品也时有出现，如花菜。
黄恩亚的“午饭”不仅中午可以吃，下午也行。一天午托结束后，教室里传来一股菜味，只见黄恩亚把中午吃剩的饭又拿出来吃。</t>
    </r>
    <r>
      <rPr>
        <sz val="11"/>
        <rFont val="黑体"/>
        <charset val="134"/>
      </rPr>
      <t xml:space="preserve">
跑步
</t>
    </r>
    <r>
      <rPr>
        <sz val="11"/>
        <rFont val="等线"/>
        <charset val="134"/>
      </rPr>
      <t>黄恩亚在跑操或上体育课跑步时，经常会采取一种奇怪的姿势。他会右手放松、自然下垂，随着跑步的节奏前后摆动；左手弯曲置于肚子前，手指也会摆动。同时，他的肩膀会随着步伐一前一后交替转着，头微微抬起，嘴张大喘气（黄恩亚喘气声音粗而重，非常难听）。整体看上去充满松弛感。
有时，黄恩亚还会一边抱着外套一边跑。
黄恩亚在体育课跑圈时，刚开始可能会很快，直接拉爆大部分人；但没跑半圈就开始体力不支，到了第二个弯道时往往已经开始走路。有时候让热身跑2圈，黄恩亚就跑1圈，被人发现后如果让他再跑，他可能会走一段距离，然后神不知鬼不觉地走回来开始做操。</t>
    </r>
    <r>
      <rPr>
        <sz val="11"/>
        <rFont val="黑体"/>
        <charset val="134"/>
      </rPr>
      <t xml:space="preserve">
其他
</t>
    </r>
    <r>
      <rPr>
        <sz val="11"/>
        <rFont val="等线"/>
        <charset val="134"/>
      </rPr>
      <t>黄恩亚的字特别潦草，有时连中英文都不容易分辨，史称“甲骨文”。
黄恩亚喜欢把腿伸到过道上，一次差点把英语老师绊倒。
黄恩亚经常不写（乱写）作业。
黄恩亚信仰基督教，他的名字可以这么解释：恩典时代的亚当。
黄恩亚喜欢近代史。
每当有人说他“头发太长”时，他就会捂头。
黄恩亚曾私藏卷子。一节语文课，黄恩亚周围的人称没发到卷子。大家找了半天。只见黄恩亚从文件袋掏出一叠别人的卷子，令大家震惊。他还辩解“不知道哪一个人放到了他桌上”。
黄恩亚爸爸的微信头像是黄恩亚在黑暗中拉小提琴，结果当英语老师问班上的人有什么特长时，学生齐声大喊：“黄恩亚会拉小提琴！”然后就把黄恩亚逼急了，连忙说：“我不会啊！”“我早就忘了！”
黄恩亚喜欢骂脏话，尤其“操”这个字。
黄恩亚叫别人，喜欢叫后两个字，如：“子岩”“致辰”等。</t>
    </r>
    <r>
      <rPr>
        <sz val="11"/>
        <rFont val="黑体"/>
        <charset val="134"/>
      </rPr>
      <t xml:space="preserve">
黄恩亚外八走路。</t>
    </r>
  </si>
  <si>
    <t>黄恩亚喜欢北师大版的数学书中的笑笑（他的推）、淘气，一段时间内他的微信名是“笑笑和淘气”，头像是数学书笑笑、淘气在一起的图片；下课/体育课自由活动时经常随身携带北师大版的数学书。
黄恩亚有时上课会磨鞋，发出噪音。
黄恩亚获奖时笑得很灿烂。
有人吃过黄恩亚的菜。
黄恩亚有时会向大家展示自己鼓包的裤子。</t>
  </si>
  <si>
    <t>同学们每读到《木兰诗》的“关山度若飞”时就会提高音量（因为“关山度熠菲”），这也是她的梗之一。</t>
  </si>
  <si>
    <t>陈子岩又称“女明星”，时时刻刻都会做出一些“明星”的行为。
他还有一位“经纪人”，也就是李梦妍。当时李梦妍还特地把陈子岩的一些事件做成热搜榜，让人写评论。</t>
  </si>
  <si>
    <r>
      <rPr>
        <sz val="11"/>
        <rFont val="等线"/>
        <charset val="134"/>
      </rPr>
      <t>有人说，陈睿卓每天吃得都很补，整天中午吃海参、小米粥。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陈睿卓被称“林俊卓”、“陶喆”，唱歌时会摇头、皱眉、抖手、抬头、后仰、双腿开叉。
陈睿卓说自己家里有两辆车。
陈睿卓爱“装”，如对答案时：“完蛋我选了C！（正确答案是C）”
陈睿卓经典歌曲：感谢你曾来过、再给我两分钟。
陈睿卓戴眼镜时：“我戴眼镜帅还是不戴帅？”
陈睿卓在自己建的群里发：“好的宝宝，明天下午。”然后说发错了。
陈睿卓经常把小学毕业留影拿出来，还喜欢提到“谢卉”。</t>
    </r>
  </si>
  <si>
    <t>杨依诺对老师态度不好，曾因考试作弊被班级处分，据说还在校外结交狐朋狗友，放学后和“男朋友”回家。</t>
  </si>
  <si>
    <r>
      <rPr>
        <sz val="11"/>
        <rFont val="等线"/>
        <charset val="134"/>
      </rPr>
      <t>薛阅晨在政治课上被成为“嘴甜的人”。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薛阅晨喜欢“黏着”郑永泽，如下课和郑永泽出去、体育课和郑永泽用同一个垫子。</t>
    </r>
  </si>
  <si>
    <t>蔡华楷讲话时经常会喷口水。</t>
  </si>
  <si>
    <t>蔡华楷每次中午都会拿学校汤碗讨饭，菜总是装满整个碗。</t>
  </si>
  <si>
    <r>
      <rPr>
        <sz val="11"/>
        <rFont val="等线"/>
        <charset val="134"/>
      </rPr>
      <t>一段时间内，洪鑫洋很喜欢读《孙权劝学》和《木兰诗》，于是大家读的时候就开始把人物替换成“鑫洋”，如：</t>
    </r>
    <r>
      <rPr>
        <sz val="11"/>
        <rFont val="黑体"/>
        <charset val="134"/>
      </rPr>
      <t xml:space="preserve">
</t>
    </r>
    <r>
      <rPr>
        <sz val="11"/>
        <rFont val="黑体"/>
        <charset val="134"/>
        <scheme val="minor"/>
      </rPr>
      <t>仰辞以军中多务
问仰何所思，问仰何所忆。仰亦无所思，仰亦无所忆。
小弟闻姊来，磨刀霍霍向鑫洋。
同行十二年，不知鑫洋是女郎。
双兔傍地走，安能辨我是鑫洋。</t>
    </r>
    <r>
      <rPr>
        <sz val="11"/>
        <rFont val="等线"/>
        <charset val="134"/>
      </rPr>
      <t xml:space="preserve">
洪鑫洋曾说：“反正生物期中考只有30分。”
睡觉记笔记</t>
    </r>
  </si>
  <si>
    <t>崔宇辰回答问题时一会儿低头，一会儿抬头，小动作多。</t>
  </si>
  <si>
    <r>
      <rPr>
        <sz val="11"/>
        <rFont val="黑体"/>
        <charset val="134"/>
      </rPr>
      <t xml:space="preserve">自带饭
</t>
    </r>
    <r>
      <rPr>
        <sz val="11"/>
        <rFont val="等线"/>
        <charset val="134"/>
      </rPr>
      <t xml:space="preserve">他的自带饭分三盒。一般有以下搭配：
</t>
    </r>
    <r>
      <rPr>
        <sz val="11"/>
        <rFont val="华文仿宋"/>
        <charset val="134"/>
      </rPr>
      <t>水果+米饭+菜（鸡排/猪排/香肠加煎蛋/牙签肉/红烧肉）
水果+炒饭+炒饭</t>
    </r>
    <r>
      <rPr>
        <sz val="11"/>
        <rFont val="等线"/>
        <charset val="134"/>
      </rPr>
      <t xml:space="preserve">
七上时，陆梓豪会带百香果汁（用矿泉水瓶装满），一次更是带了奶茶（为此班主任还特意在群里通知不能带）。
他有时会吃“减脂餐”，比如吃炒蛋。有时甚至饭和肉都没有，只是一盘挤了沙拉酱的玉米粒。还有一次，他的父母没空，午饭直接变成面包。</t>
    </r>
    <r>
      <rPr>
        <sz val="11"/>
        <rFont val="黑体"/>
        <charset val="134"/>
      </rPr>
      <t xml:space="preserve">
身材
</t>
    </r>
    <r>
      <rPr>
        <sz val="11"/>
        <rFont val="等线"/>
        <charset val="134"/>
      </rPr>
      <t>陆梓豪似乎是班上最胖的人。</t>
    </r>
    <r>
      <rPr>
        <sz val="11"/>
        <rFont val="黑体"/>
        <charset val="134"/>
      </rPr>
      <t xml:space="preserve">
手机
</t>
    </r>
    <r>
      <rPr>
        <sz val="11"/>
        <rFont val="等线"/>
        <charset val="134"/>
      </rPr>
      <t>陆梓豪自己说过，自己天天都玩手机。据说他在周一到周五时，平均每日使用手机8小时，只要在22：30前都能用；而节假日使用时间更是长达15小时，即在23：30前都能用他甚至还说自己“有些游戏是因为有奖励才去打的”。
他还说，即使天天玩手机，他的视力还保持在左眼5.2；右眼5.0。
到了期末，当同学们说陆梓豪（玩手机时间长）时，他却急忙否认，还说自己30000天没碰手机了（约82年）。</t>
    </r>
    <r>
      <rPr>
        <sz val="11"/>
        <rFont val="黑体"/>
        <charset val="134"/>
      </rPr>
      <t xml:space="preserve">
历史
</t>
    </r>
    <r>
      <rPr>
        <sz val="11"/>
        <rFont val="等线"/>
        <charset val="134"/>
      </rPr>
      <t xml:space="preserve">陆梓豪极其喜欢历史，且证据极多，如：
</t>
    </r>
    <r>
      <rPr>
        <sz val="11"/>
        <rFont val="华文仿宋"/>
        <charset val="134"/>
      </rPr>
      <t>在入学第一天介绍时说自己喜欢学历史
历史课前经常帮廖成羲检查历史作业
历史课上积极回答问题
听到占历史课的消息时经常抱怨</t>
    </r>
    <r>
      <rPr>
        <sz val="11"/>
        <rFont val="黑体"/>
        <charset val="134"/>
      </rPr>
      <t xml:space="preserve">
眼镜
</t>
    </r>
    <r>
      <rPr>
        <sz val="11"/>
        <rFont val="等线"/>
        <charset val="134"/>
      </rPr>
      <t>陆梓豪喜欢戴别人的眼镜。</t>
    </r>
  </si>
  <si>
    <t>她每天早上常抄陆梓豪作业，每天自愿去室外包干区值日。</t>
  </si>
  <si>
    <r>
      <rPr>
        <sz val="11"/>
        <rFont val="等线"/>
        <charset val="134"/>
      </rPr>
      <t>七上时，唐家祺说：“梦妍比较狡猾。”是有根据的。重测时，她可能会用“雕版印刷术”，即准备两张英语作业纸，在上面那一张上写出小测答案，重测时即可通过产生的压痕来投机取巧。抄词时，会用黑笔抄一些、红笔抄一些，装作是订正。
同时，她喜欢和一些女生抢别人东西（笔盒/袋子/书包）。
据她所述，六年级时她都不写数学丛书，每天都在早读课上抄。而到了初中也有类似的习惯，即在早读前做小绿、小粉等作业，在第一节课补英语作业本中的单词和词组。她画依据也投机取巧，一般都画提示的内容和横线两边的内容。
她曾做过小抄（如政治）。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李梦妍喜欢画粑粑（有手有脚有眼睛）。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李梦妍与江雨晴、郭沁诗、林芷琪等人关系好（据她说是自己的“人脉”），会互抄作业、玩游戏、聊八卦等。聊八卦时遇到好笑的东西便会拍桌子大笑。但与她关系最好的是曾好，经常能看到她们两人一起走。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李梦妍关注自己的外貌，笔袋里有一面镜子和一把梳子，经常拿来用。她还有护手霜、天天穿增高鞋。
李梦妍喜欢说：“傻子吧！”</t>
    </r>
    <r>
      <rPr>
        <sz val="11"/>
        <rFont val="黑体"/>
        <charset val="134"/>
      </rPr>
      <t xml:space="preserve">
</t>
    </r>
    <r>
      <rPr>
        <sz val="11"/>
        <rFont val="等线"/>
        <charset val="134"/>
      </rPr>
      <t>李梦妍有很多梗。如她曾把叶弘毅的橙色订书机说成绿色、把五棱柱说成六棱柱，不知道盆地等。
李梦妍有很多数字：第一次月考总分198，第一次月考数学35，七下期中考数学18.5（她还想写纸条让知情人保密），第一次期中段排705。</t>
    </r>
  </si>
  <si>
    <r>
      <rPr>
        <sz val="11"/>
        <rFont val="黑体"/>
        <charset val="134"/>
      </rPr>
      <t xml:space="preserve">杂技
</t>
    </r>
    <r>
      <rPr>
        <sz val="11"/>
        <rFont val="等线"/>
        <charset val="134"/>
      </rPr>
      <t>说起蒲林豪的“看家本领”，其实早在正式上课的第二周便已出现。当时正值午休时分，讲台上也没有老师，于是蒲林豪就将自己的一只脚架在脖子（后脑勺）后面，引起一片起哄。后来到了体育课时，这项技能更是全新升级，蒲林豪甚至能将两只脚同时架在脖子后面，活像个残疾人。他就在跑道边上展示这项技能，有好几人围观。
有一次，他就跟别人说，自己的这项“技能”是三年级时发现的。
除此之外，蒲林豪还会把裤腿往上拉，并用外套挡住，营造出一种没穿裤子的感觉，被称“穿短裙”“穿短裤”“没穿裤子”“只穿内裤”。</t>
    </r>
    <r>
      <rPr>
        <sz val="11"/>
        <rFont val="黑体"/>
        <charset val="134"/>
      </rPr>
      <t xml:space="preserve">
文件袋
</t>
    </r>
    <r>
      <rPr>
        <sz val="11"/>
        <rFont val="等线"/>
        <charset val="134"/>
      </rPr>
      <t>蒲林豪喜欢把文件袋放到腿上。</t>
    </r>
    <r>
      <rPr>
        <sz val="11"/>
        <rFont val="黑体"/>
        <charset val="134"/>
      </rPr>
      <t xml:space="preserve">
口水</t>
    </r>
    <r>
      <rPr>
        <sz val="11"/>
        <rFont val="等线"/>
        <charset val="134"/>
      </rPr>
      <t xml:space="preserve">
蒲林豪睡觉经常流口水。一次午休结束后，蒲林豪仍在睡觉。当同学们靠近他时，发现蒲林豪的口水流到了手臂（甚至桌布）上，于是全班大笑。有一个人便把勺子放到他的嘴下方接口水，甚至把勺子塞进蒲林豪的嘴里，蒲林豪竟然没有反应。当他醒来时的反应可想而知。</t>
    </r>
  </si>
  <si>
    <t>蒲林豪喜欢在笔记本上画画，并且画得还有些水平。</t>
  </si>
  <si>
    <t>年/月/日
月
日</t>
  </si>
  <si>
    <t>个数</t>
  </si>
  <si>
    <t>次数</t>
  </si>
  <si>
    <t>午</t>
  </si>
  <si>
    <t>物</t>
  </si>
  <si>
    <t>数</t>
  </si>
  <si>
    <t>政</t>
  </si>
  <si>
    <t>语</t>
  </si>
  <si>
    <t>史</t>
  </si>
  <si>
    <t>地</t>
  </si>
  <si>
    <t>生</t>
  </si>
  <si>
    <t>被请次数</t>
  </si>
  <si>
    <t>数学
请人</t>
  </si>
  <si>
    <t>被请节数</t>
  </si>
  <si>
    <t>刘老师巡课</t>
  </si>
  <si>
    <t>最高连击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</si>
</sst>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8">
    <font>
      <sz val="11"/>
      <name val="宋体"/>
      <charset val="134"/>
    </font>
    <font>
      <sz val="11"/>
      <name val="黑体"/>
      <charset val="134"/>
    </font>
    <font>
      <b/>
      <sz val="11"/>
      <name val="黑体"/>
      <charset val="134"/>
    </font>
    <font>
      <b/>
      <sz val="16"/>
      <name val="黑体"/>
      <charset val="134"/>
    </font>
    <font>
      <sz val="20"/>
      <name val="黑体"/>
      <charset val="134"/>
    </font>
    <font>
      <sz val="10"/>
      <name val="黑体"/>
      <charset val="134"/>
    </font>
    <font>
      <sz val="11"/>
      <color rgb="FF000033"/>
      <name val="等线"/>
      <charset val="134"/>
    </font>
    <font>
      <sz val="11"/>
      <name val="等线"/>
      <charset val="134"/>
    </font>
    <font>
      <sz val="11"/>
      <color theme="9" tint="-0.5"/>
      <name val="等线"/>
      <charset val="134"/>
    </font>
    <font>
      <sz val="11"/>
      <color theme="7" tint="-0.5"/>
      <name val="等线"/>
      <charset val="134"/>
    </font>
    <font>
      <sz val="11"/>
      <color rgb="FF7100AC"/>
      <name val="等线"/>
      <charset val="134"/>
    </font>
    <font>
      <sz val="11"/>
      <color theme="4" tint="-0.5"/>
      <name val="等线"/>
      <charset val="134"/>
    </font>
    <font>
      <sz val="11"/>
      <color theme="3" tint="-0.5"/>
      <name val="宋体"/>
      <charset val="134"/>
    </font>
    <font>
      <sz val="11"/>
      <color theme="5" tint="-0.5"/>
      <name val="黑体"/>
      <charset val="134"/>
    </font>
    <font>
      <sz val="11"/>
      <color theme="8" tint="-0.5"/>
      <name val="黑体"/>
      <charset val="134"/>
    </font>
    <font>
      <sz val="11"/>
      <color theme="3" tint="-0.5"/>
      <name val="黑体"/>
      <charset val="134"/>
    </font>
    <font>
      <sz val="12"/>
      <color theme="4" tint="-0.5"/>
      <name val="黑体"/>
      <charset val="134"/>
    </font>
    <font>
      <sz val="12"/>
      <color theme="5" tint="-0.5"/>
      <name val="黑体"/>
      <charset val="134"/>
    </font>
    <font>
      <sz val="12"/>
      <color theme="7" tint="-0.5"/>
      <name val="黑体"/>
      <charset val="134"/>
    </font>
    <font>
      <sz val="12"/>
      <color theme="6" tint="-0.5"/>
      <name val="黑体"/>
      <charset val="134"/>
    </font>
    <font>
      <sz val="11"/>
      <color theme="4" tint="-0.5"/>
      <name val="黑体"/>
      <charset val="134"/>
    </font>
    <font>
      <sz val="12"/>
      <color theme="9" tint="-0.5"/>
      <name val="黑体"/>
      <charset val="134"/>
    </font>
    <font>
      <sz val="11"/>
      <color theme="3" tint="0.8"/>
      <name val="黑体"/>
      <charset val="134"/>
    </font>
    <font>
      <sz val="12"/>
      <color rgb="FF000000"/>
      <name val="黑体"/>
      <charset val="134"/>
    </font>
    <font>
      <sz val="12"/>
      <color rgb="FF000000"/>
      <name val="华文仿宋"/>
      <charset val="134"/>
    </font>
    <font>
      <sz val="12"/>
      <name val="黑体"/>
      <charset val="134"/>
    </font>
    <font>
      <sz val="12"/>
      <color rgb="FFD9E1F4"/>
      <name val="黑体"/>
      <charset val="134"/>
    </font>
    <font>
      <b/>
      <sz val="12"/>
      <name val="黑体"/>
      <charset val="134"/>
    </font>
    <font>
      <b/>
      <sz val="12"/>
      <color theme="0"/>
      <name val="黑体"/>
      <charset val="134"/>
    </font>
    <font>
      <sz val="11"/>
      <name val="阿里妈妈方圆体 VF Medium"/>
      <charset val="134"/>
    </font>
    <font>
      <sz val="10"/>
      <name val="阿里妈妈方圆体 VF Medium"/>
      <charset val="134"/>
    </font>
    <font>
      <sz val="11"/>
      <color theme="1"/>
      <name val="黑体"/>
      <charset val="134"/>
      <scheme val="minor"/>
    </font>
    <font>
      <u/>
      <sz val="11"/>
      <color rgb="FF0000FF"/>
      <name val="黑体"/>
      <charset val="0"/>
      <scheme val="minor"/>
    </font>
    <font>
      <u/>
      <sz val="11"/>
      <color rgb="FF800080"/>
      <name val="黑体"/>
      <charset val="0"/>
      <scheme val="minor"/>
    </font>
    <font>
      <sz val="11"/>
      <color rgb="FFFF0000"/>
      <name val="黑体"/>
      <charset val="0"/>
      <scheme val="minor"/>
    </font>
    <font>
      <b/>
      <sz val="18"/>
      <color theme="3"/>
      <name val="黑体"/>
      <charset val="134"/>
      <scheme val="minor"/>
    </font>
    <font>
      <i/>
      <sz val="11"/>
      <color rgb="FF7F7F7F"/>
      <name val="黑体"/>
      <charset val="0"/>
      <scheme val="minor"/>
    </font>
    <font>
      <b/>
      <sz val="15"/>
      <color theme="3"/>
      <name val="黑体"/>
      <charset val="134"/>
      <scheme val="minor"/>
    </font>
    <font>
      <b/>
      <sz val="13"/>
      <color theme="3"/>
      <name val="黑体"/>
      <charset val="134"/>
      <scheme val="minor"/>
    </font>
    <font>
      <b/>
      <sz val="11"/>
      <color theme="3"/>
      <name val="黑体"/>
      <charset val="134"/>
      <scheme val="minor"/>
    </font>
    <font>
      <sz val="11"/>
      <color rgb="FF3F3F76"/>
      <name val="黑体"/>
      <charset val="0"/>
      <scheme val="minor"/>
    </font>
    <font>
      <b/>
      <sz val="11"/>
      <color rgb="FF3F3F3F"/>
      <name val="黑体"/>
      <charset val="0"/>
      <scheme val="minor"/>
    </font>
    <font>
      <b/>
      <sz val="11"/>
      <color rgb="FFFA7D00"/>
      <name val="黑体"/>
      <charset val="0"/>
      <scheme val="minor"/>
    </font>
    <font>
      <b/>
      <sz val="11"/>
      <color rgb="FFFFFFFF"/>
      <name val="黑体"/>
      <charset val="0"/>
      <scheme val="minor"/>
    </font>
    <font>
      <sz val="11"/>
      <color rgb="FFFA7D00"/>
      <name val="黑体"/>
      <charset val="0"/>
      <scheme val="minor"/>
    </font>
    <font>
      <b/>
      <sz val="11"/>
      <color theme="1"/>
      <name val="黑体"/>
      <charset val="0"/>
      <scheme val="minor"/>
    </font>
    <font>
      <sz val="11"/>
      <color rgb="FF006100"/>
      <name val="黑体"/>
      <charset val="0"/>
      <scheme val="minor"/>
    </font>
    <font>
      <sz val="11"/>
      <color rgb="FF9C0006"/>
      <name val="黑体"/>
      <charset val="0"/>
      <scheme val="minor"/>
    </font>
    <font>
      <sz val="11"/>
      <color rgb="FF9C6500"/>
      <name val="黑体"/>
      <charset val="0"/>
      <scheme val="minor"/>
    </font>
    <font>
      <sz val="11"/>
      <color theme="0"/>
      <name val="黑体"/>
      <charset val="0"/>
      <scheme val="minor"/>
    </font>
    <font>
      <sz val="11"/>
      <color theme="1"/>
      <name val="黑体"/>
      <charset val="0"/>
      <scheme val="minor"/>
    </font>
    <font>
      <sz val="11"/>
      <color theme="5"/>
      <name val="宋体"/>
      <charset val="134"/>
    </font>
    <font>
      <sz val="11"/>
      <name val="华文仿宋"/>
      <charset val="134"/>
    </font>
    <font>
      <strike/>
      <sz val="11"/>
      <name val="黑体"/>
      <charset val="134"/>
    </font>
    <font>
      <sz val="11"/>
      <name val="黑体"/>
      <charset val="134"/>
      <scheme val="major"/>
    </font>
    <font>
      <sz val="11"/>
      <name val="黑体"/>
      <charset val="134"/>
      <scheme val="minor"/>
    </font>
    <font>
      <sz val="10"/>
      <name val="宋体"/>
      <charset val="134"/>
    </font>
    <font>
      <sz val="10"/>
      <name val="Times New Roman"/>
      <charset val="134"/>
    </font>
  </fonts>
  <fills count="5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5E1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EECDFF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7F7D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5" tint="-0.25"/>
      </top>
      <bottom style="thin">
        <color theme="5" tint="-0.25"/>
      </bottom>
      <diagonal/>
    </border>
    <border>
      <left style="thin">
        <color theme="1"/>
      </left>
      <right style="thin">
        <color theme="1"/>
      </right>
      <top style="thin">
        <color theme="8" tint="-0.5"/>
      </top>
      <bottom style="thin">
        <color theme="8" tint="-0.5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26" borderId="1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7" borderId="20" applyNumberFormat="0" applyAlignment="0" applyProtection="0">
      <alignment vertical="center"/>
    </xf>
    <xf numFmtId="0" fontId="41" fillId="28" borderId="21" applyNumberFormat="0" applyAlignment="0" applyProtection="0">
      <alignment vertical="center"/>
    </xf>
    <xf numFmtId="0" fontId="42" fillId="28" borderId="20" applyNumberFormat="0" applyAlignment="0" applyProtection="0">
      <alignment vertical="center"/>
    </xf>
    <xf numFmtId="0" fontId="43" fillId="29" borderId="22" applyNumberFormat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51" fillId="0" borderId="0">
      <alignment vertical="center"/>
    </xf>
  </cellStyleXfs>
  <cellXfs count="239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5" borderId="4" xfId="0" applyFont="1" applyFill="1" applyBorder="1" applyAlignment="1" applyProtection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top"/>
    </xf>
    <xf numFmtId="0" fontId="2" fillId="2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top"/>
    </xf>
    <xf numFmtId="0" fontId="2" fillId="2" borderId="6" xfId="0" applyNumberFormat="1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 wrapText="1"/>
    </xf>
    <xf numFmtId="0" fontId="1" fillId="5" borderId="2" xfId="0" applyFont="1" applyFill="1" applyBorder="1" applyAlignment="1" applyProtection="1">
      <alignment horizontal="center" vertical="center" wrapText="1"/>
    </xf>
    <xf numFmtId="0" fontId="1" fillId="5" borderId="3" xfId="0" applyFont="1" applyFill="1" applyBorder="1" applyAlignment="1" applyProtection="1">
      <alignment horizontal="center" vertical="center" wrapText="1"/>
    </xf>
    <xf numFmtId="0" fontId="1" fillId="7" borderId="4" xfId="0" applyFont="1" applyFill="1" applyBorder="1" applyAlignment="1" applyProtection="1">
      <alignment horizontal="center" vertical="center"/>
    </xf>
    <xf numFmtId="0" fontId="3" fillId="5" borderId="4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5" borderId="9" xfId="0" applyFont="1" applyFill="1" applyBorder="1" applyAlignment="1" applyProtection="1">
      <alignment horizontal="center" vertical="center" wrapText="1"/>
    </xf>
    <xf numFmtId="0" fontId="3" fillId="5" borderId="10" xfId="0" applyFont="1" applyFill="1" applyBorder="1" applyAlignment="1" applyProtection="1">
      <alignment horizontal="center" vertical="center" wrapText="1"/>
    </xf>
    <xf numFmtId="0" fontId="3" fillId="5" borderId="11" xfId="0" applyFont="1" applyFill="1" applyBorder="1" applyAlignment="1" applyProtection="1">
      <alignment horizontal="center" vertical="center" wrapText="1"/>
    </xf>
    <xf numFmtId="0" fontId="3" fillId="5" borderId="8" xfId="0" applyFont="1" applyFill="1" applyBorder="1" applyAlignment="1" applyProtection="1">
      <alignment horizontal="center" vertical="center" wrapText="1"/>
    </xf>
    <xf numFmtId="0" fontId="3" fillId="5" borderId="12" xfId="0" applyFont="1" applyFill="1" applyBorder="1" applyAlignment="1" applyProtection="1">
      <alignment horizontal="center" vertical="center" wrapText="1"/>
    </xf>
    <xf numFmtId="0" fontId="3" fillId="5" borderId="13" xfId="0" applyFont="1" applyFill="1" applyBorder="1" applyAlignment="1" applyProtection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11" borderId="4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vertical="center" wrapText="1"/>
    </xf>
    <xf numFmtId="0" fontId="7" fillId="10" borderId="4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vertical="center" wrapText="1"/>
    </xf>
    <xf numFmtId="0" fontId="1" fillId="12" borderId="4" xfId="0" applyFont="1" applyFill="1" applyBorder="1" applyAlignment="1">
      <alignment vertical="center" wrapText="1"/>
    </xf>
    <xf numFmtId="0" fontId="1" fillId="13" borderId="4" xfId="0" applyFont="1" applyFill="1" applyBorder="1" applyAlignment="1">
      <alignment vertical="center" wrapText="1"/>
    </xf>
    <xf numFmtId="0" fontId="1" fillId="14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16" borderId="5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9" fillId="16" borderId="7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17" borderId="9" xfId="0" applyFont="1" applyFill="1" applyBorder="1" applyAlignment="1">
      <alignment horizontal="center" vertical="center" wrapText="1"/>
    </xf>
    <xf numFmtId="0" fontId="10" fillId="17" borderId="11" xfId="0" applyFont="1" applyFill="1" applyBorder="1" applyAlignment="1">
      <alignment horizontal="center" vertical="center" wrapText="1"/>
    </xf>
    <xf numFmtId="0" fontId="0" fillId="3" borderId="4" xfId="0" applyFont="1" applyFill="1" applyBorder="1">
      <alignment vertical="center"/>
    </xf>
    <xf numFmtId="0" fontId="0" fillId="11" borderId="4" xfId="0" applyFont="1" applyFill="1" applyBorder="1">
      <alignment vertical="center"/>
    </xf>
    <xf numFmtId="0" fontId="0" fillId="6" borderId="4" xfId="0" applyFont="1" applyFill="1" applyBorder="1">
      <alignment vertical="center"/>
    </xf>
    <xf numFmtId="0" fontId="5" fillId="10" borderId="4" xfId="0" applyFont="1" applyFill="1" applyBorder="1">
      <alignment vertical="center"/>
    </xf>
    <xf numFmtId="0" fontId="5" fillId="19" borderId="4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>
      <alignment vertical="center"/>
    </xf>
    <xf numFmtId="0" fontId="5" fillId="10" borderId="4" xfId="0" applyFont="1" applyFill="1" applyBorder="1" applyAlignment="1">
      <alignment vertical="center" wrapText="1"/>
    </xf>
    <xf numFmtId="0" fontId="12" fillId="0" borderId="3" xfId="0" applyFont="1" applyBorder="1">
      <alignment vertical="center"/>
    </xf>
    <xf numFmtId="0" fontId="13" fillId="10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14" fillId="19" borderId="15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12" borderId="16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left" vertical="center"/>
    </xf>
    <xf numFmtId="0" fontId="1" fillId="0" borderId="4" xfId="0" applyFont="1" applyBorder="1">
      <alignment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6" fillId="20" borderId="4" xfId="0" applyFont="1" applyFill="1" applyBorder="1">
      <alignment vertical="center"/>
    </xf>
    <xf numFmtId="0" fontId="16" fillId="20" borderId="4" xfId="0" applyFont="1" applyFill="1" applyBorder="1" applyAlignment="1">
      <alignment horizontal="center" vertical="center" wrapText="1"/>
    </xf>
    <xf numFmtId="0" fontId="17" fillId="21" borderId="4" xfId="0" applyFont="1" applyFill="1" applyBorder="1" applyAlignment="1">
      <alignment horizontal="center" vertical="center" wrapText="1"/>
    </xf>
    <xf numFmtId="0" fontId="18" fillId="22" borderId="4" xfId="0" applyFont="1" applyFill="1" applyBorder="1" applyAlignment="1">
      <alignment horizontal="center" vertical="center" wrapText="1"/>
    </xf>
    <xf numFmtId="0" fontId="19" fillId="23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6" fillId="20" borderId="4" xfId="0" applyFont="1" applyFill="1" applyBorder="1" applyAlignment="1" applyProtection="1">
      <alignment horizontal="center" vertical="center" wrapText="1"/>
      <protection locked="0"/>
    </xf>
    <xf numFmtId="0" fontId="17" fillId="15" borderId="4" xfId="0" applyFont="1" applyFill="1" applyBorder="1" applyAlignment="1">
      <alignment horizontal="center" vertical="center" wrapText="1"/>
    </xf>
    <xf numFmtId="0" fontId="19" fillId="15" borderId="4" xfId="0" applyFont="1" applyFill="1" applyBorder="1" applyAlignment="1">
      <alignment horizontal="center" vertical="center" wrapText="1"/>
    </xf>
    <xf numFmtId="0" fontId="18" fillId="15" borderId="4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16" xfId="0" applyFont="1" applyBorder="1">
      <alignment vertical="center"/>
    </xf>
    <xf numFmtId="0" fontId="1" fillId="0" borderId="0" xfId="0" applyFont="1" applyBorder="1">
      <alignment vertical="center"/>
    </xf>
    <xf numFmtId="0" fontId="23" fillId="12" borderId="0" xfId="0" applyFont="1" applyFill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0" fontId="23" fillId="18" borderId="12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7" fillId="0" borderId="4" xfId="0" applyFont="1" applyBorder="1" applyAlignment="1" applyProtection="1">
      <alignment horizontal="center" vertical="center"/>
      <protection locked="0"/>
    </xf>
    <xf numFmtId="0" fontId="1" fillId="5" borderId="4" xfId="0" applyFont="1" applyFill="1" applyBorder="1" applyAlignment="1">
      <alignment vertical="center" wrapText="1"/>
    </xf>
    <xf numFmtId="0" fontId="28" fillId="25" borderId="4" xfId="0" applyFont="1" applyFill="1" applyBorder="1" applyAlignment="1" applyProtection="1">
      <alignment horizontal="center" vertical="center" wrapText="1"/>
      <protection locked="0"/>
    </xf>
    <xf numFmtId="0" fontId="1" fillId="5" borderId="4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3" borderId="4" xfId="0" applyFont="1" applyFill="1" applyBorder="1" applyAlignment="1">
      <alignment vertical="center"/>
    </xf>
    <xf numFmtId="0" fontId="0" fillId="0" borderId="4" xfId="0" applyBorder="1">
      <alignment vertical="center"/>
    </xf>
    <xf numFmtId="0" fontId="5" fillId="19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left" vertical="center" wrapText="1"/>
    </xf>
    <xf numFmtId="0" fontId="29" fillId="6" borderId="4" xfId="0" applyFont="1" applyFill="1" applyBorder="1" applyAlignment="1">
      <alignment vertical="center" wrapText="1"/>
    </xf>
    <xf numFmtId="0" fontId="30" fillId="15" borderId="4" xfId="0" applyFont="1" applyFill="1" applyBorder="1" applyAlignment="1">
      <alignment horizontal="center" vertical="center" wrapText="1"/>
    </xf>
    <xf numFmtId="0" fontId="30" fillId="13" borderId="4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left" vertical="center" wrapText="1"/>
    </xf>
    <xf numFmtId="0" fontId="30" fillId="10" borderId="4" xfId="0" applyFont="1" applyFill="1" applyBorder="1" applyAlignment="1">
      <alignment vertical="center" wrapText="1"/>
    </xf>
    <xf numFmtId="0" fontId="30" fillId="9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5E1FF"/>
      <color rgb="007100AC"/>
      <color rgb="00EECD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1:L61"/>
  <sheetViews>
    <sheetView tabSelected="1" zoomScale="70" zoomScaleNormal="70" topLeftCell="A53" workbookViewId="0">
      <selection activeCell="G73" sqref="G73"/>
    </sheetView>
  </sheetViews>
  <sheetFormatPr defaultColWidth="8.72727272727273" defaultRowHeight="14"/>
  <cols>
    <col min="1" max="1" width="7.59090909090909" style="229" customWidth="1"/>
    <col min="2" max="7" width="25.8727272727273" style="230" customWidth="1"/>
    <col min="8" max="10" width="16.6818181818182" style="231" customWidth="1"/>
    <col min="11" max="11" width="19.6090909090909" style="228" customWidth="1"/>
    <col min="12" max="12" width="17.9181818181818" style="228" customWidth="1"/>
    <col min="13" max="16384" width="8.72727272727273" style="228"/>
  </cols>
  <sheetData>
    <row r="1" s="227" customFormat="1" spans="1:10">
      <c r="A1" s="232" t="s">
        <v>0</v>
      </c>
      <c r="B1" s="233" t="s">
        <v>1</v>
      </c>
      <c r="C1" s="233" t="s">
        <v>2</v>
      </c>
      <c r="D1" s="233" t="s">
        <v>3</v>
      </c>
      <c r="E1" s="233" t="s">
        <v>4</v>
      </c>
      <c r="F1" s="233" t="s">
        <v>5</v>
      </c>
      <c r="G1" s="233" t="s">
        <v>6</v>
      </c>
      <c r="H1" s="234"/>
      <c r="I1" s="234"/>
      <c r="J1" s="234"/>
    </row>
    <row r="2" spans="1:10">
      <c r="A2" s="235" t="s">
        <v>7</v>
      </c>
      <c r="B2" s="230" t="s">
        <v>8</v>
      </c>
      <c r="C2" s="230" t="s">
        <v>9</v>
      </c>
    </row>
    <row r="3" ht="52" spans="1:10">
      <c r="A3" s="235" t="s">
        <v>10</v>
      </c>
      <c r="C3" s="230" t="s">
        <v>11</v>
      </c>
      <c r="D3" s="230" t="s">
        <v>12</v>
      </c>
    </row>
    <row r="4" ht="26" spans="1:10">
      <c r="A4" s="235" t="s">
        <v>13</v>
      </c>
      <c r="D4" s="230" t="s">
        <v>14</v>
      </c>
    </row>
    <row r="5" ht="70" spans="1:10">
      <c r="A5" s="235" t="s">
        <v>15</v>
      </c>
      <c r="C5" s="230" t="s">
        <v>16</v>
      </c>
      <c r="D5" s="230" t="s">
        <v>17</v>
      </c>
      <c r="H5" s="231" t="s">
        <v>18</v>
      </c>
    </row>
    <row r="6" spans="1:10">
      <c r="A6" s="235" t="s">
        <v>19</v>
      </c>
      <c r="C6" s="230" t="s">
        <v>20</v>
      </c>
    </row>
    <row r="7" ht="221" spans="1:10">
      <c r="A7" s="235" t="s">
        <v>21</v>
      </c>
      <c r="B7" s="230" t="s">
        <v>22</v>
      </c>
      <c r="C7" s="230" t="s">
        <v>23</v>
      </c>
      <c r="D7" s="230" t="s">
        <v>24</v>
      </c>
    </row>
    <row r="8" ht="26" spans="1:10">
      <c r="A8" s="235" t="s">
        <v>25</v>
      </c>
      <c r="D8" s="230" t="s">
        <v>26</v>
      </c>
    </row>
    <row r="9" spans="1:10">
      <c r="A9" s="235" t="s">
        <v>27</v>
      </c>
    </row>
    <row r="10" spans="1:10">
      <c r="A10" s="235" t="s">
        <v>28</v>
      </c>
      <c r="B10" s="230" t="s">
        <v>29</v>
      </c>
    </row>
    <row r="11" spans="1:10">
      <c r="A11" s="235" t="s">
        <v>30</v>
      </c>
    </row>
    <row r="12" spans="1:10">
      <c r="A12" s="235" t="s">
        <v>31</v>
      </c>
      <c r="E12" s="230" t="s">
        <v>32</v>
      </c>
    </row>
    <row r="13" ht="39" spans="1:10">
      <c r="A13" s="235" t="s">
        <v>33</v>
      </c>
      <c r="D13" s="230" t="s">
        <v>34</v>
      </c>
      <c r="F13" s="230" t="s">
        <v>35</v>
      </c>
    </row>
    <row r="14" spans="1:10">
      <c r="A14" s="235" t="s">
        <v>36</v>
      </c>
      <c r="B14" s="230" t="s">
        <v>37</v>
      </c>
    </row>
    <row r="15" spans="1:10">
      <c r="A15" s="235" t="s">
        <v>38</v>
      </c>
    </row>
    <row r="16" ht="56" spans="1:10">
      <c r="A16" s="235" t="s">
        <v>39</v>
      </c>
      <c r="B16" s="230" t="s">
        <v>40</v>
      </c>
      <c r="C16" s="230" t="s">
        <v>41</v>
      </c>
      <c r="H16" s="231" t="s">
        <v>42</v>
      </c>
    </row>
    <row r="17" ht="26" spans="1:8">
      <c r="A17" s="235" t="s">
        <v>43</v>
      </c>
      <c r="C17" s="230" t="s">
        <v>44</v>
      </c>
    </row>
    <row r="18" spans="1:8">
      <c r="A18" s="235" t="s">
        <v>45</v>
      </c>
      <c r="D18" s="230" t="s">
        <v>46</v>
      </c>
    </row>
    <row r="19" ht="42" spans="1:8">
      <c r="A19" s="235" t="s">
        <v>47</v>
      </c>
      <c r="D19" s="230" t="s">
        <v>48</v>
      </c>
      <c r="E19" s="230" t="s">
        <v>32</v>
      </c>
      <c r="H19" s="231" t="s">
        <v>49</v>
      </c>
    </row>
    <row r="20" ht="26" spans="1:8">
      <c r="A20" s="235" t="s">
        <v>50</v>
      </c>
      <c r="B20" s="230" t="s">
        <v>51</v>
      </c>
      <c r="C20" s="230" t="s">
        <v>52</v>
      </c>
    </row>
    <row r="21" ht="52" spans="1:8">
      <c r="A21" s="235" t="s">
        <v>53</v>
      </c>
      <c r="B21" s="230" t="s">
        <v>54</v>
      </c>
      <c r="C21" s="230" t="s">
        <v>55</v>
      </c>
      <c r="D21" s="230" t="s">
        <v>56</v>
      </c>
      <c r="E21" s="230" t="s">
        <v>57</v>
      </c>
    </row>
    <row r="22" spans="1:8">
      <c r="A22" s="235" t="s">
        <v>58</v>
      </c>
    </row>
    <row r="23" ht="84" spans="1:8">
      <c r="A23" s="235" t="s">
        <v>59</v>
      </c>
      <c r="B23" s="230" t="s">
        <v>60</v>
      </c>
      <c r="E23" s="230" t="s">
        <v>61</v>
      </c>
      <c r="H23" s="231" t="s">
        <v>62</v>
      </c>
    </row>
    <row r="24" ht="52" spans="1:8">
      <c r="A24" s="235" t="s">
        <v>63</v>
      </c>
      <c r="B24" s="230" t="s">
        <v>64</v>
      </c>
      <c r="C24" s="230" t="s">
        <v>65</v>
      </c>
      <c r="D24" s="230" t="s">
        <v>66</v>
      </c>
      <c r="E24" s="230" t="s">
        <v>67</v>
      </c>
    </row>
    <row r="25" spans="1:8">
      <c r="A25" s="235" t="s">
        <v>68</v>
      </c>
    </row>
    <row r="26" spans="1:8">
      <c r="A26" s="235" t="s">
        <v>69</v>
      </c>
    </row>
    <row r="27" spans="1:8">
      <c r="A27" s="235" t="s">
        <v>70</v>
      </c>
      <c r="B27" s="230" t="s">
        <v>71</v>
      </c>
      <c r="C27" s="230" t="s">
        <v>72</v>
      </c>
      <c r="E27" s="230" t="s">
        <v>73</v>
      </c>
    </row>
    <row r="28" ht="91" spans="1:8">
      <c r="A28" s="235" t="s">
        <v>74</v>
      </c>
      <c r="B28" s="230" t="s">
        <v>75</v>
      </c>
      <c r="C28" s="230" t="s">
        <v>76</v>
      </c>
      <c r="D28" s="230" t="s">
        <v>77</v>
      </c>
      <c r="E28" s="230" t="s">
        <v>78</v>
      </c>
    </row>
    <row r="29" ht="42" spans="1:8">
      <c r="A29" s="235" t="s">
        <v>79</v>
      </c>
      <c r="E29" s="230" t="s">
        <v>80</v>
      </c>
      <c r="H29" s="231" t="s">
        <v>81</v>
      </c>
    </row>
    <row r="30" spans="1:8">
      <c r="A30" s="235" t="s">
        <v>82</v>
      </c>
      <c r="B30" s="230" t="s">
        <v>83</v>
      </c>
      <c r="C30" s="230" t="s">
        <v>84</v>
      </c>
    </row>
    <row r="31" spans="1:8">
      <c r="A31" s="235" t="s">
        <v>85</v>
      </c>
    </row>
    <row r="32" spans="1:8">
      <c r="A32" s="235" t="s">
        <v>86</v>
      </c>
    </row>
    <row r="33" spans="1:12">
      <c r="A33" s="235" t="s">
        <v>87</v>
      </c>
    </row>
    <row r="34" spans="1:12">
      <c r="A34" s="235" t="s">
        <v>88</v>
      </c>
    </row>
    <row r="35" spans="1:12">
      <c r="A35" s="235" t="s">
        <v>89</v>
      </c>
    </row>
    <row r="36" spans="1:12">
      <c r="A36" s="235" t="s">
        <v>90</v>
      </c>
      <c r="B36" s="230" t="s">
        <v>91</v>
      </c>
    </row>
    <row r="37" ht="26" spans="1:12">
      <c r="A37" s="235" t="s">
        <v>92</v>
      </c>
      <c r="C37" s="230" t="s">
        <v>93</v>
      </c>
      <c r="D37" s="230" t="s">
        <v>94</v>
      </c>
    </row>
    <row r="38" spans="1:12">
      <c r="A38" s="235" t="s">
        <v>95</v>
      </c>
      <c r="B38" s="230" t="s">
        <v>96</v>
      </c>
      <c r="C38" s="236"/>
      <c r="D38" s="236"/>
      <c r="E38" s="236"/>
      <c r="F38" s="236"/>
      <c r="G38" s="236"/>
    </row>
    <row r="39" ht="26" spans="1:12">
      <c r="A39" s="235" t="s">
        <v>97</v>
      </c>
      <c r="C39" s="230" t="s">
        <v>98</v>
      </c>
      <c r="D39" s="230" t="s">
        <v>99</v>
      </c>
      <c r="E39" s="230" t="s">
        <v>100</v>
      </c>
    </row>
    <row r="40" ht="252" spans="1:12">
      <c r="A40" s="235" t="s">
        <v>101</v>
      </c>
      <c r="B40" s="230" t="s">
        <v>102</v>
      </c>
      <c r="C40" s="230" t="s">
        <v>103</v>
      </c>
      <c r="D40" s="230" t="s">
        <v>104</v>
      </c>
      <c r="F40" s="230" t="s">
        <v>105</v>
      </c>
      <c r="H40" s="231" t="s">
        <v>106</v>
      </c>
      <c r="I40" s="231" t="s">
        <v>107</v>
      </c>
    </row>
    <row r="41" s="228" customFormat="1" ht="208" spans="1:12">
      <c r="A41" s="235" t="s">
        <v>108</v>
      </c>
      <c r="B41" s="230"/>
      <c r="C41" s="230" t="s">
        <v>109</v>
      </c>
      <c r="D41" s="230" t="s">
        <v>110</v>
      </c>
      <c r="E41" s="230" t="s">
        <v>111</v>
      </c>
      <c r="F41" s="230"/>
      <c r="G41" s="230"/>
      <c r="H41" s="231" t="s">
        <v>112</v>
      </c>
      <c r="I41" s="231" t="s">
        <v>113</v>
      </c>
      <c r="J41" s="231" t="s">
        <v>114</v>
      </c>
      <c r="K41" s="228" t="s">
        <v>115</v>
      </c>
      <c r="L41" s="228" t="s">
        <v>116</v>
      </c>
    </row>
    <row r="42" spans="1:12">
      <c r="A42" s="235" t="s">
        <v>117</v>
      </c>
    </row>
    <row r="43" ht="28" spans="1:12">
      <c r="A43" s="235" t="s">
        <v>118</v>
      </c>
      <c r="B43" s="230" t="s">
        <v>119</v>
      </c>
      <c r="E43" s="230" t="s">
        <v>120</v>
      </c>
      <c r="H43" s="231" t="s">
        <v>121</v>
      </c>
    </row>
    <row r="44" ht="26" spans="1:12">
      <c r="A44" s="235" t="s">
        <v>122</v>
      </c>
      <c r="B44" s="230" t="s">
        <v>123</v>
      </c>
    </row>
    <row r="45" ht="26" spans="1:12">
      <c r="A45" s="235" t="s">
        <v>124</v>
      </c>
      <c r="C45" s="230" t="s">
        <v>125</v>
      </c>
      <c r="D45" s="230" t="s">
        <v>126</v>
      </c>
      <c r="E45" s="230" t="s">
        <v>127</v>
      </c>
    </row>
    <row r="46" spans="1:12">
      <c r="A46" s="235" t="s">
        <v>128</v>
      </c>
    </row>
    <row r="47" spans="1:12">
      <c r="A47" s="235" t="s">
        <v>129</v>
      </c>
      <c r="D47" s="230" t="s">
        <v>130</v>
      </c>
    </row>
    <row r="48" ht="42" spans="1:12">
      <c r="A48" s="235" t="s">
        <v>131</v>
      </c>
      <c r="C48" s="230" t="s">
        <v>132</v>
      </c>
      <c r="D48" s="230" t="s">
        <v>133</v>
      </c>
      <c r="H48" s="231" t="s">
        <v>134</v>
      </c>
    </row>
    <row r="49" spans="1:7">
      <c r="A49" s="235" t="s">
        <v>135</v>
      </c>
      <c r="E49" s="230" t="s">
        <v>136</v>
      </c>
    </row>
    <row r="50" ht="78" spans="1:7">
      <c r="A50" s="235" t="s">
        <v>137</v>
      </c>
      <c r="C50" s="230" t="s">
        <v>138</v>
      </c>
    </row>
    <row r="51" spans="1:7">
      <c r="A51" s="235" t="s">
        <v>139</v>
      </c>
    </row>
    <row r="52" ht="26" spans="1:7">
      <c r="A52" s="235" t="s">
        <v>140</v>
      </c>
      <c r="B52" s="230" t="s">
        <v>141</v>
      </c>
      <c r="C52" s="230" t="s">
        <v>142</v>
      </c>
      <c r="E52" s="230" t="s">
        <v>143</v>
      </c>
    </row>
    <row r="53" ht="65" spans="1:7">
      <c r="A53" s="229" t="s">
        <v>144</v>
      </c>
      <c r="B53" s="237" t="s">
        <v>145</v>
      </c>
      <c r="C53" s="237"/>
      <c r="D53" s="230" t="s">
        <v>146</v>
      </c>
    </row>
    <row r="54" ht="117" spans="1:7">
      <c r="A54" s="229" t="s">
        <v>147</v>
      </c>
      <c r="B54" s="237" t="s">
        <v>148</v>
      </c>
      <c r="C54" s="237" t="s">
        <v>149</v>
      </c>
      <c r="D54" s="230" t="s">
        <v>150</v>
      </c>
    </row>
    <row r="55" ht="52" spans="1:7">
      <c r="A55" s="229" t="s">
        <v>151</v>
      </c>
      <c r="B55" s="236" t="s">
        <v>152</v>
      </c>
      <c r="C55" s="236"/>
      <c r="D55" s="230" t="s">
        <v>153</v>
      </c>
    </row>
    <row r="56" spans="1:7">
      <c r="A56" s="229" t="s">
        <v>154</v>
      </c>
      <c r="B56" s="237" t="s">
        <v>155</v>
      </c>
      <c r="C56" s="237"/>
      <c r="D56" s="236"/>
      <c r="E56" s="236"/>
      <c r="F56" s="236"/>
      <c r="G56" s="236"/>
    </row>
    <row r="57" ht="52" spans="1:7">
      <c r="A57" s="229" t="s">
        <v>156</v>
      </c>
      <c r="B57" s="236"/>
      <c r="C57" s="236"/>
      <c r="D57" s="230" t="s">
        <v>157</v>
      </c>
      <c r="E57" s="230" t="s">
        <v>158</v>
      </c>
    </row>
    <row r="58" ht="78" spans="1:7">
      <c r="A58" s="229" t="s">
        <v>159</v>
      </c>
      <c r="B58" s="236"/>
      <c r="C58" s="236"/>
      <c r="D58" s="230" t="s">
        <v>160</v>
      </c>
    </row>
    <row r="59" spans="1:7">
      <c r="A59" s="229" t="s">
        <v>161</v>
      </c>
      <c r="B59" s="237" t="s">
        <v>162</v>
      </c>
      <c r="C59" s="237"/>
    </row>
    <row r="60" spans="1:7">
      <c r="A60" s="229" t="s">
        <v>163</v>
      </c>
      <c r="B60" s="237"/>
      <c r="C60" s="237"/>
    </row>
    <row r="61" ht="26" spans="1:7">
      <c r="A61" s="238" t="s">
        <v>164</v>
      </c>
      <c r="B61" s="230" t="s">
        <v>165</v>
      </c>
    </row>
  </sheetData>
  <mergeCells count="4">
    <mergeCell ref="C38:G38"/>
    <mergeCell ref="B55:C55"/>
    <mergeCell ref="B57:C57"/>
    <mergeCell ref="B58:C58"/>
  </mergeCells>
  <conditionalFormatting sqref="A1">
    <cfRule type="duplicateValues" dxfId="0" priority="2"/>
  </conditionalFormatting>
  <conditionalFormatting sqref="A2:A52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G51"/>
  <sheetViews>
    <sheetView zoomScale="175" zoomScaleNormal="175" topLeftCell="A10" workbookViewId="0">
      <selection activeCell="B23" sqref="B23"/>
    </sheetView>
  </sheetViews>
  <sheetFormatPr defaultColWidth="8.72727272727273" defaultRowHeight="14" outlineLevelCol="6"/>
  <cols>
    <col min="1" max="1" width="6.64545454545455" style="222" customWidth="1"/>
    <col min="2" max="2" width="32.6181818181818" style="105" customWidth="1"/>
    <col min="3" max="7" width="16.4909090909091" style="105" customWidth="1"/>
    <col min="8" max="16384" width="8.72727272727273" style="223"/>
  </cols>
  <sheetData>
    <row r="1" spans="1:7">
      <c r="A1" s="224"/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09" t="s">
        <v>6</v>
      </c>
    </row>
    <row r="2" s="221" customFormat="1" ht="39" spans="1:7">
      <c r="A2" s="225" t="s">
        <v>166</v>
      </c>
      <c r="B2" s="117"/>
      <c r="C2" s="117"/>
      <c r="D2" s="117" t="s">
        <v>167</v>
      </c>
      <c r="E2" s="117"/>
      <c r="F2" s="117"/>
      <c r="G2" s="117"/>
    </row>
    <row r="3" spans="1:7">
      <c r="A3" s="226" t="s">
        <v>168</v>
      </c>
      <c r="C3" s="105" t="s">
        <v>169</v>
      </c>
    </row>
    <row r="4" spans="1:7">
      <c r="A4" s="226" t="s">
        <v>170</v>
      </c>
      <c r="B4" s="105" t="s">
        <v>171</v>
      </c>
      <c r="D4" s="105" t="s">
        <v>172</v>
      </c>
    </row>
    <row r="5" spans="1:7">
      <c r="A5" s="226" t="s">
        <v>173</v>
      </c>
      <c r="C5" s="105" t="s">
        <v>174</v>
      </c>
      <c r="D5" s="105" t="s">
        <v>175</v>
      </c>
    </row>
    <row r="6" spans="1:7">
      <c r="A6" s="226" t="s">
        <v>176</v>
      </c>
      <c r="B6" s="105" t="s">
        <v>177</v>
      </c>
      <c r="D6" s="105" t="s">
        <v>178</v>
      </c>
    </row>
    <row r="7" spans="1:7">
      <c r="A7" s="226" t="s">
        <v>179</v>
      </c>
      <c r="B7" s="105" t="s">
        <v>180</v>
      </c>
    </row>
    <row r="8" spans="1:7">
      <c r="A8" s="226"/>
      <c r="D8" s="105" t="s">
        <v>181</v>
      </c>
    </row>
    <row r="9" spans="1:7">
      <c r="A9" s="226"/>
    </row>
    <row r="10" spans="1:7">
      <c r="A10" s="226"/>
      <c r="B10" s="105" t="s">
        <v>182</v>
      </c>
    </row>
    <row r="11" spans="1:7">
      <c r="A11" s="226"/>
    </row>
    <row r="12" spans="1:7">
      <c r="A12" s="226"/>
      <c r="B12" s="105" t="s">
        <v>183</v>
      </c>
    </row>
    <row r="13" spans="1:7">
      <c r="A13" s="226"/>
      <c r="B13" s="105" t="s">
        <v>184</v>
      </c>
    </row>
    <row r="14" spans="1:7">
      <c r="A14" s="226"/>
      <c r="B14" s="105" t="s">
        <v>185</v>
      </c>
    </row>
    <row r="15" spans="1:7">
      <c r="A15" s="226"/>
      <c r="B15" s="105" t="s">
        <v>186</v>
      </c>
    </row>
    <row r="16" spans="1:7">
      <c r="A16" s="226"/>
      <c r="B16" s="105" t="s">
        <v>187</v>
      </c>
    </row>
    <row r="17" spans="1:2">
      <c r="A17" s="226"/>
      <c r="B17" s="105" t="s">
        <v>188</v>
      </c>
    </row>
    <row r="18" spans="1:2">
      <c r="A18" s="226"/>
      <c r="B18" s="105" t="s">
        <v>189</v>
      </c>
    </row>
    <row r="19" ht="26" spans="1:2">
      <c r="A19" s="226"/>
      <c r="B19" s="117" t="s">
        <v>190</v>
      </c>
    </row>
    <row r="20" spans="1:2">
      <c r="A20" s="226"/>
      <c r="B20" s="105" t="s">
        <v>191</v>
      </c>
    </row>
    <row r="21" spans="1:2">
      <c r="A21" s="226"/>
      <c r="B21" s="105" t="s">
        <v>192</v>
      </c>
    </row>
    <row r="22" spans="1:2">
      <c r="A22" s="226"/>
      <c r="B22" s="105" t="s">
        <v>193</v>
      </c>
    </row>
    <row r="23" spans="1:2">
      <c r="A23" s="226"/>
      <c r="B23" s="105" t="s">
        <v>194</v>
      </c>
    </row>
    <row r="24" spans="1:2">
      <c r="A24" s="226"/>
      <c r="B24" s="105" t="s">
        <v>195</v>
      </c>
    </row>
    <row r="25" spans="1:2">
      <c r="A25" s="226"/>
    </row>
    <row r="26" spans="1:2">
      <c r="A26" s="226"/>
    </row>
    <row r="27" spans="1:2">
      <c r="A27" s="226"/>
    </row>
    <row r="28" spans="1:2">
      <c r="A28" s="226"/>
    </row>
    <row r="29" spans="1:2">
      <c r="A29" s="226"/>
    </row>
    <row r="30" spans="1:2">
      <c r="A30" s="226"/>
    </row>
    <row r="31" spans="1:2">
      <c r="A31" s="226"/>
    </row>
    <row r="32" spans="1:2">
      <c r="A32" s="226"/>
    </row>
    <row r="33" spans="1:7">
      <c r="A33" s="226"/>
    </row>
    <row r="34" spans="1:7">
      <c r="A34" s="226"/>
    </row>
    <row r="35" spans="1:7">
      <c r="A35" s="226"/>
    </row>
    <row r="36" spans="1:7">
      <c r="A36" s="226"/>
    </row>
    <row r="37" spans="1:7">
      <c r="A37" s="226"/>
    </row>
    <row r="38" spans="1:7">
      <c r="A38" s="226"/>
      <c r="B38" s="117"/>
      <c r="C38" s="117"/>
      <c r="D38" s="117"/>
      <c r="E38" s="117"/>
      <c r="F38" s="117"/>
      <c r="G38" s="117"/>
    </row>
    <row r="39" spans="1:7">
      <c r="A39" s="226"/>
      <c r="B39" s="117"/>
      <c r="C39" s="117"/>
      <c r="D39" s="117"/>
      <c r="E39" s="117"/>
      <c r="F39" s="117"/>
      <c r="G39" s="117"/>
    </row>
    <row r="40" spans="1:7">
      <c r="A40" s="226"/>
    </row>
    <row r="41" spans="1:7">
      <c r="A41" s="226"/>
    </row>
    <row r="42" spans="1:7">
      <c r="A42" s="226"/>
    </row>
    <row r="43" spans="1:7">
      <c r="A43" s="226"/>
    </row>
    <row r="44" spans="1:7">
      <c r="A44" s="226"/>
    </row>
    <row r="45" spans="1:7">
      <c r="A45" s="226"/>
    </row>
    <row r="46" spans="1:7">
      <c r="A46" s="226"/>
    </row>
    <row r="47" spans="1:7">
      <c r="A47" s="226"/>
    </row>
    <row r="48" spans="1:7">
      <c r="A48" s="226"/>
    </row>
    <row r="49" spans="1:1">
      <c r="A49" s="226"/>
    </row>
    <row r="50" spans="1:1">
      <c r="A50" s="226"/>
    </row>
    <row r="51" spans="1:1">
      <c r="A51" s="22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C77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8.72727272727273" defaultRowHeight="14" outlineLevelCol="2"/>
  <cols>
    <col min="1" max="1" width="24" style="213" customWidth="1"/>
    <col min="2" max="2" width="10.6363636363636" style="213" customWidth="1"/>
    <col min="3" max="3" width="91.3636363636364" style="213" customWidth="1"/>
    <col min="4" max="16384" width="8.72727272727273" style="131"/>
  </cols>
  <sheetData>
    <row r="1" s="212" customFormat="1" ht="15" spans="1:3">
      <c r="A1" s="214" t="s">
        <v>196</v>
      </c>
      <c r="B1" s="214" t="s">
        <v>197</v>
      </c>
      <c r="C1" s="214" t="s">
        <v>198</v>
      </c>
    </row>
    <row r="2" spans="1:3">
      <c r="A2" s="215" t="s">
        <v>199</v>
      </c>
      <c r="B2" s="215" t="s">
        <v>200</v>
      </c>
      <c r="C2" s="215" t="s">
        <v>201</v>
      </c>
    </row>
    <row r="3" spans="1:3">
      <c r="A3" s="216" t="s">
        <v>21</v>
      </c>
      <c r="B3" s="215" t="s">
        <v>202</v>
      </c>
      <c r="C3" s="215" t="s">
        <v>203</v>
      </c>
    </row>
    <row r="4" spans="1:3">
      <c r="A4" s="217"/>
      <c r="B4" s="215" t="s">
        <v>204</v>
      </c>
      <c r="C4" s="215" t="s">
        <v>205</v>
      </c>
    </row>
    <row r="5" ht="28" spans="1:3">
      <c r="A5" s="218" t="s">
        <v>206</v>
      </c>
      <c r="B5" s="215" t="s">
        <v>207</v>
      </c>
      <c r="C5" s="215" t="s">
        <v>208</v>
      </c>
    </row>
    <row r="6" spans="1:3">
      <c r="A6" s="219" t="s">
        <v>108</v>
      </c>
      <c r="B6" s="215" t="s">
        <v>209</v>
      </c>
      <c r="C6" s="215" t="s">
        <v>210</v>
      </c>
    </row>
    <row r="7" ht="140" spans="1:3">
      <c r="A7" s="219"/>
      <c r="B7" s="215" t="s">
        <v>211</v>
      </c>
      <c r="C7" s="215" t="s">
        <v>212</v>
      </c>
    </row>
    <row r="8" spans="1:3">
      <c r="A8" s="219"/>
      <c r="B8" s="215" t="s">
        <v>213</v>
      </c>
      <c r="C8" s="215" t="s">
        <v>214</v>
      </c>
    </row>
    <row r="9" spans="1:3">
      <c r="A9" s="219"/>
      <c r="B9" s="215" t="s">
        <v>215</v>
      </c>
      <c r="C9" s="215" t="s">
        <v>216</v>
      </c>
    </row>
    <row r="10" spans="1:3">
      <c r="A10" s="219"/>
      <c r="B10" s="215" t="s">
        <v>217</v>
      </c>
      <c r="C10" s="215" t="s">
        <v>218</v>
      </c>
    </row>
    <row r="11" ht="42" spans="1:3">
      <c r="A11" s="219"/>
      <c r="B11" s="215" t="s">
        <v>219</v>
      </c>
      <c r="C11" s="215" t="s">
        <v>220</v>
      </c>
    </row>
    <row r="12" ht="28" spans="1:3">
      <c r="A12" s="219"/>
      <c r="B12" s="215" t="s">
        <v>221</v>
      </c>
      <c r="C12" s="215" t="s">
        <v>222</v>
      </c>
    </row>
    <row r="13" ht="28" spans="1:3">
      <c r="A13" s="217"/>
      <c r="B13" s="215" t="s">
        <v>223</v>
      </c>
      <c r="C13" s="215" t="s">
        <v>224</v>
      </c>
    </row>
    <row r="14" spans="1:3">
      <c r="A14" s="215" t="s">
        <v>225</v>
      </c>
      <c r="B14" s="215" t="s">
        <v>226</v>
      </c>
      <c r="C14" s="215" t="s">
        <v>227</v>
      </c>
    </row>
    <row r="15" spans="1:3">
      <c r="A15" s="216" t="s">
        <v>74</v>
      </c>
      <c r="B15" s="215" t="s">
        <v>228</v>
      </c>
      <c r="C15" s="215" t="s">
        <v>229</v>
      </c>
    </row>
    <row r="16" spans="1:3">
      <c r="A16" s="219"/>
      <c r="B16" s="215" t="s">
        <v>230</v>
      </c>
      <c r="C16" s="215" t="s">
        <v>231</v>
      </c>
    </row>
    <row r="17" ht="56" spans="1:3">
      <c r="A17" s="219"/>
      <c r="B17" s="215" t="s">
        <v>232</v>
      </c>
      <c r="C17" s="215" t="s">
        <v>233</v>
      </c>
    </row>
    <row r="18" spans="1:3">
      <c r="A18" s="219"/>
      <c r="B18" s="215" t="s">
        <v>234</v>
      </c>
      <c r="C18" s="215" t="s">
        <v>235</v>
      </c>
    </row>
    <row r="19" ht="28" spans="1:3">
      <c r="A19" s="219"/>
      <c r="B19" s="215" t="s">
        <v>236</v>
      </c>
      <c r="C19" s="215" t="s">
        <v>237</v>
      </c>
    </row>
    <row r="20" spans="1:3">
      <c r="A20" s="219"/>
      <c r="B20" s="215" t="s">
        <v>238</v>
      </c>
      <c r="C20" s="215" t="s">
        <v>239</v>
      </c>
    </row>
    <row r="21" spans="1:3">
      <c r="A21" s="219"/>
      <c r="B21" s="215" t="s">
        <v>240</v>
      </c>
      <c r="C21" s="215" t="s">
        <v>241</v>
      </c>
    </row>
    <row r="22" spans="1:3">
      <c r="A22" s="219"/>
      <c r="B22" s="215" t="s">
        <v>242</v>
      </c>
      <c r="C22" s="215" t="s">
        <v>243</v>
      </c>
    </row>
    <row r="23" spans="1:3">
      <c r="A23" s="219"/>
      <c r="B23" s="215" t="s">
        <v>240</v>
      </c>
      <c r="C23" s="215" t="s">
        <v>244</v>
      </c>
    </row>
    <row r="24" spans="1:3">
      <c r="A24" s="219"/>
      <c r="B24" s="215" t="s">
        <v>245</v>
      </c>
      <c r="C24" s="215" t="s">
        <v>246</v>
      </c>
    </row>
    <row r="25" spans="1:3">
      <c r="A25" s="219"/>
      <c r="B25" s="215" t="s">
        <v>247</v>
      </c>
      <c r="C25" s="215" t="s">
        <v>248</v>
      </c>
    </row>
    <row r="26" spans="1:3">
      <c r="A26" s="219"/>
      <c r="B26" s="215" t="s">
        <v>249</v>
      </c>
      <c r="C26" s="215" t="s">
        <v>250</v>
      </c>
    </row>
    <row r="27" spans="1:3">
      <c r="A27" s="219"/>
      <c r="B27" s="215" t="s">
        <v>249</v>
      </c>
      <c r="C27" s="215" t="s">
        <v>251</v>
      </c>
    </row>
    <row r="28" spans="1:3">
      <c r="A28" s="219"/>
      <c r="B28" s="215"/>
      <c r="C28" s="215"/>
    </row>
    <row r="29" spans="1:3">
      <c r="A29" s="219"/>
      <c r="B29" s="215"/>
      <c r="C29" s="215"/>
    </row>
    <row r="30" spans="1:3">
      <c r="A30" s="219"/>
      <c r="B30" s="215"/>
      <c r="C30" s="215"/>
    </row>
    <row r="31" spans="1:3">
      <c r="A31" s="220" t="s">
        <v>252</v>
      </c>
      <c r="B31" s="215" t="s">
        <v>230</v>
      </c>
      <c r="C31" s="215" t="s">
        <v>253</v>
      </c>
    </row>
    <row r="32" spans="1:3">
      <c r="A32" s="218"/>
      <c r="B32" s="215" t="s">
        <v>254</v>
      </c>
      <c r="C32" s="215" t="s">
        <v>255</v>
      </c>
    </row>
    <row r="33" ht="28" spans="1:3">
      <c r="A33" s="216" t="s">
        <v>256</v>
      </c>
      <c r="B33" s="215" t="s">
        <v>257</v>
      </c>
      <c r="C33" s="215" t="s">
        <v>258</v>
      </c>
    </row>
    <row r="34" spans="1:3">
      <c r="A34" s="219"/>
      <c r="B34" s="215" t="s">
        <v>211</v>
      </c>
      <c r="C34" s="215" t="s">
        <v>259</v>
      </c>
    </row>
    <row r="35" spans="1:3">
      <c r="A35" s="219"/>
      <c r="B35" s="215" t="s">
        <v>260</v>
      </c>
      <c r="C35" s="215" t="s">
        <v>261</v>
      </c>
    </row>
    <row r="36" spans="1:3">
      <c r="A36" s="219"/>
      <c r="B36" s="215"/>
      <c r="C36" s="215"/>
    </row>
    <row r="37" spans="1:3">
      <c r="A37" s="220" t="s">
        <v>262</v>
      </c>
      <c r="B37" s="215" t="s">
        <v>263</v>
      </c>
      <c r="C37" s="215" t="s">
        <v>264</v>
      </c>
    </row>
    <row r="38" spans="1:3">
      <c r="A38" s="218"/>
      <c r="B38" s="215" t="s">
        <v>209</v>
      </c>
      <c r="C38" s="215" t="s">
        <v>265</v>
      </c>
    </row>
    <row r="39" ht="28" spans="1:3">
      <c r="A39" s="216" t="s">
        <v>53</v>
      </c>
      <c r="B39" s="215" t="s">
        <v>209</v>
      </c>
      <c r="C39" s="215" t="s">
        <v>266</v>
      </c>
    </row>
    <row r="40" spans="1:3">
      <c r="A40" s="219"/>
      <c r="B40" s="213" t="s">
        <v>267</v>
      </c>
      <c r="C40" s="213" t="s">
        <v>268</v>
      </c>
    </row>
    <row r="41" spans="1:3">
      <c r="A41" s="219"/>
      <c r="B41" s="213" t="s">
        <v>234</v>
      </c>
      <c r="C41" s="213" t="s">
        <v>269</v>
      </c>
    </row>
    <row r="42" spans="1:3">
      <c r="A42" s="219"/>
      <c r="B42" s="213" t="s">
        <v>240</v>
      </c>
      <c r="C42" s="213" t="s">
        <v>270</v>
      </c>
    </row>
    <row r="43" ht="28" spans="1:3">
      <c r="A43" s="219"/>
      <c r="B43" s="213" t="s">
        <v>240</v>
      </c>
      <c r="C43" s="213" t="s">
        <v>271</v>
      </c>
    </row>
    <row r="44" spans="1:3">
      <c r="A44" s="219"/>
      <c r="B44" s="213" t="s">
        <v>272</v>
      </c>
      <c r="C44" s="213" t="s">
        <v>273</v>
      </c>
    </row>
    <row r="45" ht="98" spans="1:3">
      <c r="A45" s="216" t="s">
        <v>274</v>
      </c>
      <c r="B45" s="213" t="s">
        <v>209</v>
      </c>
      <c r="C45" s="213" t="s">
        <v>275</v>
      </c>
    </row>
    <row r="46" ht="84" spans="1:3">
      <c r="A46" s="219"/>
      <c r="B46" s="213" t="s">
        <v>276</v>
      </c>
      <c r="C46" s="213" t="s">
        <v>277</v>
      </c>
    </row>
    <row r="47" ht="28" spans="1:3">
      <c r="A47" s="217"/>
      <c r="B47" s="213" t="s">
        <v>278</v>
      </c>
      <c r="C47" s="213" t="s">
        <v>279</v>
      </c>
    </row>
    <row r="48" spans="1:3">
      <c r="A48" s="213" t="s">
        <v>43</v>
      </c>
      <c r="B48" s="213" t="s">
        <v>280</v>
      </c>
      <c r="C48" s="213" t="s">
        <v>281</v>
      </c>
    </row>
    <row r="49" spans="1:3">
      <c r="A49" s="216" t="s">
        <v>282</v>
      </c>
      <c r="B49" s="213" t="s">
        <v>211</v>
      </c>
      <c r="C49" s="213" t="s">
        <v>283</v>
      </c>
    </row>
    <row r="50" spans="1:3">
      <c r="A50" s="213" t="s">
        <v>63</v>
      </c>
      <c r="B50" s="213" t="s">
        <v>213</v>
      </c>
      <c r="C50" s="213" t="s">
        <v>284</v>
      </c>
    </row>
    <row r="51" spans="1:3">
      <c r="A51" s="216" t="s">
        <v>285</v>
      </c>
      <c r="B51" s="213" t="s">
        <v>286</v>
      </c>
      <c r="C51" s="213" t="s">
        <v>287</v>
      </c>
    </row>
    <row r="52" spans="1:3">
      <c r="A52" s="217"/>
      <c r="B52" s="213" t="s">
        <v>240</v>
      </c>
      <c r="C52" s="213" t="s">
        <v>288</v>
      </c>
    </row>
    <row r="53" spans="1:3">
      <c r="A53" s="213" t="s">
        <v>289</v>
      </c>
      <c r="B53" s="213" t="s">
        <v>290</v>
      </c>
      <c r="C53" s="213" t="s">
        <v>291</v>
      </c>
    </row>
    <row r="54" spans="1:3">
      <c r="A54" s="216" t="s">
        <v>10</v>
      </c>
      <c r="B54" s="213" t="s">
        <v>276</v>
      </c>
      <c r="C54" s="213" t="s">
        <v>292</v>
      </c>
    </row>
    <row r="55" spans="1:3">
      <c r="A55" s="217"/>
      <c r="B55" s="213" t="s">
        <v>293</v>
      </c>
      <c r="C55" s="213" t="s">
        <v>294</v>
      </c>
    </row>
    <row r="56" spans="1:3">
      <c r="A56" s="213" t="s">
        <v>295</v>
      </c>
      <c r="B56" s="213" t="s">
        <v>296</v>
      </c>
      <c r="C56" s="213" t="s">
        <v>297</v>
      </c>
    </row>
    <row r="57" spans="1:3">
      <c r="A57" s="213" t="s">
        <v>298</v>
      </c>
      <c r="B57" s="213" t="s">
        <v>299</v>
      </c>
      <c r="C57" s="213" t="s">
        <v>300</v>
      </c>
    </row>
    <row r="58" spans="1:3">
      <c r="A58" s="213" t="s">
        <v>301</v>
      </c>
      <c r="B58" s="213" t="s">
        <v>299</v>
      </c>
      <c r="C58" s="213" t="s">
        <v>302</v>
      </c>
    </row>
    <row r="59" ht="28" spans="1:3">
      <c r="A59" s="213" t="s">
        <v>303</v>
      </c>
      <c r="B59" s="213" t="s">
        <v>278</v>
      </c>
      <c r="C59" s="213" t="s">
        <v>304</v>
      </c>
    </row>
    <row r="60" ht="28" spans="1:3">
      <c r="A60" s="216" t="s">
        <v>305</v>
      </c>
      <c r="B60" s="213" t="s">
        <v>278</v>
      </c>
      <c r="C60" s="213" t="s">
        <v>306</v>
      </c>
    </row>
    <row r="61" spans="1:3">
      <c r="A61" s="217"/>
      <c r="B61" s="213" t="s">
        <v>307</v>
      </c>
      <c r="C61" s="213" t="s">
        <v>308</v>
      </c>
    </row>
    <row r="62" ht="140" spans="1:3">
      <c r="A62" s="213" t="s">
        <v>309</v>
      </c>
      <c r="B62" s="213" t="s">
        <v>310</v>
      </c>
      <c r="C62" s="213" t="s">
        <v>311</v>
      </c>
    </row>
    <row r="63" spans="1:3">
      <c r="A63" s="213" t="s">
        <v>312</v>
      </c>
      <c r="B63" s="213" t="s">
        <v>313</v>
      </c>
      <c r="C63" s="213" t="s">
        <v>314</v>
      </c>
    </row>
    <row r="64" ht="70" spans="1:3">
      <c r="A64" s="213" t="s">
        <v>315</v>
      </c>
      <c r="B64" s="213" t="s">
        <v>316</v>
      </c>
      <c r="C64" s="213" t="s">
        <v>317</v>
      </c>
    </row>
    <row r="65" ht="28" spans="1:3">
      <c r="A65" s="213" t="s">
        <v>47</v>
      </c>
      <c r="B65" s="213" t="s">
        <v>318</v>
      </c>
      <c r="C65" s="213" t="s">
        <v>319</v>
      </c>
    </row>
    <row r="66" spans="1:3">
      <c r="A66" s="216" t="s">
        <v>320</v>
      </c>
      <c r="B66" s="213" t="s">
        <v>321</v>
      </c>
      <c r="C66" s="213" t="s">
        <v>322</v>
      </c>
    </row>
    <row r="67" spans="1:3">
      <c r="A67" s="217"/>
      <c r="B67" s="213" t="s">
        <v>323</v>
      </c>
      <c r="C67" s="213" t="s">
        <v>324</v>
      </c>
    </row>
    <row r="68" spans="1:3">
      <c r="A68" s="216" t="s">
        <v>325</v>
      </c>
      <c r="B68" s="213" t="s">
        <v>326</v>
      </c>
      <c r="C68" s="213" t="s">
        <v>327</v>
      </c>
    </row>
    <row r="69" spans="1:3">
      <c r="A69" s="219"/>
      <c r="B69" s="213" t="s">
        <v>328</v>
      </c>
      <c r="C69" s="213" t="s">
        <v>329</v>
      </c>
    </row>
    <row r="70" spans="1:3">
      <c r="A70" s="217"/>
      <c r="B70" s="213" t="s">
        <v>330</v>
      </c>
      <c r="C70" s="213" t="s">
        <v>331</v>
      </c>
    </row>
    <row r="71" spans="1:3">
      <c r="B71" s="213" t="s">
        <v>332</v>
      </c>
      <c r="C71" s="213" t="s">
        <v>333</v>
      </c>
    </row>
    <row r="72" ht="56" spans="1:3">
      <c r="B72" s="213" t="s">
        <v>334</v>
      </c>
      <c r="C72" s="213" t="s">
        <v>335</v>
      </c>
    </row>
    <row r="73" spans="1:3">
      <c r="B73" s="213" t="s">
        <v>336</v>
      </c>
      <c r="C73" s="213" t="s">
        <v>337</v>
      </c>
    </row>
    <row r="74" ht="42" spans="1:3">
      <c r="C74" s="213" t="s">
        <v>338</v>
      </c>
    </row>
    <row r="75" spans="1:3">
      <c r="B75" s="213" t="s">
        <v>339</v>
      </c>
      <c r="C75" s="213" t="s">
        <v>340</v>
      </c>
    </row>
    <row r="76" spans="1:3">
      <c r="B76" s="213" t="s">
        <v>339</v>
      </c>
      <c r="C76" s="213" t="s">
        <v>341</v>
      </c>
    </row>
    <row r="77" spans="1:3">
      <c r="C77" s="213" t="s">
        <v>342</v>
      </c>
    </row>
  </sheetData>
  <mergeCells count="13">
    <mergeCell ref="A3:A4"/>
    <mergeCell ref="A6:A13"/>
    <mergeCell ref="A15:A30"/>
    <mergeCell ref="A31:A32"/>
    <mergeCell ref="A33:A36"/>
    <mergeCell ref="A37:A38"/>
    <mergeCell ref="A39:A44"/>
    <mergeCell ref="A45:A47"/>
    <mergeCell ref="A51:A52"/>
    <mergeCell ref="A54:A55"/>
    <mergeCell ref="A60:A61"/>
    <mergeCell ref="A66:A67"/>
    <mergeCell ref="A68:A7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8"/>
  </sheetPr>
  <dimension ref="A1:J14"/>
  <sheetViews>
    <sheetView workbookViewId="0">
      <selection activeCell="I33" sqref="I33"/>
    </sheetView>
  </sheetViews>
  <sheetFormatPr defaultColWidth="9" defaultRowHeight="14"/>
  <cols>
    <col min="2" max="2" width="7.72727272727273" customWidth="1"/>
    <col min="3" max="3" width="12" customWidth="1"/>
    <col min="4" max="4" width="5.09090909090909" customWidth="1"/>
    <col min="5" max="5" width="5.18181818181818" customWidth="1"/>
    <col min="6" max="6" width="6.27272727272727" customWidth="1"/>
    <col min="7" max="10" width="20.6363636363636" customWidth="1"/>
  </cols>
  <sheetData>
    <row r="1" ht="16.5" spans="1:10">
      <c r="A1" s="184"/>
      <c r="B1" s="185" t="s">
        <v>1</v>
      </c>
      <c r="C1" s="185"/>
      <c r="D1" s="186" t="s">
        <v>2</v>
      </c>
      <c r="E1" s="187"/>
      <c r="F1" s="188"/>
      <c r="G1" s="185" t="s">
        <v>3</v>
      </c>
      <c r="H1" s="185" t="s">
        <v>4</v>
      </c>
      <c r="I1" s="185" t="s">
        <v>5</v>
      </c>
      <c r="J1" s="185" t="s">
        <v>6</v>
      </c>
    </row>
    <row r="2" ht="16.5" spans="1:10">
      <c r="A2" s="185" t="s">
        <v>343</v>
      </c>
      <c r="B2" s="189" t="s">
        <v>344</v>
      </c>
      <c r="C2" s="190" t="s">
        <v>345</v>
      </c>
      <c r="D2" s="191"/>
      <c r="E2" s="189" t="s">
        <v>344</v>
      </c>
      <c r="F2" s="189"/>
      <c r="G2" s="192" t="s">
        <v>346</v>
      </c>
      <c r="H2" s="192"/>
      <c r="I2" s="184"/>
      <c r="J2" s="193"/>
    </row>
    <row r="3" ht="16.5" spans="1:10">
      <c r="A3" s="185" t="s">
        <v>347</v>
      </c>
      <c r="B3" s="194" t="s">
        <v>348</v>
      </c>
      <c r="C3" s="194"/>
      <c r="D3" s="194"/>
      <c r="E3" s="194"/>
      <c r="F3" s="194"/>
      <c r="G3" s="194"/>
      <c r="H3" s="194"/>
      <c r="I3" s="184"/>
      <c r="J3" s="193"/>
    </row>
    <row r="4" ht="16.5" spans="1:10">
      <c r="A4" s="185" t="s">
        <v>349</v>
      </c>
      <c r="B4" s="195" t="s">
        <v>256</v>
      </c>
      <c r="C4" s="195"/>
      <c r="D4" s="195"/>
      <c r="E4" s="195"/>
      <c r="F4" s="195"/>
      <c r="G4" s="195"/>
      <c r="H4" s="195"/>
      <c r="I4" s="184"/>
      <c r="J4" s="193"/>
    </row>
    <row r="5" ht="16.5" spans="1:10">
      <c r="A5" s="185" t="s">
        <v>350</v>
      </c>
      <c r="B5" s="196">
        <v>1</v>
      </c>
      <c r="C5" s="196"/>
      <c r="D5" s="197">
        <v>2</v>
      </c>
      <c r="E5" s="197"/>
      <c r="F5" s="197"/>
      <c r="G5" s="196" t="s">
        <v>351</v>
      </c>
      <c r="H5" s="196"/>
      <c r="I5" s="184"/>
      <c r="J5" s="193"/>
    </row>
    <row r="6" ht="16.5" spans="1:10">
      <c r="A6" s="185" t="s">
        <v>352</v>
      </c>
      <c r="B6" s="198">
        <v>1</v>
      </c>
      <c r="C6" s="198"/>
      <c r="D6" s="198"/>
      <c r="E6" s="198"/>
      <c r="F6" s="198"/>
      <c r="G6" s="199" t="s">
        <v>353</v>
      </c>
      <c r="H6" s="199"/>
      <c r="I6" s="184"/>
      <c r="J6" s="193"/>
    </row>
    <row r="7" ht="16.5" spans="1:10">
      <c r="A7" s="185" t="s">
        <v>354</v>
      </c>
      <c r="B7" s="200" t="s">
        <v>355</v>
      </c>
      <c r="C7" s="200"/>
      <c r="D7" s="200"/>
      <c r="E7" s="200"/>
      <c r="F7" s="200"/>
      <c r="G7" s="201" t="s">
        <v>356</v>
      </c>
      <c r="H7" s="201"/>
      <c r="I7" s="184"/>
      <c r="J7" s="193"/>
    </row>
    <row r="8" ht="16.5" spans="1:10">
      <c r="A8" s="185" t="s">
        <v>357</v>
      </c>
      <c r="B8" s="202">
        <v>1</v>
      </c>
      <c r="C8" s="202"/>
      <c r="D8" s="203" t="s">
        <v>358</v>
      </c>
      <c r="E8" s="203"/>
      <c r="F8" s="203"/>
      <c r="G8" s="202" t="s">
        <v>359</v>
      </c>
      <c r="H8" s="202"/>
      <c r="I8" s="184"/>
      <c r="J8" s="193"/>
    </row>
    <row r="9" s="3" customFormat="1" ht="16.5" spans="1:10">
      <c r="A9" s="185" t="s">
        <v>360</v>
      </c>
      <c r="B9" s="4" t="s">
        <v>361</v>
      </c>
      <c r="C9" s="4"/>
      <c r="D9" s="4"/>
      <c r="E9" s="4"/>
      <c r="F9" s="4"/>
      <c r="G9" s="204" t="s">
        <v>362</v>
      </c>
      <c r="H9" s="204"/>
      <c r="I9" s="3"/>
      <c r="J9" s="205"/>
    </row>
    <row r="10" s="3" customFormat="1" ht="16.5" spans="1:10">
      <c r="A10" s="185" t="s">
        <v>363</v>
      </c>
      <c r="B10" s="20" t="s">
        <v>361</v>
      </c>
      <c r="C10" s="20"/>
      <c r="D10" s="20"/>
      <c r="E10" s="20"/>
      <c r="F10" s="20"/>
      <c r="G10" s="20"/>
      <c r="H10" s="20"/>
      <c r="I10" s="206"/>
      <c r="J10" s="205"/>
    </row>
    <row r="11" ht="16.5" spans="1:10">
      <c r="A11" s="185" t="s">
        <v>364</v>
      </c>
      <c r="B11" s="189" t="s">
        <v>365</v>
      </c>
      <c r="C11" s="189"/>
      <c r="D11" s="189"/>
      <c r="E11" s="189"/>
      <c r="F11" s="189"/>
      <c r="G11" s="189"/>
      <c r="H11" s="189"/>
      <c r="I11" s="184"/>
      <c r="J11" s="193"/>
    </row>
    <row r="12" ht="16.5" spans="1:10">
      <c r="A12" s="185" t="s">
        <v>366</v>
      </c>
      <c r="B12" s="194">
        <v>1</v>
      </c>
      <c r="C12" s="194"/>
      <c r="D12" s="207" t="s">
        <v>367</v>
      </c>
      <c r="E12" s="194">
        <v>1</v>
      </c>
      <c r="F12" s="207" t="s">
        <v>367</v>
      </c>
      <c r="G12" s="184" t="s">
        <v>361</v>
      </c>
      <c r="H12" s="184"/>
      <c r="I12" s="184"/>
      <c r="J12" s="193"/>
    </row>
    <row r="13" ht="16.5" spans="1:10">
      <c r="A13" s="185" t="s">
        <v>368</v>
      </c>
      <c r="B13" s="195">
        <v>1</v>
      </c>
      <c r="C13" s="195"/>
      <c r="D13" s="195"/>
      <c r="E13" s="195"/>
      <c r="F13" s="195"/>
      <c r="G13" s="195"/>
      <c r="H13" s="184" t="s">
        <v>361</v>
      </c>
      <c r="I13" s="184"/>
      <c r="J13" s="193"/>
    </row>
    <row r="14" ht="16.5" spans="1:10">
      <c r="A14" s="185" t="s">
        <v>369</v>
      </c>
      <c r="B14" s="208">
        <v>1</v>
      </c>
      <c r="C14" s="208"/>
      <c r="D14" s="208"/>
      <c r="E14" s="208"/>
      <c r="F14" s="208"/>
      <c r="G14" s="209">
        <v>2</v>
      </c>
      <c r="H14" s="210" t="s">
        <v>361</v>
      </c>
      <c r="I14" s="210"/>
      <c r="J14" s="211"/>
    </row>
  </sheetData>
  <mergeCells count="25">
    <mergeCell ref="B1:C1"/>
    <mergeCell ref="D1:F1"/>
    <mergeCell ref="C2:D2"/>
    <mergeCell ref="E2:F2"/>
    <mergeCell ref="G2:H2"/>
    <mergeCell ref="B3:H3"/>
    <mergeCell ref="B4:H4"/>
    <mergeCell ref="B5:C5"/>
    <mergeCell ref="D5:F5"/>
    <mergeCell ref="G5:H5"/>
    <mergeCell ref="B6:F6"/>
    <mergeCell ref="G6:H6"/>
    <mergeCell ref="B7:F7"/>
    <mergeCell ref="G7:H7"/>
    <mergeCell ref="B8:C8"/>
    <mergeCell ref="D8:F8"/>
    <mergeCell ref="G8:H8"/>
    <mergeCell ref="B9:F9"/>
    <mergeCell ref="G9:H9"/>
    <mergeCell ref="B10:H10"/>
    <mergeCell ref="B11:H11"/>
    <mergeCell ref="B12:C12"/>
    <mergeCell ref="G12:H12"/>
    <mergeCell ref="B13:G13"/>
    <mergeCell ref="B14:F14"/>
  </mergeCells>
  <conditionalFormatting sqref="C2 B3:B4 B11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"/>
  </sheetPr>
  <dimension ref="A1:J22"/>
  <sheetViews>
    <sheetView workbookViewId="0">
      <selection activeCell="L25" sqref="L25"/>
    </sheetView>
  </sheetViews>
  <sheetFormatPr defaultColWidth="8.72727272727273" defaultRowHeight="14"/>
  <cols>
    <col min="1" max="1" width="6.58181818181818" style="17" customWidth="1"/>
    <col min="2" max="2" width="12.4545454545455" style="17" customWidth="1"/>
    <col min="3" max="4" width="8.72727272727273" style="17"/>
    <col min="5" max="5" width="2.06363636363636" style="17" customWidth="1"/>
    <col min="6" max="6" width="6.32727272727273" style="17" customWidth="1"/>
    <col min="7" max="7" width="3.63636363636364" style="17" customWidth="1"/>
    <col min="8" max="8" width="5.18181818181818" style="17" customWidth="1"/>
    <col min="9" max="16384" width="8.72727272727273" style="17"/>
  </cols>
  <sheetData>
    <row r="1" s="154" customFormat="1" spans="1:10">
      <c r="A1" s="157" t="s">
        <v>370</v>
      </c>
      <c r="B1" s="158"/>
      <c r="C1" s="154" t="s">
        <v>1</v>
      </c>
      <c r="D1" s="154" t="s">
        <v>2</v>
      </c>
      <c r="E1" s="159" t="s">
        <v>3</v>
      </c>
      <c r="F1" s="160"/>
      <c r="G1" s="159" t="s">
        <v>4</v>
      </c>
      <c r="H1" s="160"/>
      <c r="I1" s="154" t="s">
        <v>5</v>
      </c>
      <c r="J1" s="154" t="s">
        <v>6</v>
      </c>
    </row>
    <row r="2" s="155" customFormat="1" spans="1:10">
      <c r="A2" s="161" t="s">
        <v>371</v>
      </c>
      <c r="B2" s="162" t="s">
        <v>372</v>
      </c>
      <c r="C2" s="163" t="s">
        <v>7</v>
      </c>
      <c r="D2" s="164"/>
      <c r="E2" s="164"/>
      <c r="F2" s="164"/>
      <c r="G2" s="164"/>
      <c r="H2" s="165"/>
    </row>
    <row r="3" s="155" customFormat="1" spans="1:10">
      <c r="A3" s="166"/>
      <c r="B3" s="162" t="s">
        <v>373</v>
      </c>
      <c r="C3" s="163" t="s">
        <v>31</v>
      </c>
      <c r="D3" s="164"/>
      <c r="E3" s="164"/>
      <c r="F3" s="164"/>
      <c r="G3" s="164"/>
      <c r="H3" s="165"/>
    </row>
    <row r="4" s="155" customFormat="1" spans="1:10">
      <c r="A4" s="166"/>
      <c r="B4" s="162"/>
      <c r="C4" s="163" t="s">
        <v>25</v>
      </c>
      <c r="D4" s="164"/>
      <c r="E4" s="164"/>
      <c r="F4" s="164"/>
      <c r="G4" s="164"/>
      <c r="H4" s="165"/>
    </row>
    <row r="5" s="155" customFormat="1" spans="1:10">
      <c r="A5" s="166"/>
      <c r="B5" s="162" t="s">
        <v>374</v>
      </c>
      <c r="C5" s="163" t="s">
        <v>36</v>
      </c>
      <c r="D5" s="164"/>
      <c r="E5" s="164"/>
      <c r="F5" s="164"/>
      <c r="G5" s="164"/>
      <c r="H5" s="165"/>
    </row>
    <row r="6" s="155" customFormat="1" spans="1:10">
      <c r="A6" s="166"/>
      <c r="B6" s="162" t="s">
        <v>375</v>
      </c>
      <c r="C6" s="55" t="s">
        <v>21</v>
      </c>
      <c r="D6" s="167" t="s">
        <v>124</v>
      </c>
      <c r="E6" s="168"/>
      <c r="F6" s="168"/>
      <c r="G6" s="168"/>
      <c r="H6" s="169"/>
    </row>
    <row r="7" s="155" customFormat="1" spans="1:10">
      <c r="A7" s="166"/>
      <c r="B7" s="162"/>
      <c r="C7" s="55" t="s">
        <v>59</v>
      </c>
      <c r="D7" s="155" t="s">
        <v>92</v>
      </c>
      <c r="E7" s="167" t="s">
        <v>108</v>
      </c>
      <c r="F7" s="168"/>
      <c r="G7" s="168"/>
      <c r="H7" s="169"/>
    </row>
    <row r="8" s="155" customFormat="1" spans="1:10">
      <c r="A8" s="166"/>
      <c r="B8" s="162" t="s">
        <v>376</v>
      </c>
      <c r="C8" s="55" t="s">
        <v>15</v>
      </c>
      <c r="D8" s="167" t="s">
        <v>97</v>
      </c>
      <c r="E8" s="168"/>
      <c r="F8" s="168"/>
      <c r="G8" s="168"/>
      <c r="H8" s="169"/>
    </row>
    <row r="9" s="155" customFormat="1" spans="1:10">
      <c r="A9" s="166"/>
      <c r="B9" s="162" t="s">
        <v>377</v>
      </c>
      <c r="C9" s="163" t="s">
        <v>27</v>
      </c>
      <c r="D9" s="164"/>
      <c r="E9" s="164"/>
      <c r="F9" s="164"/>
      <c r="G9" s="164"/>
      <c r="H9" s="165"/>
    </row>
    <row r="10" s="155" customFormat="1" spans="1:10">
      <c r="A10" s="166"/>
      <c r="B10" s="162" t="s">
        <v>378</v>
      </c>
      <c r="C10" s="163" t="s">
        <v>39</v>
      </c>
      <c r="D10" s="164"/>
      <c r="E10" s="164"/>
      <c r="F10" s="164"/>
      <c r="G10" s="164"/>
      <c r="H10" s="165"/>
    </row>
    <row r="11" s="155" customFormat="1" spans="1:10">
      <c r="A11" s="170"/>
      <c r="B11" s="162" t="s">
        <v>379</v>
      </c>
      <c r="C11" s="163" t="s">
        <v>85</v>
      </c>
      <c r="D11" s="164"/>
      <c r="E11" s="164"/>
      <c r="F11" s="164"/>
      <c r="G11" s="164"/>
      <c r="H11" s="165"/>
    </row>
    <row r="12" s="156" customFormat="1" spans="1:10">
      <c r="A12" s="171" t="s">
        <v>380</v>
      </c>
      <c r="B12" s="172" t="s">
        <v>381</v>
      </c>
      <c r="C12" s="173" t="s">
        <v>108</v>
      </c>
      <c r="D12" s="174"/>
      <c r="E12" s="175" t="s">
        <v>21</v>
      </c>
      <c r="F12" s="176"/>
      <c r="G12" s="176"/>
      <c r="H12" s="177"/>
    </row>
    <row r="13" s="156" customFormat="1" spans="1:10">
      <c r="A13" s="178"/>
      <c r="B13" s="172"/>
      <c r="C13" s="173" t="s">
        <v>45</v>
      </c>
      <c r="D13" s="179"/>
      <c r="E13" s="179"/>
      <c r="F13" s="179"/>
      <c r="G13" s="179"/>
      <c r="H13" s="174"/>
    </row>
    <row r="14" s="156" customFormat="1" spans="1:10">
      <c r="A14" s="178"/>
      <c r="B14" s="172" t="s">
        <v>382</v>
      </c>
      <c r="C14" s="173" t="s">
        <v>383</v>
      </c>
      <c r="D14" s="179"/>
      <c r="E14" s="174"/>
      <c r="F14" s="176" t="s">
        <v>39</v>
      </c>
      <c r="G14" s="176"/>
      <c r="H14" s="177"/>
    </row>
    <row r="15" s="156" customFormat="1" spans="1:10">
      <c r="A15" s="178"/>
      <c r="B15" s="172" t="s">
        <v>384</v>
      </c>
      <c r="C15" s="173" t="s">
        <v>10</v>
      </c>
      <c r="D15" s="179"/>
      <c r="E15" s="179"/>
      <c r="F15" s="179"/>
      <c r="G15" s="179"/>
      <c r="H15" s="174"/>
    </row>
    <row r="16" s="156" customFormat="1" spans="1:10">
      <c r="A16" s="178"/>
      <c r="B16" s="172"/>
      <c r="C16" s="173" t="s">
        <v>13</v>
      </c>
      <c r="D16" s="179"/>
      <c r="E16" s="179"/>
      <c r="F16" s="179"/>
      <c r="G16" s="179"/>
      <c r="H16" s="174"/>
    </row>
    <row r="17" s="156" customFormat="1" spans="1:10">
      <c r="A17" s="178"/>
      <c r="B17" s="172" t="s">
        <v>385</v>
      </c>
      <c r="C17" s="173" t="s">
        <v>30</v>
      </c>
      <c r="D17" s="179"/>
      <c r="E17" s="179"/>
      <c r="F17" s="179"/>
      <c r="G17" s="179"/>
      <c r="H17" s="174"/>
    </row>
    <row r="18" s="156" customFormat="1" spans="1:10">
      <c r="A18" s="178"/>
      <c r="B18" s="172" t="s">
        <v>386</v>
      </c>
      <c r="C18" s="173" t="s">
        <v>50</v>
      </c>
      <c r="D18" s="179"/>
      <c r="E18" s="179"/>
      <c r="F18" s="179"/>
      <c r="G18" s="179"/>
      <c r="H18" s="174"/>
    </row>
    <row r="19" s="156" customFormat="1" spans="1:10">
      <c r="A19" s="178"/>
      <c r="B19" s="172" t="s">
        <v>387</v>
      </c>
      <c r="C19" s="173" t="s">
        <v>97</v>
      </c>
      <c r="D19" s="179"/>
      <c r="E19" s="179"/>
      <c r="F19" s="179"/>
      <c r="G19" s="179"/>
      <c r="H19" s="174"/>
      <c r="I19" s="180"/>
      <c r="J19" s="181"/>
    </row>
    <row r="20" s="156" customFormat="1" spans="1:10">
      <c r="A20" s="178"/>
      <c r="B20" s="172" t="s">
        <v>388</v>
      </c>
      <c r="C20" s="173" t="s">
        <v>101</v>
      </c>
      <c r="D20" s="179"/>
      <c r="E20" s="179"/>
      <c r="F20" s="179"/>
      <c r="G20" s="174"/>
      <c r="H20" s="177" t="s">
        <v>38</v>
      </c>
      <c r="I20" s="180"/>
      <c r="J20" s="181"/>
    </row>
    <row r="21" s="156" customFormat="1" spans="1:10">
      <c r="A21" s="178"/>
      <c r="B21" s="172" t="s">
        <v>389</v>
      </c>
      <c r="C21" s="180"/>
      <c r="D21" s="181"/>
      <c r="E21" s="175" t="s">
        <v>28</v>
      </c>
      <c r="F21" s="176"/>
      <c r="G21" s="176"/>
      <c r="H21" s="177"/>
    </row>
    <row r="22" s="156" customFormat="1" spans="1:10">
      <c r="A22" s="182"/>
      <c r="B22" s="172" t="s">
        <v>390</v>
      </c>
      <c r="C22" s="180"/>
      <c r="D22" s="183"/>
      <c r="E22" s="183"/>
      <c r="F22" s="183"/>
      <c r="G22" s="183"/>
      <c r="H22" s="181"/>
    </row>
  </sheetData>
  <mergeCells count="35">
    <mergeCell ref="A1:B1"/>
    <mergeCell ref="E1:F1"/>
    <mergeCell ref="G1:H1"/>
    <mergeCell ref="C2:H2"/>
    <mergeCell ref="C3:H3"/>
    <mergeCell ref="C4:H4"/>
    <mergeCell ref="C5:H5"/>
    <mergeCell ref="D6:H6"/>
    <mergeCell ref="E7:H7"/>
    <mergeCell ref="D8:H8"/>
    <mergeCell ref="C9:H9"/>
    <mergeCell ref="C10:H10"/>
    <mergeCell ref="C11:H11"/>
    <mergeCell ref="C12:D12"/>
    <mergeCell ref="E12:H12"/>
    <mergeCell ref="C13:H13"/>
    <mergeCell ref="C14:E14"/>
    <mergeCell ref="F14:H14"/>
    <mergeCell ref="C15:H15"/>
    <mergeCell ref="C16:H16"/>
    <mergeCell ref="C17:H17"/>
    <mergeCell ref="C18:H18"/>
    <mergeCell ref="C19:H19"/>
    <mergeCell ref="I19:J19"/>
    <mergeCell ref="C20:G20"/>
    <mergeCell ref="I20:J20"/>
    <mergeCell ref="C21:D21"/>
    <mergeCell ref="E21:H21"/>
    <mergeCell ref="C22:H22"/>
    <mergeCell ref="A2:A11"/>
    <mergeCell ref="A12:A22"/>
    <mergeCell ref="B3:B4"/>
    <mergeCell ref="B6:B7"/>
    <mergeCell ref="B12:B13"/>
    <mergeCell ref="B15:B1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8"/>
  </sheetPr>
  <dimension ref="A1:XFD41"/>
  <sheetViews>
    <sheetView zoomScale="85" zoomScaleNormal="85" topLeftCell="A13" workbookViewId="0">
      <selection activeCell="I24" sqref="B18:I24"/>
    </sheetView>
  </sheetViews>
  <sheetFormatPr defaultColWidth="8.72727272727273" defaultRowHeight="19" customHeight="1"/>
  <cols>
    <col min="1" max="1" width="8.72727272727273" style="131"/>
    <col min="2" max="9" width="10.3272727272727" style="131" customWidth="1"/>
    <col min="10" max="16384" width="8.72727272727273" style="131"/>
  </cols>
  <sheetData>
    <row r="1" s="130" customFormat="1" customHeight="1" spans="1:16">
      <c r="A1" s="132" t="s">
        <v>391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="131" customFormat="1" customHeight="1" spans="1:16">
      <c r="A2" s="134" t="s">
        <v>392</v>
      </c>
      <c r="B2" s="135"/>
      <c r="C2" s="136"/>
      <c r="D2" s="137" t="s">
        <v>50</v>
      </c>
      <c r="E2" s="137" t="s">
        <v>128</v>
      </c>
      <c r="F2" s="138"/>
      <c r="G2" s="138"/>
      <c r="H2" s="139"/>
      <c r="I2" s="139"/>
    </row>
    <row r="3" s="131" customFormat="1" customHeight="1" spans="1:16">
      <c r="A3" s="140"/>
      <c r="B3" s="136" t="s">
        <v>38</v>
      </c>
      <c r="C3" s="136" t="s">
        <v>15</v>
      </c>
      <c r="D3" s="137" t="s">
        <v>30</v>
      </c>
      <c r="E3" s="137" t="s">
        <v>7</v>
      </c>
      <c r="F3" s="138" t="s">
        <v>79</v>
      </c>
      <c r="G3" s="138" t="s">
        <v>92</v>
      </c>
      <c r="H3" s="139" t="s">
        <v>128</v>
      </c>
      <c r="I3" s="139" t="s">
        <v>108</v>
      </c>
    </row>
    <row r="4" s="131" customFormat="1" customHeight="1" spans="1:16">
      <c r="A4" s="140"/>
      <c r="B4" s="136" t="s">
        <v>45</v>
      </c>
      <c r="C4" s="136" t="s">
        <v>43</v>
      </c>
      <c r="D4" s="137" t="s">
        <v>139</v>
      </c>
      <c r="E4" s="137" t="s">
        <v>95</v>
      </c>
      <c r="F4" s="138" t="s">
        <v>21</v>
      </c>
      <c r="G4" s="138" t="s">
        <v>69</v>
      </c>
      <c r="H4" s="139" t="s">
        <v>58</v>
      </c>
      <c r="I4" s="139" t="s">
        <v>33</v>
      </c>
    </row>
    <row r="5" s="131" customFormat="1" customHeight="1" spans="1:16">
      <c r="A5" s="140"/>
      <c r="B5" s="136" t="s">
        <v>86</v>
      </c>
      <c r="C5" s="136" t="s">
        <v>31</v>
      </c>
      <c r="D5" s="137" t="s">
        <v>47</v>
      </c>
      <c r="E5" s="137" t="s">
        <v>89</v>
      </c>
      <c r="F5" s="138" t="s">
        <v>85</v>
      </c>
      <c r="G5" s="138" t="s">
        <v>28</v>
      </c>
      <c r="H5" s="139" t="s">
        <v>39</v>
      </c>
      <c r="I5" s="139" t="s">
        <v>129</v>
      </c>
    </row>
    <row r="6" s="131" customFormat="1" customHeight="1" spans="1:16">
      <c r="A6" s="140"/>
      <c r="B6" s="136" t="s">
        <v>25</v>
      </c>
      <c r="C6" s="136" t="s">
        <v>88</v>
      </c>
      <c r="D6" s="137" t="s">
        <v>10</v>
      </c>
      <c r="E6" s="137" t="s">
        <v>87</v>
      </c>
      <c r="F6" s="138" t="s">
        <v>101</v>
      </c>
      <c r="G6" s="138" t="s">
        <v>137</v>
      </c>
      <c r="H6" s="139" t="s">
        <v>74</v>
      </c>
      <c r="I6" s="139" t="s">
        <v>19</v>
      </c>
    </row>
    <row r="7" s="131" customFormat="1" customHeight="1" spans="1:16">
      <c r="A7" s="140"/>
      <c r="B7" s="136" t="s">
        <v>122</v>
      </c>
      <c r="C7" s="136" t="s">
        <v>36</v>
      </c>
      <c r="D7" s="137" t="s">
        <v>70</v>
      </c>
      <c r="E7" s="137" t="s">
        <v>13</v>
      </c>
      <c r="F7" s="138" t="s">
        <v>117</v>
      </c>
      <c r="G7" s="138" t="s">
        <v>59</v>
      </c>
      <c r="H7" s="139" t="s">
        <v>90</v>
      </c>
      <c r="I7" s="139" t="s">
        <v>118</v>
      </c>
    </row>
    <row r="8" s="131" customFormat="1" customHeight="1" spans="1:16">
      <c r="A8" s="140"/>
      <c r="B8" s="136" t="s">
        <v>135</v>
      </c>
      <c r="C8" s="136" t="s">
        <v>68</v>
      </c>
      <c r="D8" s="137" t="s">
        <v>82</v>
      </c>
      <c r="E8" s="137" t="s">
        <v>124</v>
      </c>
      <c r="F8" s="138" t="s">
        <v>53</v>
      </c>
      <c r="G8" s="138" t="s">
        <v>131</v>
      </c>
      <c r="H8" s="139" t="s">
        <v>63</v>
      </c>
      <c r="I8" s="139" t="s">
        <v>97</v>
      </c>
    </row>
    <row r="9" s="131" customFormat="1" customHeight="1" spans="1:16">
      <c r="A9" s="141"/>
      <c r="B9" s="142"/>
      <c r="C9" s="143"/>
      <c r="D9" s="144" t="s">
        <v>140</v>
      </c>
      <c r="E9" s="145"/>
      <c r="F9" s="146"/>
      <c r="G9" s="146"/>
      <c r="H9" s="146"/>
      <c r="I9" s="147"/>
    </row>
    <row r="10" s="131" customFormat="1" customHeight="1" spans="1:16">
      <c r="A10" s="134" t="s">
        <v>393</v>
      </c>
      <c r="B10" s="135"/>
      <c r="C10" s="136"/>
      <c r="D10" s="137" t="s">
        <v>50</v>
      </c>
      <c r="E10" s="137" t="s">
        <v>128</v>
      </c>
      <c r="F10" s="138"/>
      <c r="G10" s="138"/>
      <c r="H10" s="139"/>
      <c r="I10" s="139"/>
    </row>
    <row r="11" s="131" customFormat="1" customHeight="1" spans="1:16">
      <c r="A11" s="140"/>
      <c r="B11" s="136" t="s">
        <v>58</v>
      </c>
      <c r="C11" s="136" t="s">
        <v>108</v>
      </c>
      <c r="D11" s="137" t="s">
        <v>69</v>
      </c>
      <c r="E11" s="137" t="s">
        <v>139</v>
      </c>
      <c r="F11" s="138" t="s">
        <v>15</v>
      </c>
      <c r="G11" s="138" t="s">
        <v>92</v>
      </c>
      <c r="H11" s="139" t="s">
        <v>38</v>
      </c>
      <c r="I11" s="139" t="s">
        <v>27</v>
      </c>
    </row>
    <row r="12" s="131" customFormat="1" customHeight="1" spans="1:16">
      <c r="A12" s="140"/>
      <c r="B12" s="136" t="s">
        <v>95</v>
      </c>
      <c r="C12" s="136" t="s">
        <v>33</v>
      </c>
      <c r="D12" s="137" t="s">
        <v>7</v>
      </c>
      <c r="E12" s="137" t="s">
        <v>30</v>
      </c>
      <c r="F12" s="138" t="s">
        <v>21</v>
      </c>
      <c r="G12" s="138" t="s">
        <v>79</v>
      </c>
      <c r="H12" s="139" t="s">
        <v>45</v>
      </c>
      <c r="I12" s="139" t="s">
        <v>43</v>
      </c>
    </row>
    <row r="13" s="131" customFormat="1" customHeight="1" spans="1:16">
      <c r="A13" s="140"/>
      <c r="B13" s="136" t="s">
        <v>86</v>
      </c>
      <c r="C13" s="136" t="s">
        <v>47</v>
      </c>
      <c r="D13" s="137" t="s">
        <v>39</v>
      </c>
      <c r="E13" s="137" t="s">
        <v>129</v>
      </c>
      <c r="F13" s="138" t="s">
        <v>137</v>
      </c>
      <c r="G13" s="138" t="s">
        <v>87</v>
      </c>
      <c r="H13" s="139" t="s">
        <v>89</v>
      </c>
      <c r="I13" s="139" t="s">
        <v>31</v>
      </c>
    </row>
    <row r="14" s="131" customFormat="1" customHeight="1" spans="1:16">
      <c r="A14" s="140"/>
      <c r="B14" s="136" t="s">
        <v>25</v>
      </c>
      <c r="C14" s="136" t="s">
        <v>88</v>
      </c>
      <c r="D14" s="137" t="s">
        <v>10</v>
      </c>
      <c r="E14" s="137" t="s">
        <v>74</v>
      </c>
      <c r="F14" s="138" t="s">
        <v>28</v>
      </c>
      <c r="G14" s="138" t="s">
        <v>85</v>
      </c>
      <c r="H14" s="139" t="s">
        <v>19</v>
      </c>
      <c r="I14" s="139" t="s">
        <v>101</v>
      </c>
    </row>
    <row r="15" s="131" customFormat="1" customHeight="1" spans="1:16">
      <c r="A15" s="140"/>
      <c r="B15" s="136" t="s">
        <v>36</v>
      </c>
      <c r="C15" s="136" t="s">
        <v>122</v>
      </c>
      <c r="D15" s="137" t="s">
        <v>118</v>
      </c>
      <c r="E15" s="137" t="s">
        <v>117</v>
      </c>
      <c r="F15" s="138" t="s">
        <v>13</v>
      </c>
      <c r="G15" s="138" t="s">
        <v>59</v>
      </c>
      <c r="H15" s="139" t="s">
        <v>90</v>
      </c>
      <c r="I15" s="139" t="s">
        <v>70</v>
      </c>
    </row>
    <row r="16" s="131" customFormat="1" customHeight="1" spans="1:16">
      <c r="A16" s="140"/>
      <c r="B16" s="136" t="s">
        <v>135</v>
      </c>
      <c r="C16" s="136" t="s">
        <v>68</v>
      </c>
      <c r="D16" s="137" t="s">
        <v>131</v>
      </c>
      <c r="E16" s="137" t="s">
        <v>124</v>
      </c>
      <c r="F16" s="138" t="s">
        <v>53</v>
      </c>
      <c r="G16" s="138" t="s">
        <v>82</v>
      </c>
      <c r="H16" s="139" t="s">
        <v>140</v>
      </c>
      <c r="I16" s="139" t="s">
        <v>97</v>
      </c>
    </row>
    <row r="17" s="131" customFormat="1" customHeight="1" spans="1:9">
      <c r="A17" s="141"/>
      <c r="B17" s="142"/>
      <c r="C17" s="143"/>
      <c r="D17" s="144" t="s">
        <v>63</v>
      </c>
      <c r="E17" s="145"/>
      <c r="F17" s="146"/>
      <c r="G17" s="146"/>
      <c r="H17" s="146"/>
      <c r="I17" s="147"/>
    </row>
    <row r="18" s="131" customFormat="1" customHeight="1" spans="1:9">
      <c r="A18" s="134" t="s">
        <v>394</v>
      </c>
      <c r="B18" s="135"/>
      <c r="C18" s="136"/>
      <c r="D18" s="137" t="s">
        <v>50</v>
      </c>
      <c r="E18" s="137"/>
      <c r="F18" s="138" t="s">
        <v>128</v>
      </c>
      <c r="G18" s="138"/>
      <c r="H18" s="139"/>
      <c r="I18" s="139"/>
    </row>
    <row r="19" s="131" customFormat="1" customHeight="1" spans="1:9">
      <c r="A19" s="140"/>
      <c r="B19" s="148" t="s">
        <v>27</v>
      </c>
      <c r="C19" s="136" t="s">
        <v>38</v>
      </c>
      <c r="D19" s="137" t="s">
        <v>139</v>
      </c>
      <c r="E19" s="137" t="s">
        <v>92</v>
      </c>
      <c r="F19" s="138" t="s">
        <v>58</v>
      </c>
      <c r="G19" s="138" t="s">
        <v>108</v>
      </c>
      <c r="H19" s="139" t="s">
        <v>15</v>
      </c>
      <c r="I19" s="139" t="s">
        <v>69</v>
      </c>
    </row>
    <row r="20" s="131" customFormat="1" customHeight="1" spans="1:9">
      <c r="A20" s="140"/>
      <c r="B20" s="136" t="s">
        <v>79</v>
      </c>
      <c r="C20" s="136" t="s">
        <v>30</v>
      </c>
      <c r="D20" s="137" t="s">
        <v>95</v>
      </c>
      <c r="E20" s="137" t="s">
        <v>33</v>
      </c>
      <c r="F20" s="138" t="s">
        <v>43</v>
      </c>
      <c r="G20" s="138" t="s">
        <v>47</v>
      </c>
      <c r="H20" s="139" t="s">
        <v>45</v>
      </c>
      <c r="I20" s="139" t="s">
        <v>7</v>
      </c>
    </row>
    <row r="21" s="131" customFormat="1" customHeight="1" spans="1:9">
      <c r="A21" s="140"/>
      <c r="B21" s="136" t="s">
        <v>89</v>
      </c>
      <c r="C21" s="136" t="s">
        <v>86</v>
      </c>
      <c r="D21" s="137" t="s">
        <v>85</v>
      </c>
      <c r="E21" s="137" t="s">
        <v>39</v>
      </c>
      <c r="F21" s="138" t="s">
        <v>28</v>
      </c>
      <c r="G21" s="138" t="s">
        <v>21</v>
      </c>
      <c r="H21" s="139" t="s">
        <v>90</v>
      </c>
      <c r="I21" s="139" t="s">
        <v>31</v>
      </c>
    </row>
    <row r="22" s="131" customFormat="1" customHeight="1" spans="1:9">
      <c r="A22" s="140"/>
      <c r="B22" s="136" t="s">
        <v>25</v>
      </c>
      <c r="C22" s="136" t="s">
        <v>101</v>
      </c>
      <c r="D22" s="137" t="s">
        <v>87</v>
      </c>
      <c r="E22" s="137" t="s">
        <v>74</v>
      </c>
      <c r="F22" s="138" t="s">
        <v>137</v>
      </c>
      <c r="G22" s="138" t="s">
        <v>117</v>
      </c>
      <c r="H22" s="139" t="s">
        <v>19</v>
      </c>
      <c r="I22" s="139" t="s">
        <v>13</v>
      </c>
    </row>
    <row r="23" s="131" customFormat="1" customHeight="1" spans="1:9">
      <c r="A23" s="140"/>
      <c r="B23" s="136" t="s">
        <v>70</v>
      </c>
      <c r="C23" s="136" t="s">
        <v>122</v>
      </c>
      <c r="D23" s="149" t="s">
        <v>88</v>
      </c>
      <c r="E23" s="137" t="s">
        <v>36</v>
      </c>
      <c r="F23" s="138" t="s">
        <v>124</v>
      </c>
      <c r="G23" s="138" t="s">
        <v>10</v>
      </c>
      <c r="H23" s="139" t="s">
        <v>59</v>
      </c>
      <c r="I23" s="150" t="s">
        <v>53</v>
      </c>
    </row>
    <row r="24" s="131" customFormat="1" customHeight="1" spans="1:9">
      <c r="A24" s="140"/>
      <c r="B24" s="136" t="s">
        <v>131</v>
      </c>
      <c r="C24" s="136" t="s">
        <v>97</v>
      </c>
      <c r="D24" s="137" t="s">
        <v>82</v>
      </c>
      <c r="E24" s="137" t="s">
        <v>68</v>
      </c>
      <c r="F24" s="151" t="s">
        <v>88</v>
      </c>
      <c r="G24" s="138" t="s">
        <v>118</v>
      </c>
      <c r="H24" s="139" t="s">
        <v>135</v>
      </c>
      <c r="I24" s="150" t="s">
        <v>53</v>
      </c>
    </row>
    <row r="25" s="131" customFormat="1" customHeight="1" spans="1:9">
      <c r="A25" s="141"/>
      <c r="B25" s="152"/>
      <c r="C25" s="153"/>
      <c r="D25" s="144" t="s">
        <v>140</v>
      </c>
      <c r="E25" s="145"/>
      <c r="F25" s="146"/>
      <c r="G25" s="146"/>
      <c r="H25" s="146"/>
      <c r="I25" s="147"/>
    </row>
    <row r="26" customHeight="1" spans="1:9">
      <c r="A26" s="134" t="s">
        <v>395</v>
      </c>
      <c r="B26" s="135"/>
      <c r="C26" s="136"/>
      <c r="D26" s="137"/>
      <c r="E26" s="137"/>
      <c r="F26" s="138"/>
      <c r="G26" s="138"/>
      <c r="H26" s="139" t="s">
        <v>88</v>
      </c>
      <c r="I26" s="139"/>
    </row>
    <row r="27" customHeight="1" spans="1:9">
      <c r="A27" s="140"/>
      <c r="B27" s="148" t="s">
        <v>15</v>
      </c>
      <c r="C27" s="136" t="s">
        <v>38</v>
      </c>
      <c r="D27" s="137" t="s">
        <v>27</v>
      </c>
      <c r="E27" s="137" t="s">
        <v>43</v>
      </c>
      <c r="F27" s="138" t="s">
        <v>128</v>
      </c>
      <c r="G27" s="138" t="s">
        <v>92</v>
      </c>
      <c r="H27" s="139" t="s">
        <v>139</v>
      </c>
      <c r="I27" s="139" t="s">
        <v>58</v>
      </c>
    </row>
    <row r="28" customHeight="1" spans="1:9">
      <c r="A28" s="140"/>
      <c r="B28" s="136" t="s">
        <v>45</v>
      </c>
      <c r="C28" s="136" t="s">
        <v>7</v>
      </c>
      <c r="D28" s="137" t="s">
        <v>79</v>
      </c>
      <c r="E28" s="137" t="s">
        <v>30</v>
      </c>
      <c r="F28" s="138" t="s">
        <v>87</v>
      </c>
      <c r="G28" s="138" t="s">
        <v>89</v>
      </c>
      <c r="H28" s="139" t="s">
        <v>69</v>
      </c>
      <c r="I28" s="139" t="s">
        <v>50</v>
      </c>
    </row>
    <row r="29" customHeight="1" spans="1:9">
      <c r="A29" s="140"/>
      <c r="B29" s="136" t="s">
        <v>90</v>
      </c>
      <c r="C29" s="136" t="s">
        <v>63</v>
      </c>
      <c r="D29" s="137" t="s">
        <v>137</v>
      </c>
      <c r="E29" s="137" t="s">
        <v>86</v>
      </c>
      <c r="F29" s="138" t="s">
        <v>33</v>
      </c>
      <c r="G29" s="138" t="s">
        <v>39</v>
      </c>
      <c r="H29" s="139" t="s">
        <v>28</v>
      </c>
      <c r="I29" s="139" t="s">
        <v>31</v>
      </c>
    </row>
    <row r="30" customHeight="1" spans="1:9">
      <c r="A30" s="140"/>
      <c r="B30" s="136" t="s">
        <v>53</v>
      </c>
      <c r="C30" s="136" t="s">
        <v>21</v>
      </c>
      <c r="D30" s="137" t="s">
        <v>101</v>
      </c>
      <c r="E30" s="137" t="s">
        <v>85</v>
      </c>
      <c r="F30" s="138" t="s">
        <v>74</v>
      </c>
      <c r="G30" s="138" t="s">
        <v>19</v>
      </c>
      <c r="H30" s="139" t="s">
        <v>129</v>
      </c>
      <c r="I30" s="139" t="s">
        <v>25</v>
      </c>
    </row>
    <row r="31" customHeight="1" spans="1:9">
      <c r="A31" s="140"/>
      <c r="B31" s="136" t="s">
        <v>131</v>
      </c>
      <c r="C31" s="136" t="s">
        <v>59</v>
      </c>
      <c r="D31" s="137" t="s">
        <v>10</v>
      </c>
      <c r="E31" s="137" t="s">
        <v>70</v>
      </c>
      <c r="F31" s="138" t="s">
        <v>82</v>
      </c>
      <c r="G31" s="138" t="s">
        <v>36</v>
      </c>
      <c r="H31" s="139" t="s">
        <v>47</v>
      </c>
      <c r="I31" s="139" t="s">
        <v>117</v>
      </c>
    </row>
    <row r="32" customHeight="1" spans="1:9">
      <c r="A32" s="140"/>
      <c r="B32" s="136" t="s">
        <v>122</v>
      </c>
      <c r="C32" s="136" t="s">
        <v>118</v>
      </c>
      <c r="D32" s="137" t="s">
        <v>135</v>
      </c>
      <c r="E32" s="137" t="s">
        <v>108</v>
      </c>
      <c r="F32" s="138" t="s">
        <v>13</v>
      </c>
      <c r="G32" s="138" t="s">
        <v>97</v>
      </c>
      <c r="H32" s="139" t="s">
        <v>68</v>
      </c>
      <c r="I32" s="139" t="s">
        <v>124</v>
      </c>
    </row>
    <row r="33" customHeight="1" spans="1:9">
      <c r="A33" s="141"/>
      <c r="B33" s="152"/>
      <c r="C33" s="153"/>
      <c r="D33" s="144" t="s">
        <v>140</v>
      </c>
      <c r="E33" s="145"/>
      <c r="F33" s="146"/>
      <c r="G33" s="146"/>
      <c r="H33" s="146"/>
      <c r="I33" s="147"/>
    </row>
    <row r="34" customHeight="1" spans="1:9">
      <c r="A34" s="134" t="s">
        <v>396</v>
      </c>
      <c r="B34" s="135"/>
      <c r="C34" s="136"/>
      <c r="D34" s="137"/>
      <c r="E34" s="137"/>
      <c r="F34" s="138" t="s">
        <v>88</v>
      </c>
      <c r="G34" s="138" t="s">
        <v>63</v>
      </c>
      <c r="H34" s="139"/>
      <c r="I34" s="139"/>
    </row>
    <row r="35" customHeight="1" spans="1:9">
      <c r="A35" s="140"/>
      <c r="B35" s="148" t="s">
        <v>87</v>
      </c>
      <c r="C35" s="136" t="s">
        <v>139</v>
      </c>
      <c r="D35" s="137" t="s">
        <v>50</v>
      </c>
      <c r="E35" s="137" t="s">
        <v>27</v>
      </c>
      <c r="F35" s="138" t="s">
        <v>43</v>
      </c>
      <c r="G35" s="138" t="s">
        <v>15</v>
      </c>
      <c r="H35" s="139" t="s">
        <v>128</v>
      </c>
      <c r="I35" s="139" t="s">
        <v>69</v>
      </c>
    </row>
    <row r="36" customHeight="1" spans="1:9">
      <c r="A36" s="140"/>
      <c r="B36" s="136" t="s">
        <v>129</v>
      </c>
      <c r="C36" s="136" t="s">
        <v>137</v>
      </c>
      <c r="D36" s="137" t="s">
        <v>89</v>
      </c>
      <c r="E36" s="137" t="s">
        <v>58</v>
      </c>
      <c r="F36" s="138" t="s">
        <v>92</v>
      </c>
      <c r="G36" s="138" t="s">
        <v>38</v>
      </c>
      <c r="H36" s="139" t="s">
        <v>45</v>
      </c>
      <c r="I36" s="139" t="s">
        <v>79</v>
      </c>
    </row>
    <row r="37" customHeight="1" spans="1:9">
      <c r="A37" s="140"/>
      <c r="B37" s="136" t="s">
        <v>33</v>
      </c>
      <c r="C37" s="136" t="s">
        <v>30</v>
      </c>
      <c r="D37" s="137" t="s">
        <v>90</v>
      </c>
      <c r="E37" s="137" t="s">
        <v>86</v>
      </c>
      <c r="F37" s="138" t="s">
        <v>7</v>
      </c>
      <c r="G37" s="138" t="s">
        <v>31</v>
      </c>
      <c r="H37" s="139" t="s">
        <v>101</v>
      </c>
      <c r="I37" s="139" t="s">
        <v>39</v>
      </c>
    </row>
    <row r="38" customHeight="1" spans="1:9">
      <c r="A38" s="140"/>
      <c r="B38" s="136" t="s">
        <v>74</v>
      </c>
      <c r="C38" s="136" t="s">
        <v>21</v>
      </c>
      <c r="D38" s="137" t="s">
        <v>28</v>
      </c>
      <c r="E38" s="137" t="s">
        <v>47</v>
      </c>
      <c r="F38" s="138" t="s">
        <v>53</v>
      </c>
      <c r="G38" s="138" t="s">
        <v>85</v>
      </c>
      <c r="H38" s="139" t="s">
        <v>117</v>
      </c>
      <c r="I38" s="139" t="s">
        <v>10</v>
      </c>
    </row>
    <row r="39" customHeight="1" spans="1:9">
      <c r="A39" s="140"/>
      <c r="B39" s="136" t="s">
        <v>118</v>
      </c>
      <c r="C39" s="136" t="s">
        <v>131</v>
      </c>
      <c r="D39" s="137" t="s">
        <v>70</v>
      </c>
      <c r="E39" s="137" t="s">
        <v>19</v>
      </c>
      <c r="F39" s="138" t="s">
        <v>124</v>
      </c>
      <c r="G39" s="138" t="s">
        <v>13</v>
      </c>
      <c r="H39" s="139" t="s">
        <v>25</v>
      </c>
      <c r="I39" s="139" t="s">
        <v>59</v>
      </c>
    </row>
    <row r="40" customHeight="1" spans="1:9">
      <c r="A40" s="140"/>
      <c r="B40" s="136" t="s">
        <v>108</v>
      </c>
      <c r="C40" s="136" t="s">
        <v>122</v>
      </c>
      <c r="D40" s="137" t="s">
        <v>97</v>
      </c>
      <c r="E40" s="137" t="s">
        <v>135</v>
      </c>
      <c r="F40" s="138" t="s">
        <v>140</v>
      </c>
      <c r="G40" s="138" t="s">
        <v>68</v>
      </c>
      <c r="H40" s="139" t="s">
        <v>36</v>
      </c>
      <c r="I40" s="139" t="s">
        <v>82</v>
      </c>
    </row>
    <row r="41" customHeight="1" spans="1:9">
      <c r="A41" s="141"/>
      <c r="B41" s="152"/>
      <c r="C41" s="153"/>
      <c r="D41" s="144"/>
      <c r="E41" s="145"/>
      <c r="F41" s="146"/>
      <c r="G41" s="146"/>
      <c r="H41" s="146"/>
      <c r="I41" s="147"/>
    </row>
  </sheetData>
  <mergeCells count="16">
    <mergeCell ref="A1:XFD1"/>
    <mergeCell ref="B9:C9"/>
    <mergeCell ref="E9:I9"/>
    <mergeCell ref="B17:C17"/>
    <mergeCell ref="E17:I17"/>
    <mergeCell ref="B25:C25"/>
    <mergeCell ref="E25:I25"/>
    <mergeCell ref="B33:C33"/>
    <mergeCell ref="E33:I33"/>
    <mergeCell ref="B41:C41"/>
    <mergeCell ref="E41:I41"/>
    <mergeCell ref="A2:A9"/>
    <mergeCell ref="A10:A17"/>
    <mergeCell ref="A18:A25"/>
    <mergeCell ref="A26:A33"/>
    <mergeCell ref="A34:A4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E1FF"/>
  </sheetPr>
  <dimension ref="A1:C52"/>
  <sheetViews>
    <sheetView topLeftCell="A28" workbookViewId="0">
      <selection activeCell="G40" sqref="G40"/>
    </sheetView>
  </sheetViews>
  <sheetFormatPr defaultColWidth="8.72727272727273" defaultRowHeight="14" outlineLevelCol="2"/>
  <cols>
    <col min="1" max="1" width="5.16363636363636" style="118" customWidth="1"/>
    <col min="2" max="2" width="20.5545454545455" style="119" customWidth="1"/>
    <col min="3" max="3" width="61.9" style="120" customWidth="1"/>
  </cols>
  <sheetData>
    <row r="1" spans="1:3">
      <c r="A1" s="121" t="s">
        <v>397</v>
      </c>
      <c r="B1" s="122" t="s">
        <v>398</v>
      </c>
      <c r="C1" s="123" t="s">
        <v>198</v>
      </c>
    </row>
    <row r="2" spans="1:3">
      <c r="A2" s="124" t="s">
        <v>1</v>
      </c>
      <c r="B2" s="119" t="s">
        <v>399</v>
      </c>
      <c r="C2" s="120" t="s">
        <v>400</v>
      </c>
    </row>
    <row r="3" spans="1:3">
      <c r="A3" s="124"/>
      <c r="B3" s="119" t="s">
        <v>401</v>
      </c>
      <c r="C3" s="120" t="s">
        <v>402</v>
      </c>
    </row>
    <row r="4" spans="1:3">
      <c r="A4" s="124"/>
      <c r="B4" s="119" t="s">
        <v>403</v>
      </c>
      <c r="C4" s="120" t="s">
        <v>404</v>
      </c>
    </row>
    <row r="5" spans="1:3">
      <c r="A5" s="124"/>
      <c r="B5" s="119" t="s">
        <v>405</v>
      </c>
      <c r="C5" s="120" t="s">
        <v>406</v>
      </c>
    </row>
    <row r="6" spans="1:3">
      <c r="A6" s="124"/>
      <c r="B6" s="119" t="s">
        <v>407</v>
      </c>
      <c r="C6" s="120" t="s">
        <v>408</v>
      </c>
    </row>
    <row r="7" spans="1:3">
      <c r="A7" s="124"/>
      <c r="B7" s="119" t="s">
        <v>409</v>
      </c>
      <c r="C7" s="120" t="s">
        <v>410</v>
      </c>
    </row>
    <row r="8" spans="1:3">
      <c r="A8" s="124"/>
      <c r="B8" s="119" t="s">
        <v>411</v>
      </c>
      <c r="C8" s="120" t="s">
        <v>412</v>
      </c>
    </row>
    <row r="9" spans="1:3">
      <c r="A9" s="124"/>
      <c r="B9" s="119" t="s">
        <v>413</v>
      </c>
      <c r="C9" s="120" t="s">
        <v>414</v>
      </c>
    </row>
    <row r="10" spans="1:3">
      <c r="A10" s="124"/>
      <c r="B10" s="119" t="s">
        <v>415</v>
      </c>
      <c r="C10" s="120" t="s">
        <v>416</v>
      </c>
    </row>
    <row r="11" spans="1:3">
      <c r="A11" s="124"/>
      <c r="B11" s="119" t="s">
        <v>417</v>
      </c>
      <c r="C11" s="120" t="s">
        <v>418</v>
      </c>
    </row>
    <row r="12" spans="1:3">
      <c r="A12" s="124"/>
      <c r="B12" s="119" t="s">
        <v>419</v>
      </c>
      <c r="C12" s="120" t="s">
        <v>420</v>
      </c>
    </row>
    <row r="13" spans="1:3">
      <c r="A13" s="124"/>
      <c r="B13" s="119" t="s">
        <v>421</v>
      </c>
      <c r="C13" s="120" t="s">
        <v>422</v>
      </c>
    </row>
    <row r="14" spans="1:3">
      <c r="A14" s="124"/>
      <c r="B14" s="119" t="s">
        <v>423</v>
      </c>
      <c r="C14" s="120" t="s">
        <v>424</v>
      </c>
    </row>
    <row r="15" spans="1:3">
      <c r="A15" s="124"/>
      <c r="B15" s="119" t="s">
        <v>425</v>
      </c>
      <c r="C15" s="120" t="s">
        <v>426</v>
      </c>
    </row>
    <row r="16" spans="1:3">
      <c r="A16" s="124"/>
      <c r="B16" s="119" t="s">
        <v>427</v>
      </c>
      <c r="C16" s="120" t="s">
        <v>428</v>
      </c>
    </row>
    <row r="17" spans="1:3">
      <c r="A17" s="124"/>
      <c r="B17" s="119" t="s">
        <v>429</v>
      </c>
      <c r="C17" s="120" t="s">
        <v>430</v>
      </c>
    </row>
    <row r="18" spans="1:3">
      <c r="A18" s="124"/>
      <c r="B18" s="119" t="s">
        <v>431</v>
      </c>
      <c r="C18" s="120" t="s">
        <v>432</v>
      </c>
    </row>
    <row r="19" spans="1:3">
      <c r="A19" s="124"/>
      <c r="B19" s="119" t="s">
        <v>433</v>
      </c>
      <c r="C19" s="120" t="s">
        <v>434</v>
      </c>
    </row>
    <row r="20" spans="1:3">
      <c r="A20" s="124"/>
      <c r="B20" s="119" t="s">
        <v>433</v>
      </c>
      <c r="C20" s="120" t="s">
        <v>435</v>
      </c>
    </row>
    <row r="21" spans="1:3">
      <c r="A21" s="124"/>
      <c r="B21" s="119" t="s">
        <v>436</v>
      </c>
      <c r="C21" s="120" t="s">
        <v>437</v>
      </c>
    </row>
    <row r="22" spans="1:3">
      <c r="A22" s="124"/>
      <c r="B22" s="119" t="s">
        <v>438</v>
      </c>
      <c r="C22" s="120" t="s">
        <v>439</v>
      </c>
    </row>
    <row r="23" spans="1:3">
      <c r="A23" s="124"/>
      <c r="B23" s="119" t="s">
        <v>440</v>
      </c>
      <c r="C23" s="120" t="s">
        <v>441</v>
      </c>
    </row>
    <row r="24" spans="1:3">
      <c r="A24" s="125" t="s">
        <v>2</v>
      </c>
      <c r="B24" s="119" t="s">
        <v>442</v>
      </c>
      <c r="C24" s="120" t="s">
        <v>443</v>
      </c>
    </row>
    <row r="25" spans="1:3">
      <c r="A25" s="125"/>
      <c r="B25" s="119" t="s">
        <v>444</v>
      </c>
      <c r="C25" s="120" t="s">
        <v>445</v>
      </c>
    </row>
    <row r="26" spans="1:3">
      <c r="A26" s="125"/>
      <c r="B26" s="119" t="s">
        <v>446</v>
      </c>
      <c r="C26" s="120" t="s">
        <v>447</v>
      </c>
    </row>
    <row r="27" spans="1:3">
      <c r="A27" s="125"/>
      <c r="B27" s="119" t="s">
        <v>448</v>
      </c>
      <c r="C27" s="120" t="s">
        <v>449</v>
      </c>
    </row>
    <row r="28" spans="1:3">
      <c r="A28" s="125"/>
      <c r="B28" s="119" t="s">
        <v>450</v>
      </c>
      <c r="C28" s="120" t="s">
        <v>451</v>
      </c>
    </row>
    <row r="29" spans="1:3">
      <c r="A29" s="125"/>
      <c r="B29" s="119" t="s">
        <v>452</v>
      </c>
      <c r="C29" s="120" t="s">
        <v>453</v>
      </c>
    </row>
    <row r="30" spans="1:3">
      <c r="A30" s="125"/>
      <c r="B30" s="119" t="s">
        <v>454</v>
      </c>
      <c r="C30" s="120" t="s">
        <v>455</v>
      </c>
    </row>
    <row r="31" spans="1:3">
      <c r="A31" s="125"/>
      <c r="B31" s="119" t="s">
        <v>456</v>
      </c>
      <c r="C31" s="120" t="s">
        <v>457</v>
      </c>
    </row>
    <row r="32" spans="1:3">
      <c r="A32" s="125"/>
      <c r="B32" s="119" t="s">
        <v>458</v>
      </c>
      <c r="C32" s="120" t="s">
        <v>459</v>
      </c>
    </row>
    <row r="33" spans="1:3">
      <c r="A33" s="125"/>
      <c r="B33" s="119" t="s">
        <v>460</v>
      </c>
      <c r="C33" s="120" t="s">
        <v>461</v>
      </c>
    </row>
    <row r="34" spans="1:3">
      <c r="A34" s="125"/>
      <c r="B34" s="119" t="s">
        <v>462</v>
      </c>
      <c r="C34" s="120" t="s">
        <v>463</v>
      </c>
    </row>
    <row r="35" spans="1:3">
      <c r="A35" s="125"/>
      <c r="B35" s="119" t="s">
        <v>464</v>
      </c>
      <c r="C35" s="120" t="s">
        <v>465</v>
      </c>
    </row>
    <row r="36" spans="1:3">
      <c r="A36" s="126"/>
      <c r="B36" s="119" t="s">
        <v>466</v>
      </c>
      <c r="C36" s="120" t="s">
        <v>467</v>
      </c>
    </row>
    <row r="37" spans="1:3">
      <c r="A37" s="127" t="s">
        <v>3</v>
      </c>
      <c r="B37" s="119" t="s">
        <v>468</v>
      </c>
      <c r="C37" s="120" t="s">
        <v>469</v>
      </c>
    </row>
    <row r="38" spans="1:3">
      <c r="A38" s="128"/>
      <c r="B38" s="119" t="s">
        <v>470</v>
      </c>
      <c r="C38" s="120" t="s">
        <v>471</v>
      </c>
    </row>
    <row r="39" spans="1:3">
      <c r="A39" s="128"/>
      <c r="B39" s="119" t="s">
        <v>472</v>
      </c>
      <c r="C39" s="120" t="s">
        <v>473</v>
      </c>
    </row>
    <row r="40" spans="1:3">
      <c r="A40" s="128"/>
      <c r="B40" s="119" t="s">
        <v>474</v>
      </c>
      <c r="C40" s="120" t="s">
        <v>408</v>
      </c>
    </row>
    <row r="41" spans="1:3">
      <c r="A41" s="128"/>
      <c r="B41" s="119" t="s">
        <v>475</v>
      </c>
      <c r="C41" s="120" t="s">
        <v>476</v>
      </c>
    </row>
    <row r="42" spans="1:3">
      <c r="A42" s="128"/>
      <c r="B42" s="119" t="s">
        <v>477</v>
      </c>
      <c r="C42" s="120" t="s">
        <v>478</v>
      </c>
    </row>
    <row r="43" spans="1:3">
      <c r="A43" s="128"/>
      <c r="B43" s="119" t="s">
        <v>479</v>
      </c>
      <c r="C43" s="120" t="s">
        <v>480</v>
      </c>
    </row>
    <row r="44" spans="1:3">
      <c r="A44" s="128"/>
      <c r="B44" s="119" t="s">
        <v>481</v>
      </c>
      <c r="C44" s="120" t="s">
        <v>482</v>
      </c>
    </row>
    <row r="45" spans="1:3">
      <c r="A45" s="128"/>
      <c r="B45" s="119" t="s">
        <v>483</v>
      </c>
      <c r="C45" s="120" t="s">
        <v>484</v>
      </c>
    </row>
    <row r="46" spans="1:3">
      <c r="A46" s="128"/>
      <c r="B46" s="119" t="s">
        <v>485</v>
      </c>
      <c r="C46" s="120" t="s">
        <v>486</v>
      </c>
    </row>
    <row r="47" spans="1:3">
      <c r="A47" s="128"/>
      <c r="B47" s="119" t="s">
        <v>487</v>
      </c>
      <c r="C47" s="120" t="s">
        <v>488</v>
      </c>
    </row>
    <row r="48" spans="1:3">
      <c r="A48" s="128"/>
      <c r="B48" s="119" t="s">
        <v>489</v>
      </c>
      <c r="C48" s="120" t="s">
        <v>490</v>
      </c>
    </row>
    <row r="49" spans="1:3">
      <c r="A49" s="129"/>
      <c r="B49" s="119" t="s">
        <v>491</v>
      </c>
      <c r="C49" s="120" t="s">
        <v>492</v>
      </c>
    </row>
    <row r="50" customFormat="1" spans="1:3">
      <c r="B50" s="119" t="s">
        <v>493</v>
      </c>
    </row>
    <row r="51" customFormat="1" spans="1:3">
      <c r="A51" s="118"/>
      <c r="B51" s="119" t="s">
        <v>493</v>
      </c>
      <c r="C51" s="120"/>
    </row>
    <row r="52" customFormat="1" spans="1:3">
      <c r="A52" s="118"/>
      <c r="B52" s="119" t="s">
        <v>493</v>
      </c>
      <c r="C52" s="120"/>
    </row>
  </sheetData>
  <mergeCells count="3">
    <mergeCell ref="A2:A23"/>
    <mergeCell ref="A24:A36"/>
    <mergeCell ref="A37:A4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5"/>
  </sheetPr>
  <dimension ref="A1:E55"/>
  <sheetViews>
    <sheetView zoomScale="85" zoomScaleNormal="85" topLeftCell="A31" workbookViewId="0">
      <selection activeCell="D50" sqref="D50"/>
    </sheetView>
  </sheetViews>
  <sheetFormatPr defaultColWidth="8.72727272727273" defaultRowHeight="14" outlineLevelCol="4"/>
  <cols>
    <col min="1" max="1" width="4" style="102" customWidth="1"/>
    <col min="2" max="2" width="7.21818181818182" style="103" customWidth="1"/>
    <col min="3" max="3" width="9.21818181818182" style="104" customWidth="1"/>
    <col min="4" max="4" width="62.4545454545455" style="105" customWidth="1"/>
  </cols>
  <sheetData>
    <row r="1" spans="1:5">
      <c r="A1" s="106" t="s">
        <v>494</v>
      </c>
      <c r="B1" s="107" t="s">
        <v>0</v>
      </c>
      <c r="C1" s="108" t="s">
        <v>495</v>
      </c>
      <c r="D1" s="109" t="s">
        <v>496</v>
      </c>
    </row>
    <row r="2" spans="1:5">
      <c r="A2" s="110">
        <v>1</v>
      </c>
      <c r="B2" s="111" t="s">
        <v>7</v>
      </c>
      <c r="C2" s="112">
        <v>20111216</v>
      </c>
      <c r="D2" s="105" t="s">
        <v>497</v>
      </c>
    </row>
    <row r="3" spans="1:5">
      <c r="A3" s="110">
        <v>2</v>
      </c>
      <c r="B3" s="111" t="s">
        <v>10</v>
      </c>
      <c r="C3" s="113">
        <v>20111227</v>
      </c>
      <c r="D3" s="105" t="s">
        <v>498</v>
      </c>
    </row>
    <row r="4" spans="1:5">
      <c r="A4" s="110">
        <v>3</v>
      </c>
      <c r="B4" s="111" t="s">
        <v>13</v>
      </c>
      <c r="C4" s="113">
        <v>20120518</v>
      </c>
      <c r="D4" s="105" t="s">
        <v>499</v>
      </c>
    </row>
    <row r="5" customFormat="1" spans="1:5">
      <c r="A5" s="110">
        <v>4</v>
      </c>
      <c r="B5" s="111" t="s">
        <v>15</v>
      </c>
      <c r="C5" s="113">
        <v>20120714</v>
      </c>
      <c r="D5" s="105" t="s">
        <v>17</v>
      </c>
    </row>
    <row r="6" spans="1:5">
      <c r="A6" s="110">
        <v>5</v>
      </c>
      <c r="B6" s="111" t="s">
        <v>19</v>
      </c>
      <c r="C6" s="113">
        <v>20120504</v>
      </c>
      <c r="D6" s="105" t="s">
        <v>344</v>
      </c>
    </row>
    <row r="7" spans="1:5">
      <c r="A7" s="110">
        <v>6</v>
      </c>
      <c r="B7" s="111" t="s">
        <v>21</v>
      </c>
      <c r="C7" s="113">
        <v>20120809</v>
      </c>
      <c r="D7" s="105" t="s">
        <v>500</v>
      </c>
    </row>
    <row r="8" spans="1:5">
      <c r="A8" s="110">
        <v>7</v>
      </c>
      <c r="B8" s="111" t="s">
        <v>25</v>
      </c>
      <c r="C8" s="113">
        <v>20120227</v>
      </c>
      <c r="D8" s="105" t="s">
        <v>501</v>
      </c>
    </row>
    <row r="9" spans="1:5">
      <c r="A9" s="110">
        <v>8</v>
      </c>
      <c r="B9" s="111" t="s">
        <v>27</v>
      </c>
      <c r="C9" s="113">
        <v>20120127</v>
      </c>
      <c r="D9" s="105" t="s">
        <v>502</v>
      </c>
    </row>
    <row r="10" spans="1:5">
      <c r="A10" s="110">
        <v>9</v>
      </c>
      <c r="B10" s="111" t="s">
        <v>28</v>
      </c>
      <c r="C10" s="113">
        <v>20111202</v>
      </c>
      <c r="D10" s="105" t="s">
        <v>503</v>
      </c>
    </row>
    <row r="11" customFormat="1" spans="1:5">
      <c r="A11" s="110">
        <v>10</v>
      </c>
      <c r="B11" s="111" t="s">
        <v>30</v>
      </c>
      <c r="C11" s="113">
        <v>20120623</v>
      </c>
      <c r="D11" s="105"/>
    </row>
    <row r="12" spans="1:5">
      <c r="A12" s="110">
        <v>11</v>
      </c>
      <c r="B12" s="111" t="s">
        <v>31</v>
      </c>
      <c r="C12" s="113">
        <v>20111024</v>
      </c>
      <c r="D12" s="105" t="s">
        <v>504</v>
      </c>
    </row>
    <row r="13" spans="1:5">
      <c r="A13" s="110">
        <v>12</v>
      </c>
      <c r="B13" s="111" t="s">
        <v>33</v>
      </c>
      <c r="C13" s="113">
        <v>20110908</v>
      </c>
      <c r="D13" s="105" t="s">
        <v>505</v>
      </c>
    </row>
    <row r="14" spans="1:5">
      <c r="A14" s="110">
        <v>13</v>
      </c>
      <c r="B14" s="111" t="s">
        <v>36</v>
      </c>
      <c r="C14" s="113">
        <v>20120228</v>
      </c>
      <c r="D14" s="105" t="s">
        <v>506</v>
      </c>
    </row>
    <row r="15" customFormat="1" spans="1:5">
      <c r="A15" s="110">
        <v>14</v>
      </c>
      <c r="B15" s="111" t="s">
        <v>38</v>
      </c>
      <c r="C15" s="113">
        <v>20110904</v>
      </c>
      <c r="D15" s="105"/>
    </row>
    <row r="16" spans="1:5">
      <c r="A16" s="110">
        <v>15</v>
      </c>
      <c r="B16" s="111" t="s">
        <v>39</v>
      </c>
      <c r="C16" s="112">
        <v>20111201</v>
      </c>
      <c r="D16" s="105" t="s">
        <v>507</v>
      </c>
      <c r="E16" t="s">
        <v>508</v>
      </c>
    </row>
    <row r="17" spans="1:5">
      <c r="A17" s="110">
        <v>16</v>
      </c>
      <c r="B17" s="111" t="s">
        <v>43</v>
      </c>
      <c r="C17" s="113">
        <v>20120722</v>
      </c>
      <c r="D17" s="105" t="s">
        <v>509</v>
      </c>
    </row>
    <row r="18" customFormat="1" spans="1:5">
      <c r="A18" s="110">
        <v>17</v>
      </c>
      <c r="B18" s="111" t="s">
        <v>45</v>
      </c>
      <c r="C18" s="113">
        <v>20111215</v>
      </c>
      <c r="D18" s="105"/>
      <c r="E18" t="s">
        <v>508</v>
      </c>
    </row>
    <row r="19" customFormat="1" spans="1:5">
      <c r="A19" s="110">
        <v>18</v>
      </c>
      <c r="B19" s="111" t="s">
        <v>47</v>
      </c>
      <c r="C19" s="113">
        <v>20120509</v>
      </c>
      <c r="D19" s="105"/>
    </row>
    <row r="20" spans="1:5">
      <c r="A20" s="110">
        <v>19</v>
      </c>
      <c r="B20" s="111" t="s">
        <v>50</v>
      </c>
      <c r="C20" s="113">
        <v>20120530</v>
      </c>
      <c r="D20" s="105" t="s">
        <v>510</v>
      </c>
    </row>
    <row r="21" spans="1:5">
      <c r="A21" s="110">
        <v>20</v>
      </c>
      <c r="B21" s="111" t="s">
        <v>53</v>
      </c>
      <c r="C21" s="113">
        <v>20120827</v>
      </c>
      <c r="D21" s="105" t="s">
        <v>511</v>
      </c>
      <c r="E21" t="s">
        <v>508</v>
      </c>
    </row>
    <row r="22" customFormat="1" spans="1:5">
      <c r="A22" s="110">
        <v>21</v>
      </c>
      <c r="B22" s="111" t="s">
        <v>58</v>
      </c>
      <c r="C22" s="113">
        <v>20120816</v>
      </c>
      <c r="D22" s="105"/>
    </row>
    <row r="23" spans="1:5">
      <c r="A23" s="110">
        <v>22</v>
      </c>
      <c r="B23" s="111" t="s">
        <v>59</v>
      </c>
      <c r="C23" s="113">
        <v>20120518</v>
      </c>
      <c r="D23" s="105" t="s">
        <v>512</v>
      </c>
    </row>
    <row r="24" spans="1:5">
      <c r="A24" s="110">
        <v>23</v>
      </c>
      <c r="B24" s="111" t="s">
        <v>63</v>
      </c>
      <c r="C24" s="113">
        <v>20120413</v>
      </c>
      <c r="D24" s="105" t="s">
        <v>513</v>
      </c>
    </row>
    <row r="25" spans="1:5">
      <c r="A25" s="110">
        <v>24</v>
      </c>
      <c r="B25" s="111" t="s">
        <v>68</v>
      </c>
      <c r="C25" s="113">
        <v>20120629</v>
      </c>
      <c r="D25" s="105" t="s">
        <v>514</v>
      </c>
    </row>
    <row r="26" spans="1:5">
      <c r="A26" s="110">
        <v>25</v>
      </c>
      <c r="B26" s="111" t="s">
        <v>69</v>
      </c>
      <c r="C26" s="113">
        <v>20111105</v>
      </c>
      <c r="D26" s="105" t="s">
        <v>515</v>
      </c>
    </row>
    <row r="27" spans="1:5">
      <c r="A27" s="110">
        <v>26</v>
      </c>
      <c r="B27" s="111" t="s">
        <v>70</v>
      </c>
      <c r="C27" s="113">
        <v>20120112</v>
      </c>
      <c r="D27" s="105" t="s">
        <v>516</v>
      </c>
    </row>
    <row r="28" spans="1:5">
      <c r="A28" s="110">
        <v>27</v>
      </c>
      <c r="B28" s="111" t="s">
        <v>74</v>
      </c>
      <c r="C28" s="113">
        <v>20111119</v>
      </c>
      <c r="D28" s="105" t="s">
        <v>517</v>
      </c>
    </row>
    <row r="29" customFormat="1" spans="1:5">
      <c r="A29" s="110">
        <v>28</v>
      </c>
      <c r="B29" s="111" t="s">
        <v>79</v>
      </c>
      <c r="C29" s="113">
        <v>20120110</v>
      </c>
      <c r="D29" s="105" t="s">
        <v>518</v>
      </c>
    </row>
    <row r="30" spans="1:5">
      <c r="A30" s="110">
        <v>29</v>
      </c>
      <c r="B30" s="111" t="s">
        <v>82</v>
      </c>
      <c r="C30" s="113">
        <v>20120331</v>
      </c>
      <c r="D30" s="105" t="s">
        <v>519</v>
      </c>
    </row>
    <row r="31" spans="1:5">
      <c r="A31" s="110">
        <v>30</v>
      </c>
      <c r="B31" s="111" t="s">
        <v>85</v>
      </c>
      <c r="C31" s="113">
        <v>20111109</v>
      </c>
      <c r="D31" s="105" t="s">
        <v>520</v>
      </c>
    </row>
    <row r="32" spans="1:5">
      <c r="A32" s="110">
        <v>31</v>
      </c>
      <c r="B32" s="111" t="s">
        <v>86</v>
      </c>
      <c r="C32" s="113">
        <v>20120824</v>
      </c>
      <c r="D32" s="105" t="s">
        <v>521</v>
      </c>
    </row>
    <row r="33" customFormat="1" spans="1:5">
      <c r="A33" s="110">
        <v>32</v>
      </c>
      <c r="B33" s="111" t="s">
        <v>87</v>
      </c>
      <c r="C33" s="113">
        <v>20120425</v>
      </c>
      <c r="D33" s="105"/>
    </row>
    <row r="34" spans="1:5">
      <c r="A34" s="110">
        <v>33</v>
      </c>
      <c r="B34" s="111" t="s">
        <v>88</v>
      </c>
      <c r="C34" s="113">
        <v>20120624</v>
      </c>
      <c r="D34" s="105" t="s">
        <v>522</v>
      </c>
    </row>
    <row r="35" customFormat="1" spans="1:5">
      <c r="A35" s="110">
        <v>34</v>
      </c>
      <c r="B35" s="111" t="s">
        <v>89</v>
      </c>
      <c r="C35" s="113">
        <v>20120507</v>
      </c>
      <c r="D35" s="105"/>
    </row>
    <row r="36" spans="1:5">
      <c r="A36" s="110">
        <v>35</v>
      </c>
      <c r="B36" s="111" t="s">
        <v>90</v>
      </c>
      <c r="C36" s="113">
        <v>20120603</v>
      </c>
      <c r="D36" s="105" t="s">
        <v>523</v>
      </c>
    </row>
    <row r="37" spans="1:5">
      <c r="A37" s="110">
        <v>36</v>
      </c>
      <c r="B37" s="111" t="s">
        <v>92</v>
      </c>
      <c r="C37" s="112">
        <v>20120326</v>
      </c>
      <c r="D37" s="105" t="s">
        <v>524</v>
      </c>
    </row>
    <row r="38" spans="1:5">
      <c r="A38" s="114">
        <v>37</v>
      </c>
      <c r="B38" s="114" t="s">
        <v>95</v>
      </c>
      <c r="C38" s="115">
        <v>20111106</v>
      </c>
      <c r="D38" s="116" t="s">
        <v>525</v>
      </c>
      <c r="E38" t="s">
        <v>508</v>
      </c>
    </row>
    <row r="39" spans="1:5">
      <c r="A39" s="110">
        <v>38</v>
      </c>
      <c r="B39" s="111" t="s">
        <v>97</v>
      </c>
      <c r="C39" s="113">
        <v>20120811</v>
      </c>
      <c r="D39" s="117" t="s">
        <v>526</v>
      </c>
    </row>
    <row r="40" spans="1:5">
      <c r="A40" s="110">
        <v>39</v>
      </c>
      <c r="B40" s="111" t="s">
        <v>101</v>
      </c>
      <c r="C40" s="113">
        <v>20111217</v>
      </c>
      <c r="D40" s="117" t="s">
        <v>527</v>
      </c>
    </row>
    <row r="41" spans="1:5">
      <c r="A41" s="110">
        <v>40</v>
      </c>
      <c r="B41" s="111" t="s">
        <v>108</v>
      </c>
      <c r="C41" s="113">
        <v>20111013</v>
      </c>
      <c r="D41" s="105" t="s">
        <v>528</v>
      </c>
      <c r="E41" t="s">
        <v>508</v>
      </c>
    </row>
    <row r="42" customFormat="1" spans="1:5">
      <c r="A42" s="110">
        <v>41</v>
      </c>
      <c r="B42" s="111" t="s">
        <v>117</v>
      </c>
      <c r="C42" s="113">
        <v>20111027</v>
      </c>
      <c r="D42" s="105"/>
    </row>
    <row r="43" spans="1:5">
      <c r="A43" s="110">
        <v>42</v>
      </c>
      <c r="B43" s="111" t="s">
        <v>118</v>
      </c>
      <c r="C43" s="113">
        <v>20120207</v>
      </c>
      <c r="D43" s="105" t="s">
        <v>529</v>
      </c>
      <c r="E43" t="s">
        <v>508</v>
      </c>
    </row>
    <row r="44" customFormat="1" spans="1:5">
      <c r="A44" s="110">
        <v>43</v>
      </c>
      <c r="B44" s="111" t="s">
        <v>122</v>
      </c>
      <c r="C44" s="112">
        <v>20120508</v>
      </c>
      <c r="D44" s="105"/>
    </row>
    <row r="45" spans="1:5">
      <c r="A45" s="110">
        <v>44</v>
      </c>
      <c r="B45" s="111" t="s">
        <v>124</v>
      </c>
      <c r="C45" s="113">
        <v>20110929</v>
      </c>
      <c r="D45" s="105" t="s">
        <v>530</v>
      </c>
    </row>
    <row r="46" customFormat="1" spans="1:5">
      <c r="A46" s="110">
        <v>45</v>
      </c>
      <c r="B46" s="111" t="s">
        <v>128</v>
      </c>
      <c r="C46" s="113">
        <v>20111205</v>
      </c>
      <c r="D46" s="105"/>
    </row>
    <row r="47" spans="1:5">
      <c r="A47" s="110">
        <v>46</v>
      </c>
      <c r="B47" s="111" t="s">
        <v>129</v>
      </c>
      <c r="C47" s="113">
        <v>20120108</v>
      </c>
      <c r="D47" s="105" t="s">
        <v>531</v>
      </c>
      <c r="E47" t="s">
        <v>508</v>
      </c>
    </row>
    <row r="48" spans="1:5">
      <c r="A48" s="110">
        <v>47</v>
      </c>
      <c r="B48" s="111" t="s">
        <v>131</v>
      </c>
      <c r="C48" s="113">
        <v>20120311</v>
      </c>
      <c r="D48" s="105" t="s">
        <v>532</v>
      </c>
    </row>
    <row r="49" customFormat="1" spans="1:4">
      <c r="A49" s="110">
        <v>48</v>
      </c>
      <c r="B49" s="111" t="s">
        <v>135</v>
      </c>
      <c r="C49" s="113">
        <v>20110902</v>
      </c>
      <c r="D49" s="105"/>
    </row>
    <row r="50" spans="1:4">
      <c r="A50" s="110">
        <v>49</v>
      </c>
      <c r="B50" s="111" t="s">
        <v>137</v>
      </c>
      <c r="C50" s="113">
        <v>20120723</v>
      </c>
      <c r="D50" s="105" t="s">
        <v>533</v>
      </c>
    </row>
    <row r="51" customFormat="1" spans="1:4">
      <c r="A51" s="110">
        <v>50</v>
      </c>
      <c r="B51" s="111" t="s">
        <v>139</v>
      </c>
      <c r="C51" s="113">
        <v>20120101</v>
      </c>
      <c r="D51" s="105"/>
    </row>
    <row r="52" spans="1:4">
      <c r="A52" s="110">
        <v>51</v>
      </c>
      <c r="B52" s="111" t="s">
        <v>140</v>
      </c>
      <c r="C52" s="113">
        <v>20111220</v>
      </c>
      <c r="D52" s="105" t="s">
        <v>534</v>
      </c>
    </row>
    <row r="54" spans="1:4">
      <c r="B54" s="103" t="s">
        <v>256</v>
      </c>
      <c r="D54" s="105" t="s">
        <v>535</v>
      </c>
    </row>
    <row r="55" spans="1:4">
      <c r="B55" s="103" t="s">
        <v>348</v>
      </c>
      <c r="D55" s="105" t="s">
        <v>536</v>
      </c>
    </row>
  </sheetData>
  <conditionalFormatting sqref="B1">
    <cfRule type="duplicateValues" dxfId="0" priority="2"/>
  </conditionalFormatting>
  <conditionalFormatting sqref="B2:B52">
    <cfRule type="duplicateValues" dxfId="0" priority="1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5"/>
  </sheetPr>
  <dimension ref="A1:E55"/>
  <sheetViews>
    <sheetView topLeftCell="A2" workbookViewId="0">
      <selection activeCell="A52" sqref="$A52:$XFD52"/>
    </sheetView>
  </sheetViews>
  <sheetFormatPr defaultColWidth="8.72727272727273" defaultRowHeight="14" outlineLevelCol="4"/>
  <cols>
    <col min="1" max="1" width="5.17272727272727" style="68" customWidth="1"/>
    <col min="2" max="2" width="8.72727272727273" style="69"/>
    <col min="3" max="3" width="7.55454545454545" style="70" customWidth="1"/>
    <col min="4" max="4" width="8.72727272727273" style="71"/>
    <col min="5" max="5" width="77.2727272727273" style="72" customWidth="1"/>
    <col min="6" max="16384" width="8.72727272727273" style="67"/>
  </cols>
  <sheetData>
    <row r="1" s="66" customFormat="1" spans="1:5">
      <c r="A1" s="73" t="s">
        <v>537</v>
      </c>
      <c r="B1" s="74" t="s">
        <v>538</v>
      </c>
      <c r="C1" s="75" t="s">
        <v>539</v>
      </c>
      <c r="D1" s="76"/>
      <c r="E1" s="77" t="s">
        <v>540</v>
      </c>
    </row>
    <row r="2" s="67" customFormat="1" ht="409" customHeight="1" spans="1:5">
      <c r="A2" s="78" t="s">
        <v>349</v>
      </c>
      <c r="B2" s="79" t="s">
        <v>256</v>
      </c>
      <c r="C2" s="80" t="s">
        <v>541</v>
      </c>
      <c r="D2" s="71" t="s">
        <v>542</v>
      </c>
      <c r="E2" s="72" t="s">
        <v>543</v>
      </c>
    </row>
    <row r="3" s="67" customFormat="1" ht="56" spans="1:5">
      <c r="A3" s="81"/>
      <c r="B3" s="82"/>
      <c r="C3" s="83"/>
      <c r="D3" s="71" t="s">
        <v>544</v>
      </c>
      <c r="E3" s="72" t="s">
        <v>545</v>
      </c>
    </row>
    <row r="4" s="67" customFormat="1" spans="1:5">
      <c r="A4" s="81"/>
      <c r="B4" s="82"/>
      <c r="C4" s="83"/>
      <c r="D4" s="71" t="s">
        <v>546</v>
      </c>
      <c r="E4" s="72" t="s">
        <v>547</v>
      </c>
    </row>
    <row r="5" s="67" customFormat="1" ht="56" spans="1:5">
      <c r="A5" s="81"/>
      <c r="B5" s="82"/>
      <c r="C5" s="83"/>
      <c r="D5" s="71" t="s">
        <v>548</v>
      </c>
      <c r="E5" s="72" t="s">
        <v>549</v>
      </c>
    </row>
    <row r="6" s="67" customFormat="1" ht="238" spans="1:5">
      <c r="A6" s="81"/>
      <c r="B6" s="82"/>
      <c r="C6" s="83"/>
      <c r="D6" s="71" t="s">
        <v>550</v>
      </c>
      <c r="E6" s="72" t="s">
        <v>551</v>
      </c>
    </row>
    <row r="7" s="67" customFormat="1" ht="238" spans="1:5">
      <c r="A7" s="81"/>
      <c r="B7" s="82"/>
      <c r="C7" s="80" t="s">
        <v>552</v>
      </c>
      <c r="D7" s="71" t="s">
        <v>553</v>
      </c>
      <c r="E7" s="72" t="s">
        <v>554</v>
      </c>
    </row>
    <row r="8" s="67" customFormat="1" ht="56" spans="1:5">
      <c r="A8" s="81"/>
      <c r="B8" s="82"/>
      <c r="C8" s="83"/>
      <c r="D8" s="71" t="s">
        <v>555</v>
      </c>
      <c r="E8" s="72" t="s">
        <v>556</v>
      </c>
    </row>
    <row r="9" s="67" customFormat="1" ht="84" spans="1:5">
      <c r="A9" s="81"/>
      <c r="B9" s="82"/>
      <c r="C9" s="83"/>
      <c r="D9" s="71" t="s">
        <v>557</v>
      </c>
      <c r="E9" s="72" t="s">
        <v>558</v>
      </c>
    </row>
    <row r="10" s="67" customFormat="1" ht="28" spans="1:5">
      <c r="A10" s="81"/>
      <c r="B10" s="82"/>
      <c r="C10" s="83"/>
      <c r="D10" s="71" t="s">
        <v>559</v>
      </c>
      <c r="E10" s="72" t="s">
        <v>560</v>
      </c>
    </row>
    <row r="11" s="67" customFormat="1" spans="1:5">
      <c r="A11" s="81"/>
      <c r="B11" s="82"/>
      <c r="C11" s="84"/>
      <c r="D11" s="71" t="s">
        <v>561</v>
      </c>
      <c r="E11" s="72" t="s">
        <v>562</v>
      </c>
    </row>
    <row r="12" s="67" customFormat="1" ht="154" spans="1:5">
      <c r="A12" s="81"/>
      <c r="B12" s="82"/>
      <c r="C12" s="70"/>
      <c r="D12" s="71" t="s">
        <v>563</v>
      </c>
      <c r="E12" s="72" t="s">
        <v>564</v>
      </c>
    </row>
    <row r="13" s="67" customFormat="1" ht="56" spans="1:5">
      <c r="A13" s="81"/>
      <c r="B13" s="82"/>
      <c r="C13" s="85" t="s">
        <v>565</v>
      </c>
      <c r="D13" s="76"/>
      <c r="E13" s="72" t="s">
        <v>566</v>
      </c>
    </row>
    <row r="14" s="67" customFormat="1" ht="84" spans="1:5">
      <c r="A14" s="81"/>
      <c r="B14" s="82"/>
      <c r="C14" s="85" t="s">
        <v>567</v>
      </c>
      <c r="D14" s="76"/>
      <c r="E14" s="72" t="s">
        <v>568</v>
      </c>
    </row>
    <row r="15" s="67" customFormat="1" ht="28" spans="1:5">
      <c r="A15" s="81"/>
      <c r="B15" s="82"/>
      <c r="C15" s="85" t="s">
        <v>569</v>
      </c>
      <c r="D15" s="76"/>
      <c r="E15" s="72" t="s">
        <v>570</v>
      </c>
    </row>
    <row r="16" s="67" customFormat="1" spans="1:5">
      <c r="A16" s="81"/>
      <c r="B16" s="82"/>
      <c r="C16" s="85" t="s">
        <v>571</v>
      </c>
      <c r="D16" s="76"/>
      <c r="E16" s="72"/>
    </row>
    <row r="17" s="67" customFormat="1" spans="1:5">
      <c r="A17" s="81"/>
      <c r="B17" s="82"/>
      <c r="C17" s="85" t="s">
        <v>572</v>
      </c>
      <c r="D17" s="76"/>
      <c r="E17" s="72" t="s">
        <v>573</v>
      </c>
    </row>
    <row r="18" s="67" customFormat="1" spans="1:5">
      <c r="A18" s="81"/>
      <c r="B18" s="82"/>
      <c r="C18" s="80" t="s">
        <v>574</v>
      </c>
      <c r="D18" s="71" t="s">
        <v>575</v>
      </c>
      <c r="E18" s="72" t="s">
        <v>576</v>
      </c>
    </row>
    <row r="19" s="67" customFormat="1" spans="1:5">
      <c r="A19" s="81"/>
      <c r="B19" s="82"/>
      <c r="C19" s="84"/>
      <c r="D19" s="71" t="s">
        <v>577</v>
      </c>
      <c r="E19" s="72" t="s">
        <v>578</v>
      </c>
    </row>
    <row r="20" s="67" customFormat="1" spans="1:5">
      <c r="A20" s="81"/>
      <c r="B20" s="82"/>
      <c r="C20" s="85" t="s">
        <v>579</v>
      </c>
      <c r="D20" s="76"/>
      <c r="E20" s="72"/>
    </row>
    <row r="21" s="67" customFormat="1" spans="1:5">
      <c r="A21" s="81"/>
      <c r="B21" s="82"/>
      <c r="C21" s="85" t="s">
        <v>580</v>
      </c>
      <c r="D21" s="76"/>
      <c r="E21" s="72" t="s">
        <v>581</v>
      </c>
    </row>
    <row r="22" s="67" customFormat="1" ht="28" spans="1:5">
      <c r="A22" s="81"/>
      <c r="B22" s="82"/>
      <c r="C22" s="85" t="s">
        <v>582</v>
      </c>
      <c r="D22" s="86"/>
      <c r="E22" s="72" t="s">
        <v>583</v>
      </c>
    </row>
    <row r="23" s="67" customFormat="1" spans="1:5">
      <c r="A23" s="81"/>
      <c r="B23" s="82"/>
      <c r="C23" s="70" t="s">
        <v>584</v>
      </c>
      <c r="D23" s="70"/>
      <c r="E23" s="72" t="s">
        <v>585</v>
      </c>
    </row>
    <row r="24" s="67" customFormat="1" spans="1:5">
      <c r="A24" s="81"/>
      <c r="B24" s="82"/>
      <c r="C24" s="70" t="s">
        <v>586</v>
      </c>
      <c r="D24" s="70"/>
      <c r="E24" s="72" t="s">
        <v>587</v>
      </c>
    </row>
    <row r="25" s="67" customFormat="1" ht="28" spans="1:5">
      <c r="A25" s="78" t="s">
        <v>347</v>
      </c>
      <c r="B25" s="79" t="s">
        <v>348</v>
      </c>
      <c r="C25" s="83" t="s">
        <v>541</v>
      </c>
      <c r="D25" s="87" t="s">
        <v>588</v>
      </c>
      <c r="E25" s="72" t="s">
        <v>589</v>
      </c>
    </row>
    <row r="26" s="67" customFormat="1" spans="1:5">
      <c r="A26" s="81"/>
      <c r="B26" s="82"/>
      <c r="C26" s="83"/>
      <c r="D26" s="71" t="s">
        <v>590</v>
      </c>
      <c r="E26" s="72" t="s">
        <v>591</v>
      </c>
    </row>
    <row r="27" s="67" customFormat="1" ht="28" spans="1:5">
      <c r="A27" s="81"/>
      <c r="B27" s="82"/>
      <c r="C27" s="83"/>
      <c r="D27" s="71" t="s">
        <v>592</v>
      </c>
      <c r="E27" s="72" t="s">
        <v>593</v>
      </c>
    </row>
    <row r="28" s="67" customFormat="1" ht="42" spans="1:5">
      <c r="A28" s="81"/>
      <c r="B28" s="82"/>
      <c r="C28" s="83"/>
      <c r="D28" s="71" t="s">
        <v>594</v>
      </c>
      <c r="E28" s="72" t="s">
        <v>595</v>
      </c>
    </row>
    <row r="29" s="67" customFormat="1" ht="42" spans="1:5">
      <c r="A29" s="78" t="s">
        <v>343</v>
      </c>
      <c r="B29" s="79" t="s">
        <v>344</v>
      </c>
      <c r="C29" s="80" t="s">
        <v>541</v>
      </c>
      <c r="D29" s="71" t="s">
        <v>542</v>
      </c>
      <c r="E29" s="72" t="s">
        <v>596</v>
      </c>
    </row>
    <row r="30" s="67" customFormat="1" ht="70" spans="1:5">
      <c r="A30" s="81"/>
      <c r="B30" s="82"/>
      <c r="C30" s="83"/>
      <c r="D30" s="71" t="s">
        <v>597</v>
      </c>
      <c r="E30" s="72" t="s">
        <v>598</v>
      </c>
    </row>
    <row r="31" s="67" customFormat="1" spans="1:5">
      <c r="A31" s="81"/>
      <c r="B31" s="82"/>
      <c r="C31" s="83"/>
      <c r="D31" s="71" t="s">
        <v>588</v>
      </c>
      <c r="E31" s="72" t="s">
        <v>599</v>
      </c>
    </row>
    <row r="32" s="67" customFormat="1" ht="28" spans="1:5">
      <c r="A32" s="81"/>
      <c r="B32" s="82"/>
      <c r="C32" s="84"/>
      <c r="D32" s="71" t="s">
        <v>600</v>
      </c>
      <c r="E32" s="72" t="s">
        <v>601</v>
      </c>
    </row>
    <row r="33" s="67" customFormat="1" ht="42" spans="1:5">
      <c r="A33" s="81"/>
      <c r="B33" s="88"/>
      <c r="C33" s="85" t="s">
        <v>552</v>
      </c>
      <c r="D33" s="86"/>
      <c r="E33" s="72" t="s">
        <v>602</v>
      </c>
    </row>
    <row r="34" s="67" customFormat="1" ht="42" spans="1:5">
      <c r="A34" s="81"/>
      <c r="B34" s="89" t="s">
        <v>603</v>
      </c>
      <c r="C34" s="75" t="s">
        <v>552</v>
      </c>
      <c r="D34" s="90"/>
      <c r="E34" s="91" t="s">
        <v>604</v>
      </c>
    </row>
    <row r="35" s="67" customFormat="1" ht="42" spans="1:5">
      <c r="A35" s="92"/>
      <c r="B35" s="93"/>
      <c r="C35" s="75" t="s">
        <v>541</v>
      </c>
      <c r="D35" s="90"/>
      <c r="E35" s="91" t="s">
        <v>605</v>
      </c>
    </row>
    <row r="36" s="67" customFormat="1" spans="1:5">
      <c r="A36" s="78" t="s">
        <v>350</v>
      </c>
      <c r="B36" s="94" t="s">
        <v>606</v>
      </c>
      <c r="C36" s="95"/>
      <c r="D36" s="96"/>
      <c r="E36" s="91" t="s">
        <v>607</v>
      </c>
    </row>
    <row r="37" s="67" customFormat="1" spans="1:5">
      <c r="A37" s="92"/>
      <c r="B37" s="97" t="s">
        <v>608</v>
      </c>
      <c r="C37" s="98"/>
      <c r="D37" s="99"/>
      <c r="E37" s="72" t="s">
        <v>609</v>
      </c>
    </row>
    <row r="38" s="67" customFormat="1" spans="1:5">
      <c r="A38" s="68" t="s">
        <v>352</v>
      </c>
      <c r="B38" s="97" t="s">
        <v>610</v>
      </c>
      <c r="C38" s="98"/>
      <c r="D38" s="99"/>
      <c r="E38" s="72" t="s">
        <v>611</v>
      </c>
    </row>
    <row r="39" s="67" customFormat="1" spans="1:5">
      <c r="A39" s="78" t="s">
        <v>354</v>
      </c>
      <c r="B39" s="79" t="s">
        <v>612</v>
      </c>
      <c r="C39" s="80" t="s">
        <v>541</v>
      </c>
      <c r="D39" s="71" t="s">
        <v>613</v>
      </c>
      <c r="E39" s="72" t="s">
        <v>614</v>
      </c>
    </row>
    <row r="40" s="67" customFormat="1" spans="1:5">
      <c r="A40" s="81"/>
      <c r="B40" s="82"/>
      <c r="C40" s="84"/>
      <c r="D40" s="71" t="s">
        <v>615</v>
      </c>
      <c r="E40" s="72" t="s">
        <v>616</v>
      </c>
    </row>
    <row r="41" s="67" customFormat="1" spans="1:5">
      <c r="A41" s="81"/>
      <c r="B41" s="82"/>
      <c r="C41" s="85" t="s">
        <v>617</v>
      </c>
      <c r="D41" s="86"/>
      <c r="E41" s="72" t="s">
        <v>618</v>
      </c>
    </row>
    <row r="42" s="67" customFormat="1" spans="1:5">
      <c r="A42" s="92"/>
      <c r="B42" s="88"/>
      <c r="C42" s="85" t="s">
        <v>552</v>
      </c>
      <c r="D42" s="86"/>
      <c r="E42" s="72" t="s">
        <v>619</v>
      </c>
    </row>
    <row r="43" s="67" customFormat="1" spans="1:5">
      <c r="A43" s="78" t="s">
        <v>357</v>
      </c>
      <c r="B43" s="89" t="s">
        <v>610</v>
      </c>
      <c r="C43" s="100" t="s">
        <v>620</v>
      </c>
      <c r="D43" s="101"/>
      <c r="E43" s="91" t="s">
        <v>621</v>
      </c>
    </row>
    <row r="44" s="67" customFormat="1" ht="28" spans="1:5">
      <c r="A44" s="81"/>
      <c r="B44" s="93"/>
      <c r="C44" s="100" t="s">
        <v>594</v>
      </c>
      <c r="D44" s="101"/>
      <c r="E44" s="91" t="s">
        <v>622</v>
      </c>
    </row>
    <row r="45" s="67" customFormat="1" spans="1:5">
      <c r="A45" s="92"/>
      <c r="B45" s="97" t="s">
        <v>623</v>
      </c>
      <c r="C45" s="98"/>
      <c r="D45" s="99"/>
      <c r="E45" s="72" t="s">
        <v>624</v>
      </c>
    </row>
    <row r="46" s="67" customFormat="1" spans="1:5">
      <c r="A46" s="78" t="s">
        <v>369</v>
      </c>
      <c r="B46" s="79" t="s">
        <v>625</v>
      </c>
      <c r="C46" s="80" t="s">
        <v>541</v>
      </c>
      <c r="D46" s="71" t="s">
        <v>626</v>
      </c>
      <c r="E46" s="72"/>
    </row>
    <row r="47" s="67" customFormat="1" spans="1:5">
      <c r="A47" s="81"/>
      <c r="B47" s="82"/>
      <c r="C47" s="83"/>
      <c r="D47" s="71" t="s">
        <v>627</v>
      </c>
      <c r="E47" s="72"/>
    </row>
    <row r="48" s="67" customFormat="1" spans="1:5">
      <c r="A48" s="92"/>
      <c r="B48" s="88"/>
      <c r="C48" s="84"/>
      <c r="D48" s="71" t="s">
        <v>594</v>
      </c>
      <c r="E48" s="72" t="s">
        <v>628</v>
      </c>
    </row>
    <row r="49" s="67" customFormat="1" spans="1:5">
      <c r="A49" s="68" t="s">
        <v>364</v>
      </c>
      <c r="B49" s="97" t="s">
        <v>365</v>
      </c>
      <c r="C49" s="98"/>
      <c r="D49" s="99"/>
      <c r="E49" s="72" t="s">
        <v>629</v>
      </c>
    </row>
    <row r="50" s="67" customFormat="1" spans="1:5">
      <c r="A50" s="78" t="s">
        <v>366</v>
      </c>
      <c r="B50" s="97" t="s">
        <v>610</v>
      </c>
      <c r="C50" s="98"/>
      <c r="D50" s="99"/>
      <c r="E50" s="72" t="s">
        <v>630</v>
      </c>
    </row>
    <row r="51" s="67" customFormat="1" spans="1:5">
      <c r="A51" s="92"/>
      <c r="B51" s="97" t="s">
        <v>610</v>
      </c>
      <c r="C51" s="98"/>
      <c r="D51" s="99"/>
      <c r="E51" s="72" t="s">
        <v>631</v>
      </c>
    </row>
    <row r="52" s="67" customFormat="1" spans="1:5">
      <c r="A52" s="68"/>
      <c r="B52" s="97"/>
      <c r="C52" s="98"/>
      <c r="D52" s="99"/>
      <c r="E52" s="72"/>
    </row>
    <row r="53" s="67" customFormat="1" spans="1:5">
      <c r="A53" s="78" t="s">
        <v>632</v>
      </c>
      <c r="B53" s="97" t="s">
        <v>610</v>
      </c>
      <c r="C53" s="98"/>
      <c r="D53" s="99"/>
      <c r="E53" s="72"/>
    </row>
    <row r="54" s="67" customFormat="1" ht="28" spans="1:5">
      <c r="A54" s="92"/>
      <c r="B54" s="97"/>
      <c r="C54" s="98"/>
      <c r="D54" s="99"/>
      <c r="E54" s="72" t="s">
        <v>633</v>
      </c>
    </row>
    <row r="55" s="67" customFormat="1" spans="1:5">
      <c r="A55" s="68" t="s">
        <v>360</v>
      </c>
      <c r="B55" s="69"/>
      <c r="C55" s="70"/>
      <c r="D55" s="71"/>
      <c r="E55" s="72" t="s">
        <v>634</v>
      </c>
    </row>
  </sheetData>
  <mergeCells count="51">
    <mergeCell ref="C1:D1"/>
    <mergeCell ref="C13:D13"/>
    <mergeCell ref="C14:D14"/>
    <mergeCell ref="C15:D15"/>
    <mergeCell ref="C16:D16"/>
    <mergeCell ref="C17:D17"/>
    <mergeCell ref="C20:D20"/>
    <mergeCell ref="C21:D21"/>
    <mergeCell ref="C22:D22"/>
    <mergeCell ref="C23:D23"/>
    <mergeCell ref="C24:D24"/>
    <mergeCell ref="C33:D33"/>
    <mergeCell ref="C34:D34"/>
    <mergeCell ref="C35:D35"/>
    <mergeCell ref="B36:D36"/>
    <mergeCell ref="B37:D37"/>
    <mergeCell ref="B38:D38"/>
    <mergeCell ref="C41:D41"/>
    <mergeCell ref="C42:D42"/>
    <mergeCell ref="C43:D43"/>
    <mergeCell ref="C44:D44"/>
    <mergeCell ref="B45:D45"/>
    <mergeCell ref="B49:D49"/>
    <mergeCell ref="B50:D50"/>
    <mergeCell ref="B51:D51"/>
    <mergeCell ref="B52:D52"/>
    <mergeCell ref="B53:D53"/>
    <mergeCell ref="B54:D54"/>
    <mergeCell ref="A2:A24"/>
    <mergeCell ref="A25:A28"/>
    <mergeCell ref="A29:A35"/>
    <mergeCell ref="A36:A37"/>
    <mergeCell ref="A39:A42"/>
    <mergeCell ref="A43:A45"/>
    <mergeCell ref="A46:A48"/>
    <mergeCell ref="A50:A51"/>
    <mergeCell ref="A53:A54"/>
    <mergeCell ref="B2:B24"/>
    <mergeCell ref="B25:B28"/>
    <mergeCell ref="B29:B33"/>
    <mergeCell ref="B34:B35"/>
    <mergeCell ref="B39:B42"/>
    <mergeCell ref="B43:B44"/>
    <mergeCell ref="B46:B48"/>
    <mergeCell ref="C2:C5"/>
    <mergeCell ref="C7:C11"/>
    <mergeCell ref="C18:C19"/>
    <mergeCell ref="C25:C28"/>
    <mergeCell ref="C29:C32"/>
    <mergeCell ref="C39:C40"/>
    <mergeCell ref="C46:C4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5"/>
  </sheetPr>
  <dimension ref="A1:G52"/>
  <sheetViews>
    <sheetView zoomScale="40" zoomScaleNormal="40" topLeftCell="A37" workbookViewId="0">
      <selection activeCell="B11" sqref="B11"/>
    </sheetView>
  </sheetViews>
  <sheetFormatPr defaultColWidth="8.72727272727273" defaultRowHeight="14" outlineLevelCol="6"/>
  <cols>
    <col min="1" max="1" width="8.72727272727273" style="47"/>
    <col min="2" max="2" width="61.8090909090909" style="48" customWidth="1"/>
    <col min="3" max="3" width="61.8090909090909" style="49" customWidth="1"/>
    <col min="4" max="4" width="61.8090909090909" style="50" customWidth="1"/>
    <col min="5" max="5" width="61.8090909090909" style="51" customWidth="1"/>
    <col min="6" max="6" width="61.8090909090909" style="52" customWidth="1"/>
    <col min="7" max="7" width="61.8090909090909" style="53" customWidth="1"/>
    <col min="8" max="16384" width="8.72727272727273" style="46"/>
  </cols>
  <sheetData>
    <row r="1" s="45" customFormat="1" spans="1:7">
      <c r="A1" s="54" t="s">
        <v>0</v>
      </c>
      <c r="B1" s="55" t="s">
        <v>1</v>
      </c>
      <c r="C1" s="56" t="s">
        <v>2</v>
      </c>
      <c r="D1" s="19" t="s">
        <v>3</v>
      </c>
      <c r="E1" s="57" t="s">
        <v>4</v>
      </c>
      <c r="F1" s="58" t="s">
        <v>5</v>
      </c>
      <c r="G1" s="59" t="s">
        <v>6</v>
      </c>
    </row>
    <row r="2" s="46" customFormat="1" ht="56" spans="1:7">
      <c r="A2" s="54" t="s">
        <v>7</v>
      </c>
      <c r="B2" s="60" t="s">
        <v>635</v>
      </c>
      <c r="C2" s="49"/>
      <c r="D2" s="50"/>
      <c r="E2" s="51"/>
      <c r="F2" s="52"/>
      <c r="G2" s="53"/>
    </row>
    <row r="3" s="46" customFormat="1" ht="28" spans="1:7">
      <c r="A3" s="54" t="s">
        <v>10</v>
      </c>
      <c r="B3" s="48"/>
      <c r="C3" s="49" t="s">
        <v>636</v>
      </c>
      <c r="D3" s="50"/>
      <c r="E3" s="51"/>
      <c r="F3" s="52"/>
      <c r="G3" s="53"/>
    </row>
    <row r="4" s="46" customFormat="1" spans="1:7">
      <c r="A4" s="54" t="s">
        <v>13</v>
      </c>
      <c r="B4" s="48"/>
      <c r="C4" s="49"/>
      <c r="D4" s="50"/>
      <c r="E4" s="51"/>
      <c r="F4" s="52"/>
      <c r="G4" s="53"/>
    </row>
    <row r="5" s="46" customFormat="1" ht="28" spans="1:7">
      <c r="A5" s="54" t="s">
        <v>15</v>
      </c>
      <c r="B5" s="48"/>
      <c r="C5" s="49" t="s">
        <v>637</v>
      </c>
      <c r="D5" s="50"/>
      <c r="E5" s="51"/>
      <c r="F5" s="52"/>
      <c r="G5" s="53"/>
    </row>
    <row r="6" s="46" customFormat="1" spans="1:7">
      <c r="A6" s="54" t="s">
        <v>19</v>
      </c>
      <c r="B6" s="48"/>
      <c r="C6" s="61" t="s">
        <v>638</v>
      </c>
      <c r="D6" s="50"/>
      <c r="E6" s="51"/>
      <c r="F6" s="52"/>
      <c r="G6" s="53"/>
    </row>
    <row r="7" s="46" customFormat="1" ht="42" spans="1:7">
      <c r="A7" s="54" t="s">
        <v>21</v>
      </c>
      <c r="B7" s="48"/>
      <c r="C7" s="49" t="s">
        <v>639</v>
      </c>
      <c r="D7" s="50"/>
      <c r="E7" s="51"/>
      <c r="F7" s="52"/>
      <c r="G7" s="53"/>
    </row>
    <row r="8" s="46" customFormat="1" spans="1:7">
      <c r="A8" s="54" t="s">
        <v>25</v>
      </c>
      <c r="B8" s="48"/>
      <c r="C8" s="49"/>
      <c r="D8" s="50"/>
      <c r="E8" s="51"/>
      <c r="F8" s="52"/>
      <c r="G8" s="53"/>
    </row>
    <row r="9" s="46" customFormat="1" spans="1:7">
      <c r="A9" s="54" t="s">
        <v>27</v>
      </c>
      <c r="B9" s="48"/>
      <c r="C9" s="49"/>
      <c r="D9" s="50"/>
      <c r="E9" s="51"/>
      <c r="F9" s="52"/>
      <c r="G9" s="53"/>
    </row>
    <row r="10" s="46" customFormat="1" ht="28" spans="1:7">
      <c r="A10" s="54" t="s">
        <v>28</v>
      </c>
      <c r="B10" s="62" t="s">
        <v>640</v>
      </c>
      <c r="C10" s="49"/>
      <c r="D10" s="50"/>
      <c r="E10" s="51"/>
      <c r="F10" s="52"/>
      <c r="G10" s="53"/>
    </row>
    <row r="11" s="46" customFormat="1" spans="1:7">
      <c r="A11" s="54" t="s">
        <v>30</v>
      </c>
      <c r="B11" s="48"/>
      <c r="C11" s="49"/>
      <c r="D11" s="50"/>
      <c r="E11" s="51"/>
      <c r="F11" s="52"/>
      <c r="G11" s="53"/>
    </row>
    <row r="12" s="46" customFormat="1" spans="1:7">
      <c r="A12" s="54" t="s">
        <v>31</v>
      </c>
      <c r="B12" s="48"/>
      <c r="C12" s="49"/>
      <c r="D12" s="50"/>
      <c r="E12" s="51"/>
      <c r="F12" s="52"/>
      <c r="G12" s="53"/>
    </row>
    <row r="13" s="46" customFormat="1" spans="1:7">
      <c r="A13" s="54" t="s">
        <v>33</v>
      </c>
      <c r="B13" s="48"/>
      <c r="C13" s="49"/>
      <c r="D13" s="50"/>
      <c r="E13" s="51"/>
      <c r="F13" s="52"/>
      <c r="G13" s="53"/>
    </row>
    <row r="14" s="46" customFormat="1" ht="28" spans="1:7">
      <c r="A14" s="54" t="s">
        <v>36</v>
      </c>
      <c r="B14" s="62" t="s">
        <v>641</v>
      </c>
      <c r="C14" s="49"/>
      <c r="D14" s="50"/>
      <c r="E14" s="51"/>
      <c r="F14" s="52"/>
      <c r="G14" s="53"/>
    </row>
    <row r="15" s="46" customFormat="1" spans="1:7">
      <c r="A15" s="54" t="s">
        <v>38</v>
      </c>
      <c r="B15" s="48"/>
      <c r="C15" s="49"/>
      <c r="D15" s="50"/>
      <c r="E15" s="51"/>
      <c r="F15" s="52"/>
      <c r="G15" s="53"/>
    </row>
    <row r="16" s="46" customFormat="1" spans="1:7">
      <c r="A16" s="54" t="s">
        <v>39</v>
      </c>
      <c r="B16" s="48"/>
      <c r="C16" s="49"/>
      <c r="D16" s="50"/>
      <c r="E16" s="51"/>
      <c r="F16" s="52"/>
      <c r="G16" s="53"/>
    </row>
    <row r="17" s="46" customFormat="1" ht="28" spans="1:7">
      <c r="A17" s="54" t="s">
        <v>43</v>
      </c>
      <c r="B17" s="48"/>
      <c r="C17" s="61" t="s">
        <v>642</v>
      </c>
      <c r="D17" s="50"/>
      <c r="E17" s="51"/>
      <c r="F17" s="52"/>
      <c r="G17" s="53"/>
    </row>
    <row r="18" s="46" customFormat="1" spans="1:7">
      <c r="A18" s="54" t="s">
        <v>45</v>
      </c>
      <c r="B18" s="48"/>
      <c r="C18" s="49"/>
      <c r="D18" s="50"/>
      <c r="E18" s="51"/>
      <c r="F18" s="52"/>
      <c r="G18" s="53"/>
    </row>
    <row r="19" s="46" customFormat="1" spans="1:7">
      <c r="A19" s="54" t="s">
        <v>47</v>
      </c>
      <c r="B19" s="48"/>
      <c r="C19" s="49"/>
      <c r="D19" s="50"/>
      <c r="E19" s="51"/>
      <c r="F19" s="52"/>
      <c r="G19" s="53"/>
    </row>
    <row r="20" s="46" customFormat="1" ht="42" spans="1:7">
      <c r="A20" s="54" t="s">
        <v>50</v>
      </c>
      <c r="B20" s="62" t="s">
        <v>643</v>
      </c>
      <c r="C20" s="49" t="s">
        <v>644</v>
      </c>
      <c r="D20" s="50"/>
      <c r="E20" s="51"/>
      <c r="F20" s="52"/>
      <c r="G20" s="53"/>
    </row>
    <row r="21" s="46" customFormat="1" ht="280" spans="1:7">
      <c r="A21" s="54" t="s">
        <v>53</v>
      </c>
      <c r="B21" s="48" t="s">
        <v>645</v>
      </c>
      <c r="C21" s="49" t="s">
        <v>646</v>
      </c>
      <c r="D21" s="50"/>
      <c r="E21" s="51"/>
      <c r="F21" s="52"/>
      <c r="G21" s="53"/>
    </row>
    <row r="22" s="46" customFormat="1" spans="1:7">
      <c r="A22" s="54" t="s">
        <v>58</v>
      </c>
      <c r="B22" s="48"/>
      <c r="C22" s="49"/>
      <c r="D22" s="50"/>
      <c r="E22" s="51"/>
      <c r="F22" s="52"/>
      <c r="G22" s="53"/>
    </row>
    <row r="23" s="46" customFormat="1" ht="56" spans="1:7">
      <c r="A23" s="54" t="s">
        <v>59</v>
      </c>
      <c r="B23" s="62" t="s">
        <v>647</v>
      </c>
      <c r="C23" s="49"/>
      <c r="D23" s="50"/>
      <c r="E23" s="51"/>
      <c r="F23" s="52"/>
      <c r="G23" s="53"/>
    </row>
    <row r="24" s="46" customFormat="1" ht="70" spans="1:7">
      <c r="A24" s="54" t="s">
        <v>63</v>
      </c>
      <c r="B24" s="62" t="s">
        <v>648</v>
      </c>
      <c r="C24" s="61" t="s">
        <v>649</v>
      </c>
      <c r="D24" s="50"/>
      <c r="E24" s="51"/>
      <c r="F24" s="52"/>
      <c r="G24" s="53"/>
    </row>
    <row r="25" s="46" customFormat="1" spans="1:7">
      <c r="A25" s="54" t="s">
        <v>68</v>
      </c>
      <c r="B25" s="48"/>
      <c r="C25" s="49"/>
      <c r="D25" s="50"/>
      <c r="E25" s="51"/>
      <c r="F25" s="52"/>
      <c r="G25" s="53"/>
    </row>
    <row r="26" s="46" customFormat="1" spans="1:7">
      <c r="A26" s="54" t="s">
        <v>69</v>
      </c>
      <c r="B26" s="48"/>
      <c r="C26" s="49"/>
      <c r="D26" s="50"/>
      <c r="E26" s="51"/>
      <c r="F26" s="52"/>
      <c r="G26" s="53"/>
    </row>
    <row r="27" s="46" customFormat="1" ht="112" spans="1:7">
      <c r="A27" s="54" t="s">
        <v>70</v>
      </c>
      <c r="B27" s="48" t="s">
        <v>650</v>
      </c>
      <c r="C27" s="61" t="s">
        <v>651</v>
      </c>
      <c r="D27" s="50"/>
      <c r="E27" s="51"/>
      <c r="F27" s="52"/>
      <c r="G27" s="53"/>
    </row>
    <row r="28" s="46" customFormat="1" ht="409" customHeight="1" spans="1:7">
      <c r="A28" s="54" t="s">
        <v>74</v>
      </c>
      <c r="B28" s="48" t="s">
        <v>652</v>
      </c>
      <c r="C28" s="61" t="s">
        <v>653</v>
      </c>
      <c r="D28" s="50"/>
      <c r="E28" s="51"/>
      <c r="F28" s="52"/>
      <c r="G28" s="53"/>
    </row>
    <row r="29" s="46" customFormat="1" spans="1:7">
      <c r="A29" s="54" t="s">
        <v>79</v>
      </c>
      <c r="B29" s="48"/>
      <c r="C29" s="49"/>
      <c r="D29" s="50"/>
      <c r="E29" s="51"/>
      <c r="F29" s="52"/>
      <c r="G29" s="53"/>
    </row>
    <row r="30" s="46" customFormat="1" ht="28" spans="1:7">
      <c r="A30" s="54" t="s">
        <v>82</v>
      </c>
      <c r="B30" s="48"/>
      <c r="C30" s="61" t="s">
        <v>654</v>
      </c>
      <c r="D30" s="50"/>
      <c r="E30" s="51"/>
      <c r="F30" s="52"/>
      <c r="G30" s="53"/>
    </row>
    <row r="31" s="46" customFormat="1" spans="1:7">
      <c r="A31" s="54" t="s">
        <v>85</v>
      </c>
      <c r="B31" s="48"/>
      <c r="C31" s="49"/>
      <c r="D31" s="50"/>
      <c r="E31" s="51"/>
      <c r="F31" s="52"/>
      <c r="G31" s="53"/>
    </row>
    <row r="32" s="46" customFormat="1" spans="1:7">
      <c r="A32" s="54" t="s">
        <v>86</v>
      </c>
      <c r="B32" s="48"/>
      <c r="C32" s="49"/>
      <c r="D32" s="50"/>
      <c r="E32" s="51"/>
      <c r="F32" s="52"/>
      <c r="G32" s="53"/>
    </row>
    <row r="33" s="46" customFormat="1" spans="1:7">
      <c r="A33" s="54" t="s">
        <v>87</v>
      </c>
      <c r="B33" s="48"/>
      <c r="C33" s="49"/>
      <c r="D33" s="50"/>
      <c r="E33" s="51"/>
      <c r="F33" s="52"/>
      <c r="G33" s="53"/>
    </row>
    <row r="34" s="46" customFormat="1" spans="1:7">
      <c r="A34" s="54" t="s">
        <v>88</v>
      </c>
      <c r="B34" s="48"/>
      <c r="C34" s="49"/>
      <c r="D34" s="50"/>
      <c r="E34" s="51"/>
      <c r="F34" s="52"/>
      <c r="G34" s="53"/>
    </row>
    <row r="35" s="46" customFormat="1" spans="1:7">
      <c r="A35" s="54" t="s">
        <v>89</v>
      </c>
      <c r="B35" s="48"/>
      <c r="C35" s="49"/>
      <c r="D35" s="50"/>
      <c r="E35" s="51"/>
      <c r="F35" s="52"/>
      <c r="G35" s="53"/>
    </row>
    <row r="36" s="46" customFormat="1" ht="42" spans="1:7">
      <c r="A36" s="54" t="s">
        <v>90</v>
      </c>
      <c r="B36" s="62" t="s">
        <v>655</v>
      </c>
      <c r="C36" s="49"/>
      <c r="D36" s="50"/>
      <c r="E36" s="51"/>
      <c r="F36" s="52"/>
      <c r="G36" s="53"/>
    </row>
    <row r="37" s="46" customFormat="1" ht="126" spans="1:7">
      <c r="A37" s="54" t="s">
        <v>92</v>
      </c>
      <c r="B37" s="48"/>
      <c r="C37" s="61" t="s">
        <v>656</v>
      </c>
      <c r="D37" s="50"/>
      <c r="E37" s="51"/>
      <c r="F37" s="52"/>
      <c r="G37" s="53"/>
    </row>
    <row r="38" s="46" customFormat="1" ht="28" spans="1:7">
      <c r="A38" s="54" t="s">
        <v>95</v>
      </c>
      <c r="B38" s="63" t="s">
        <v>657</v>
      </c>
      <c r="C38" s="64"/>
      <c r="D38" s="65"/>
      <c r="E38" s="65"/>
      <c r="F38" s="65"/>
      <c r="G38" s="65"/>
    </row>
    <row r="39" s="46" customFormat="1" ht="42" spans="1:7">
      <c r="A39" s="54" t="s">
        <v>97</v>
      </c>
      <c r="B39" s="48"/>
      <c r="C39" s="61" t="s">
        <v>658</v>
      </c>
      <c r="D39" s="50"/>
      <c r="E39" s="51"/>
      <c r="F39" s="52"/>
      <c r="G39" s="53"/>
    </row>
    <row r="40" s="46" customFormat="1" spans="1:7">
      <c r="A40" s="54" t="s">
        <v>101</v>
      </c>
      <c r="B40" s="62" t="s">
        <v>659</v>
      </c>
      <c r="C40" s="61" t="s">
        <v>660</v>
      </c>
      <c r="D40" s="50"/>
      <c r="E40" s="51"/>
      <c r="F40" s="52"/>
      <c r="G40" s="53"/>
    </row>
    <row r="41" s="46" customFormat="1" ht="126" spans="1:7">
      <c r="A41" s="54" t="s">
        <v>108</v>
      </c>
      <c r="B41" s="48"/>
      <c r="C41" s="61" t="s">
        <v>661</v>
      </c>
      <c r="D41" s="50"/>
      <c r="E41" s="51"/>
      <c r="F41" s="52"/>
      <c r="G41" s="53"/>
    </row>
    <row r="42" s="46" customFormat="1" spans="1:7">
      <c r="A42" s="54" t="s">
        <v>117</v>
      </c>
      <c r="B42" s="48"/>
      <c r="C42" s="49"/>
      <c r="D42" s="50"/>
      <c r="E42" s="51"/>
      <c r="F42" s="52"/>
      <c r="G42" s="53"/>
    </row>
    <row r="43" s="46" customFormat="1" spans="1:7">
      <c r="A43" s="54" t="s">
        <v>118</v>
      </c>
      <c r="B43" s="62" t="s">
        <v>662</v>
      </c>
      <c r="C43" s="49"/>
      <c r="D43" s="50"/>
      <c r="E43" s="51"/>
      <c r="F43" s="52"/>
      <c r="G43" s="53"/>
    </row>
    <row r="44" s="46" customFormat="1" spans="1:7">
      <c r="A44" s="54" t="s">
        <v>122</v>
      </c>
      <c r="B44" s="48"/>
      <c r="C44" s="49"/>
      <c r="D44" s="50"/>
      <c r="E44" s="51"/>
      <c r="F44" s="52"/>
      <c r="G44" s="53"/>
    </row>
    <row r="45" s="46" customFormat="1" ht="387" spans="1:7">
      <c r="A45" s="54" t="s">
        <v>124</v>
      </c>
      <c r="B45" s="48" t="s">
        <v>663</v>
      </c>
      <c r="C45" s="49"/>
      <c r="D45" s="50"/>
      <c r="E45" s="51"/>
      <c r="F45" s="52"/>
      <c r="G45" s="53"/>
    </row>
    <row r="46" s="46" customFormat="1" spans="1:7">
      <c r="A46" s="54" t="s">
        <v>128</v>
      </c>
      <c r="B46" s="48"/>
      <c r="C46" s="49"/>
      <c r="D46" s="50"/>
      <c r="E46" s="51"/>
      <c r="F46" s="52"/>
      <c r="G46" s="53"/>
    </row>
    <row r="47" s="46" customFormat="1" spans="1:7">
      <c r="A47" s="54" t="s">
        <v>129</v>
      </c>
      <c r="B47" s="48"/>
      <c r="C47" s="49"/>
      <c r="D47" s="50"/>
      <c r="E47" s="51"/>
      <c r="F47" s="52"/>
      <c r="G47" s="53"/>
    </row>
    <row r="48" s="46" customFormat="1" spans="1:7">
      <c r="A48" s="54" t="s">
        <v>131</v>
      </c>
      <c r="B48" s="48"/>
      <c r="C48" s="61" t="s">
        <v>664</v>
      </c>
      <c r="D48" s="50"/>
      <c r="E48" s="51"/>
      <c r="F48" s="52"/>
      <c r="G48" s="53"/>
    </row>
    <row r="49" s="46" customFormat="1" spans="1:7">
      <c r="A49" s="54" t="s">
        <v>135</v>
      </c>
      <c r="B49" s="48"/>
      <c r="C49" s="49"/>
      <c r="D49" s="50"/>
      <c r="E49" s="51"/>
      <c r="F49" s="52"/>
      <c r="G49" s="53"/>
    </row>
    <row r="50" s="46" customFormat="1" ht="322" spans="1:7">
      <c r="A50" s="54" t="s">
        <v>137</v>
      </c>
      <c r="B50" s="48"/>
      <c r="C50" s="61" t="s">
        <v>665</v>
      </c>
      <c r="D50" s="50"/>
      <c r="E50" s="51"/>
      <c r="F50" s="52"/>
      <c r="G50" s="53"/>
    </row>
    <row r="51" s="46" customFormat="1" spans="1:7">
      <c r="A51" s="54" t="s">
        <v>139</v>
      </c>
      <c r="B51" s="48"/>
      <c r="C51" s="49"/>
      <c r="D51" s="50"/>
      <c r="E51" s="51"/>
      <c r="F51" s="52"/>
      <c r="G51" s="53"/>
    </row>
    <row r="52" s="46" customFormat="1" ht="224" spans="1:7">
      <c r="A52" s="54" t="s">
        <v>140</v>
      </c>
      <c r="B52" s="48" t="s">
        <v>666</v>
      </c>
      <c r="C52" s="61" t="s">
        <v>667</v>
      </c>
      <c r="D52" s="50"/>
      <c r="E52" s="51"/>
      <c r="F52" s="52"/>
      <c r="G52" s="53"/>
    </row>
  </sheetData>
  <conditionalFormatting sqref="A1">
    <cfRule type="duplicateValues" dxfId="0" priority="2"/>
  </conditionalFormatting>
  <conditionalFormatting sqref="A2:A52">
    <cfRule type="duplicateValues" dxfId="0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14"/>
  <sheetViews>
    <sheetView zoomScale="55" zoomScaleNormal="55" workbookViewId="0">
      <pane xSplit="3" ySplit="1" topLeftCell="D40" activePane="bottomRight" state="frozen"/>
      <selection/>
      <selection pane="topRight"/>
      <selection pane="bottomLeft"/>
      <selection pane="bottomRight" activeCell="BT80" sqref="BT80"/>
    </sheetView>
  </sheetViews>
  <sheetFormatPr defaultColWidth="8.72727272727273" defaultRowHeight="14"/>
  <cols>
    <col min="1" max="1" width="3.30909090909091" style="2" customWidth="1"/>
    <col min="2" max="2" width="4.05454545454545" style="2" customWidth="1"/>
    <col min="3" max="3" width="4.17272727272727" style="3" customWidth="1"/>
    <col min="4" max="54" width="3.1" style="3" customWidth="1"/>
    <col min="55" max="56" width="5.12727272727273" style="3" customWidth="1"/>
    <col min="57" max="57" width="6.19090909090909" style="4" customWidth="1"/>
    <col min="58" max="66" width="3.50909090909091" style="4" customWidth="1"/>
    <col min="67" max="67" width="5.37272727272727" style="4" customWidth="1"/>
    <col min="68" max="16384" width="8.72727272727273" style="3"/>
  </cols>
  <sheetData>
    <row r="1" s="1" customFormat="1" spans="1:67">
      <c r="A1" s="5" t="s">
        <v>668</v>
      </c>
      <c r="B1" s="6"/>
      <c r="C1" s="7"/>
      <c r="D1" s="8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8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  <c r="R1" s="9">
        <v>15</v>
      </c>
      <c r="S1" s="8">
        <v>16</v>
      </c>
      <c r="T1" s="9">
        <v>17</v>
      </c>
      <c r="U1" s="9">
        <v>18</v>
      </c>
      <c r="V1" s="9">
        <v>19</v>
      </c>
      <c r="W1" s="9">
        <v>20</v>
      </c>
      <c r="X1" s="8">
        <v>21</v>
      </c>
      <c r="Y1" s="9">
        <v>22</v>
      </c>
      <c r="Z1" s="8">
        <v>23</v>
      </c>
      <c r="AA1" s="10">
        <v>24</v>
      </c>
      <c r="AB1" s="8">
        <v>25</v>
      </c>
      <c r="AC1" s="9">
        <v>26</v>
      </c>
      <c r="AD1" s="9">
        <v>27</v>
      </c>
      <c r="AE1" s="9">
        <v>28</v>
      </c>
      <c r="AF1" s="9">
        <v>29</v>
      </c>
      <c r="AG1" s="9">
        <v>30</v>
      </c>
      <c r="AH1" s="9">
        <v>31</v>
      </c>
      <c r="AI1" s="10">
        <v>32</v>
      </c>
      <c r="AJ1" s="11">
        <v>33</v>
      </c>
      <c r="AK1" s="8">
        <v>34</v>
      </c>
      <c r="AL1" s="9">
        <v>35</v>
      </c>
      <c r="AM1" s="9">
        <v>36</v>
      </c>
      <c r="AN1" s="11">
        <v>37</v>
      </c>
      <c r="AO1" s="9">
        <v>38</v>
      </c>
      <c r="AP1" s="9">
        <v>39</v>
      </c>
      <c r="AQ1" s="9">
        <v>40</v>
      </c>
      <c r="AR1" s="8">
        <v>41</v>
      </c>
      <c r="AS1" s="9">
        <v>42</v>
      </c>
      <c r="AT1" s="10">
        <v>43</v>
      </c>
      <c r="AU1" s="9">
        <v>44</v>
      </c>
      <c r="AV1" s="10">
        <v>45</v>
      </c>
      <c r="AW1" s="9">
        <v>46</v>
      </c>
      <c r="AX1" s="9">
        <v>47</v>
      </c>
      <c r="AY1" s="9">
        <v>48</v>
      </c>
      <c r="AZ1" s="8">
        <v>49</v>
      </c>
      <c r="BA1" s="10">
        <v>50</v>
      </c>
      <c r="BB1" s="8">
        <v>51</v>
      </c>
      <c r="BC1" s="12" t="s">
        <v>669</v>
      </c>
      <c r="BD1" s="12" t="s">
        <v>670</v>
      </c>
      <c r="BF1" s="11">
        <v>1</v>
      </c>
      <c r="BG1" s="11">
        <v>2</v>
      </c>
      <c r="BH1" s="11">
        <v>3</v>
      </c>
      <c r="BI1" s="11">
        <v>4</v>
      </c>
      <c r="BJ1" s="11" t="s">
        <v>671</v>
      </c>
      <c r="BK1" s="11">
        <v>5</v>
      </c>
      <c r="BL1" s="11">
        <v>6</v>
      </c>
      <c r="BM1" s="11">
        <v>7</v>
      </c>
      <c r="BN1" s="11">
        <v>8</v>
      </c>
      <c r="BO1" s="13" t="s">
        <v>670</v>
      </c>
    </row>
    <row r="2" customHeight="1" spans="1:67">
      <c r="A2" s="14">
        <v>25</v>
      </c>
      <c r="B2" s="15">
        <v>12</v>
      </c>
      <c r="C2" s="16">
        <v>5</v>
      </c>
      <c r="D2" s="17"/>
      <c r="E2" s="17">
        <v>1</v>
      </c>
      <c r="F2" s="17"/>
      <c r="G2" s="17"/>
      <c r="H2" s="17">
        <v>1</v>
      </c>
      <c r="I2" s="17">
        <v>1</v>
      </c>
      <c r="J2" s="17">
        <v>1</v>
      </c>
      <c r="K2" s="17"/>
      <c r="L2" s="17"/>
      <c r="M2" s="17"/>
      <c r="N2" s="17"/>
      <c r="O2" s="17"/>
      <c r="P2" s="17"/>
      <c r="Q2" s="17"/>
      <c r="R2" s="17"/>
      <c r="S2" s="17"/>
      <c r="T2" s="17">
        <v>1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>
        <v>1</v>
      </c>
      <c r="AF2" s="17">
        <v>1</v>
      </c>
      <c r="AG2" s="17"/>
      <c r="AH2" s="17">
        <v>1</v>
      </c>
      <c r="AI2" s="17"/>
      <c r="AJ2" s="18"/>
      <c r="AK2" s="17"/>
      <c r="AL2" s="17"/>
      <c r="AM2" s="17"/>
      <c r="AN2" s="18"/>
      <c r="AO2" s="17"/>
      <c r="AP2" s="17">
        <v>1</v>
      </c>
      <c r="AQ2" s="17"/>
      <c r="AR2" s="17"/>
      <c r="AS2" s="17">
        <v>1</v>
      </c>
      <c r="AT2" s="17"/>
      <c r="AU2" s="17">
        <v>1</v>
      </c>
      <c r="AV2" s="17"/>
      <c r="AW2" s="17"/>
      <c r="AX2" s="17"/>
      <c r="AY2" s="17"/>
      <c r="AZ2" s="17"/>
      <c r="BA2" s="17"/>
      <c r="BB2" s="17"/>
      <c r="BC2" s="19" cm="1">
        <f t="array" ref="BC2">SUMPRODUCT(--(D2:BB2=INT(D2:BB2)),--(D2:BB2&gt;0))</f>
        <v>11</v>
      </c>
      <c r="BD2" s="19">
        <f t="shared" ref="BD2:BD65" si="0">SUM(D2:BB2)</f>
        <v>11</v>
      </c>
      <c r="BF2" s="20"/>
      <c r="BG2" s="20"/>
      <c r="BH2" s="20"/>
      <c r="BI2" s="20"/>
      <c r="BJ2" s="20"/>
      <c r="BK2" s="20"/>
      <c r="BL2" s="20"/>
      <c r="BM2" s="20"/>
      <c r="BN2" s="20"/>
    </row>
    <row r="3" customHeight="1" spans="1:67">
      <c r="A3" s="14"/>
      <c r="B3" s="15"/>
      <c r="C3" s="16">
        <v>6</v>
      </c>
      <c r="D3" s="17"/>
      <c r="E3" s="17">
        <v>1</v>
      </c>
      <c r="F3" s="17"/>
      <c r="G3" s="17"/>
      <c r="H3" s="17"/>
      <c r="I3" s="17">
        <v>1</v>
      </c>
      <c r="J3" s="17"/>
      <c r="K3" s="17"/>
      <c r="L3" s="17"/>
      <c r="M3" s="17"/>
      <c r="N3" s="17"/>
      <c r="O3" s="17"/>
      <c r="P3" s="17">
        <v>1</v>
      </c>
      <c r="Q3" s="17"/>
      <c r="R3" s="17"/>
      <c r="S3" s="17"/>
      <c r="T3" s="17"/>
      <c r="U3" s="17"/>
      <c r="V3" s="17"/>
      <c r="W3" s="17"/>
      <c r="X3" s="17"/>
      <c r="Y3" s="17">
        <v>1</v>
      </c>
      <c r="Z3" s="17"/>
      <c r="AA3" s="17"/>
      <c r="AB3" s="17"/>
      <c r="AC3" s="17">
        <v>1</v>
      </c>
      <c r="AD3" s="17"/>
      <c r="AE3" s="17"/>
      <c r="AF3" s="17"/>
      <c r="AG3" s="17">
        <v>1</v>
      </c>
      <c r="AH3" s="17"/>
      <c r="AI3" s="17"/>
      <c r="AJ3" s="18"/>
      <c r="AK3" s="17"/>
      <c r="AL3" s="17"/>
      <c r="AM3" s="17"/>
      <c r="AN3" s="18"/>
      <c r="AO3" s="17">
        <v>1</v>
      </c>
      <c r="AP3" s="17"/>
      <c r="AQ3" s="17"/>
      <c r="AR3" s="17"/>
      <c r="AS3" s="17">
        <v>1</v>
      </c>
      <c r="AT3" s="17"/>
      <c r="AU3" s="17">
        <v>1</v>
      </c>
      <c r="AV3" s="17"/>
      <c r="AW3" s="17"/>
      <c r="AX3" s="17"/>
      <c r="AY3" s="17"/>
      <c r="AZ3" s="17"/>
      <c r="BA3" s="17"/>
      <c r="BB3" s="17"/>
      <c r="BC3" s="19" cm="1">
        <f t="array" ref="BC3">SUMPRODUCT(--(D3:BB3=INT(D3:BB3)),--(D3:BB3&gt;0))</f>
        <v>9</v>
      </c>
      <c r="BD3" s="19">
        <f t="shared" si="0"/>
        <v>9</v>
      </c>
      <c r="BG3" s="20"/>
      <c r="BH3" s="20"/>
      <c r="BI3" s="20"/>
      <c r="BJ3" s="20"/>
      <c r="BK3" s="20"/>
      <c r="BL3" s="20"/>
      <c r="BM3" s="20"/>
      <c r="BN3" s="20"/>
    </row>
    <row r="4" customHeight="1" spans="1:67">
      <c r="A4" s="14"/>
      <c r="B4" s="15"/>
      <c r="C4" s="16">
        <v>9</v>
      </c>
      <c r="D4" s="17"/>
      <c r="E4" s="17">
        <v>1</v>
      </c>
      <c r="F4" s="17"/>
      <c r="G4" s="17"/>
      <c r="H4" s="17">
        <v>2</v>
      </c>
      <c r="I4" s="17">
        <v>1</v>
      </c>
      <c r="J4" s="17"/>
      <c r="K4" s="17"/>
      <c r="L4" s="17"/>
      <c r="M4" s="17">
        <v>1</v>
      </c>
      <c r="N4" s="17">
        <v>1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>
        <v>1</v>
      </c>
      <c r="Z4" s="17"/>
      <c r="AA4" s="17"/>
      <c r="AB4" s="17"/>
      <c r="AC4" s="17"/>
      <c r="AD4" s="17">
        <v>1</v>
      </c>
      <c r="AE4" s="17"/>
      <c r="AF4" s="17"/>
      <c r="AG4" s="17"/>
      <c r="AH4" s="17"/>
      <c r="AI4" s="17"/>
      <c r="AJ4" s="18"/>
      <c r="AK4" s="17"/>
      <c r="AL4" s="17"/>
      <c r="AM4" s="17"/>
      <c r="AN4" s="18"/>
      <c r="AO4" s="17">
        <v>1</v>
      </c>
      <c r="AP4" s="17"/>
      <c r="AQ4" s="17"/>
      <c r="AR4" s="17"/>
      <c r="AS4" s="17">
        <v>2</v>
      </c>
      <c r="AT4" s="17"/>
      <c r="AU4" s="17">
        <v>1</v>
      </c>
      <c r="AV4" s="17"/>
      <c r="AW4" s="17"/>
      <c r="AX4" s="17"/>
      <c r="AY4" s="17"/>
      <c r="AZ4" s="17"/>
      <c r="BA4" s="17"/>
      <c r="BB4" s="17"/>
      <c r="BC4" s="19" cm="1">
        <f t="array" ref="BC4">SUMPRODUCT(--(D4:BB4=INT(D4:BB4)),--(D4:BB4&gt;0))</f>
        <v>10</v>
      </c>
      <c r="BD4" s="19">
        <f t="shared" si="0"/>
        <v>12</v>
      </c>
      <c r="BG4" s="20"/>
      <c r="BH4" s="20"/>
      <c r="BI4" s="20"/>
      <c r="BJ4" s="20"/>
      <c r="BK4" s="20"/>
      <c r="BL4" s="20"/>
      <c r="BM4" s="20"/>
      <c r="BN4" s="20"/>
    </row>
    <row r="5" customHeight="1" spans="1:67">
      <c r="A5" s="14"/>
      <c r="B5" s="15"/>
      <c r="C5" s="16">
        <v>10</v>
      </c>
      <c r="D5" s="17"/>
      <c r="E5" s="17"/>
      <c r="F5" s="17"/>
      <c r="G5" s="17"/>
      <c r="H5" s="17"/>
      <c r="I5" s="17">
        <v>1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>
        <v>1</v>
      </c>
      <c r="Z5" s="17"/>
      <c r="AA5" s="17"/>
      <c r="AB5" s="17"/>
      <c r="AC5" s="17"/>
      <c r="AD5" s="17"/>
      <c r="AE5" s="17"/>
      <c r="AF5" s="17"/>
      <c r="AG5" s="17">
        <v>1</v>
      </c>
      <c r="AH5" s="17"/>
      <c r="AI5" s="17"/>
      <c r="AJ5" s="18"/>
      <c r="AK5" s="17"/>
      <c r="AL5" s="17"/>
      <c r="AM5" s="17"/>
      <c r="AN5" s="18"/>
      <c r="AO5" s="17"/>
      <c r="AP5" s="17"/>
      <c r="AQ5" s="17"/>
      <c r="AR5" s="17"/>
      <c r="AS5" s="17">
        <v>1</v>
      </c>
      <c r="AT5" s="17"/>
      <c r="AU5" s="17">
        <v>1</v>
      </c>
      <c r="AV5" s="17"/>
      <c r="AW5" s="17"/>
      <c r="AX5" s="17"/>
      <c r="AY5" s="17">
        <v>1</v>
      </c>
      <c r="AZ5" s="17"/>
      <c r="BA5" s="17"/>
      <c r="BB5" s="17"/>
      <c r="BC5" s="19" cm="1">
        <f t="array" ref="BC5">SUMPRODUCT(--(D5:BB5=INT(D5:BB5)),--(D5:BB5&gt;0))</f>
        <v>6</v>
      </c>
      <c r="BD5" s="19">
        <f t="shared" si="0"/>
        <v>6</v>
      </c>
      <c r="BG5" s="20"/>
      <c r="BH5" s="20"/>
      <c r="BI5" s="20"/>
      <c r="BJ5" s="20"/>
      <c r="BK5" s="20"/>
      <c r="BL5" s="20"/>
      <c r="BM5" s="20"/>
      <c r="BN5" s="20"/>
    </row>
    <row r="6" customHeight="1" spans="1:67">
      <c r="A6" s="14"/>
      <c r="B6" s="15"/>
      <c r="C6" s="16">
        <v>11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8"/>
      <c r="AK6" s="17"/>
      <c r="AL6" s="17"/>
      <c r="AM6" s="17"/>
      <c r="AN6" s="18"/>
      <c r="AO6" s="17">
        <v>1</v>
      </c>
      <c r="AP6" s="17"/>
      <c r="AQ6" s="17"/>
      <c r="AR6" s="17"/>
      <c r="AS6" s="17">
        <v>1</v>
      </c>
      <c r="AT6" s="17"/>
      <c r="AU6" s="17"/>
      <c r="AV6" s="17"/>
      <c r="AW6" s="17"/>
      <c r="AX6" s="17"/>
      <c r="AY6" s="17"/>
      <c r="AZ6" s="17"/>
      <c r="BA6" s="17"/>
      <c r="BB6" s="17"/>
      <c r="BC6" s="19" cm="1">
        <f t="array" ref="BC6">SUMPRODUCT(--(D6:BB6=INT(D6:BB6)),--(D6:BB6&gt;0))</f>
        <v>2</v>
      </c>
      <c r="BD6" s="19">
        <f t="shared" si="0"/>
        <v>2</v>
      </c>
      <c r="BG6" s="20"/>
      <c r="BH6" s="20"/>
      <c r="BI6" s="20"/>
      <c r="BJ6" s="20"/>
      <c r="BK6" s="20"/>
      <c r="BL6" s="20"/>
      <c r="BM6" s="20"/>
      <c r="BN6" s="20"/>
    </row>
    <row r="7" customHeight="1" spans="1:67">
      <c r="A7" s="14"/>
      <c r="B7" s="15"/>
      <c r="C7" s="16">
        <v>12</v>
      </c>
      <c r="D7" s="17"/>
      <c r="E7" s="17"/>
      <c r="F7" s="17"/>
      <c r="G7" s="17"/>
      <c r="H7" s="17">
        <v>1</v>
      </c>
      <c r="I7" s="17"/>
      <c r="J7" s="17"/>
      <c r="K7" s="17"/>
      <c r="L7" s="17"/>
      <c r="M7" s="17"/>
      <c r="N7" s="17"/>
      <c r="O7" s="17"/>
      <c r="P7" s="17"/>
      <c r="Q7" s="17">
        <v>1</v>
      </c>
      <c r="R7" s="17"/>
      <c r="S7" s="17"/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8"/>
      <c r="AK7" s="17"/>
      <c r="AL7" s="17"/>
      <c r="AM7" s="17"/>
      <c r="AN7" s="18"/>
      <c r="AO7" s="17"/>
      <c r="AP7" s="17"/>
      <c r="AQ7" s="17"/>
      <c r="AR7" s="17"/>
      <c r="AS7" s="17"/>
      <c r="AT7" s="17"/>
      <c r="AU7" s="17">
        <v>3</v>
      </c>
      <c r="AV7" s="17"/>
      <c r="AW7" s="17">
        <v>1</v>
      </c>
      <c r="AX7" s="17"/>
      <c r="AY7" s="17"/>
      <c r="AZ7" s="17"/>
      <c r="BA7" s="17"/>
      <c r="BB7" s="17"/>
      <c r="BC7" s="19" cm="1">
        <f t="array" ref="BC7">SUMPRODUCT(--(D7:BB7=INT(D7:BB7)),--(D7:BB7&gt;0))</f>
        <v>5</v>
      </c>
      <c r="BD7" s="19">
        <f t="shared" si="0"/>
        <v>7</v>
      </c>
      <c r="BG7" s="20"/>
      <c r="BH7" s="20"/>
      <c r="BI7" s="20"/>
      <c r="BJ7" s="20"/>
      <c r="BK7" s="20"/>
      <c r="BL7" s="20"/>
      <c r="BM7" s="20"/>
      <c r="BN7" s="20"/>
    </row>
    <row r="8" customHeight="1" spans="1:67">
      <c r="A8" s="14"/>
      <c r="B8" s="15"/>
      <c r="C8" s="16">
        <v>15</v>
      </c>
      <c r="D8" s="17"/>
      <c r="E8" s="17"/>
      <c r="F8" s="17"/>
      <c r="G8" s="17"/>
      <c r="H8" s="17"/>
      <c r="I8" s="17">
        <v>1</v>
      </c>
      <c r="J8" s="17">
        <v>1</v>
      </c>
      <c r="K8" s="17"/>
      <c r="L8" s="17"/>
      <c r="M8" s="17"/>
      <c r="N8" s="17">
        <v>1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>
        <v>1</v>
      </c>
      <c r="AD8" s="17"/>
      <c r="AE8" s="17">
        <v>1</v>
      </c>
      <c r="AF8" s="17">
        <v>1</v>
      </c>
      <c r="AG8" s="17"/>
      <c r="AH8" s="17"/>
      <c r="AI8" s="17"/>
      <c r="AJ8" s="18"/>
      <c r="AK8" s="17"/>
      <c r="AL8" s="17">
        <v>1</v>
      </c>
      <c r="AM8" s="17"/>
      <c r="AN8" s="18"/>
      <c r="AO8" s="17">
        <v>1</v>
      </c>
      <c r="AP8" s="17"/>
      <c r="AQ8" s="17">
        <v>1</v>
      </c>
      <c r="AR8" s="17"/>
      <c r="AS8" s="17">
        <v>1</v>
      </c>
      <c r="AT8" s="17"/>
      <c r="AU8" s="17">
        <v>1</v>
      </c>
      <c r="AV8" s="17"/>
      <c r="AW8" s="17"/>
      <c r="AX8" s="17">
        <v>1</v>
      </c>
      <c r="AY8" s="17"/>
      <c r="AZ8" s="17"/>
      <c r="BA8" s="17"/>
      <c r="BB8" s="17"/>
      <c r="BC8" s="19" cm="1">
        <f t="array" ref="BC8">SUMPRODUCT(--(D8:BB8=INT(D8:BB8)),--(D8:BB8&gt;0))</f>
        <v>12</v>
      </c>
      <c r="BD8" s="19">
        <f t="shared" si="0"/>
        <v>12</v>
      </c>
      <c r="BG8" s="20"/>
      <c r="BH8" s="20"/>
      <c r="BI8" s="20"/>
      <c r="BJ8" s="20"/>
      <c r="BK8" s="20"/>
      <c r="BL8" s="20"/>
      <c r="BM8" s="20"/>
      <c r="BN8" s="20"/>
    </row>
    <row r="9" customHeight="1" spans="1:67">
      <c r="A9" s="14"/>
      <c r="B9" s="15"/>
      <c r="C9" s="16">
        <v>16</v>
      </c>
      <c r="D9" s="17"/>
      <c r="E9" s="17">
        <v>1</v>
      </c>
      <c r="F9" s="17"/>
      <c r="G9" s="17"/>
      <c r="H9" s="17"/>
      <c r="I9" s="17">
        <v>1</v>
      </c>
      <c r="J9" s="17">
        <v>1</v>
      </c>
      <c r="K9" s="17"/>
      <c r="L9" s="17"/>
      <c r="M9" s="17"/>
      <c r="N9" s="17"/>
      <c r="O9" s="17"/>
      <c r="P9" s="17">
        <v>1</v>
      </c>
      <c r="Q9" s="17"/>
      <c r="R9" s="17"/>
      <c r="S9" s="17"/>
      <c r="T9" s="17"/>
      <c r="U9" s="17"/>
      <c r="V9" s="17"/>
      <c r="W9" s="17">
        <v>1</v>
      </c>
      <c r="X9" s="17"/>
      <c r="Y9" s="17">
        <v>1</v>
      </c>
      <c r="Z9" s="17"/>
      <c r="AA9" s="17"/>
      <c r="AB9" s="17"/>
      <c r="AC9" s="17"/>
      <c r="AD9" s="17"/>
      <c r="AE9" s="17"/>
      <c r="AF9" s="17">
        <v>2</v>
      </c>
      <c r="AG9" s="17">
        <v>2</v>
      </c>
      <c r="AH9" s="17"/>
      <c r="AI9" s="17"/>
      <c r="AJ9" s="18"/>
      <c r="AK9" s="17"/>
      <c r="AL9" s="17">
        <v>1</v>
      </c>
      <c r="AM9" s="17">
        <v>2</v>
      </c>
      <c r="AN9" s="18"/>
      <c r="AO9" s="17">
        <v>1</v>
      </c>
      <c r="AP9" s="17"/>
      <c r="AQ9" s="17"/>
      <c r="AR9" s="17"/>
      <c r="AS9" s="17">
        <v>1</v>
      </c>
      <c r="AT9" s="17"/>
      <c r="AU9" s="17">
        <v>1</v>
      </c>
      <c r="AV9" s="17"/>
      <c r="AW9" s="17"/>
      <c r="AX9" s="17"/>
      <c r="AY9" s="17"/>
      <c r="AZ9" s="17"/>
      <c r="BA9" s="17"/>
      <c r="BB9" s="17"/>
      <c r="BC9" s="19" cm="1">
        <f t="array" ref="BC9">SUMPRODUCT(--(D9:BB9=INT(D9:BB9)),--(D9:BB9&gt;0))</f>
        <v>13</v>
      </c>
      <c r="BD9" s="19">
        <f t="shared" si="0"/>
        <v>16</v>
      </c>
      <c r="BG9" s="20"/>
      <c r="BH9" s="20"/>
      <c r="BI9" s="20"/>
      <c r="BJ9" s="20"/>
      <c r="BK9" s="20"/>
      <c r="BL9" s="20"/>
      <c r="BM9" s="20"/>
      <c r="BN9" s="20"/>
    </row>
    <row r="10" customHeight="1" spans="1:67">
      <c r="A10" s="14"/>
      <c r="B10" s="15"/>
      <c r="C10" s="16">
        <v>17</v>
      </c>
      <c r="D10" s="17"/>
      <c r="E10" s="17">
        <v>1</v>
      </c>
      <c r="F10" s="17"/>
      <c r="G10" s="17"/>
      <c r="H10" s="17"/>
      <c r="I10" s="17">
        <v>1</v>
      </c>
      <c r="J10" s="17">
        <v>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>
        <v>1</v>
      </c>
      <c r="W10" s="17">
        <v>1</v>
      </c>
      <c r="X10" s="17"/>
      <c r="Y10" s="17"/>
      <c r="Z10" s="17"/>
      <c r="AA10" s="17"/>
      <c r="AB10" s="17"/>
      <c r="AC10" s="17"/>
      <c r="AD10" s="17"/>
      <c r="AE10" s="17"/>
      <c r="AF10" s="17"/>
      <c r="AG10" s="17">
        <v>1</v>
      </c>
      <c r="AH10" s="17"/>
      <c r="AI10" s="17"/>
      <c r="AJ10" s="18"/>
      <c r="AK10" s="17"/>
      <c r="AL10" s="17">
        <v>1</v>
      </c>
      <c r="AM10" s="17"/>
      <c r="AN10" s="18"/>
      <c r="AO10" s="17">
        <v>2</v>
      </c>
      <c r="AP10" s="17">
        <v>1</v>
      </c>
      <c r="AQ10" s="17">
        <v>1</v>
      </c>
      <c r="AR10" s="17"/>
      <c r="AS10" s="17">
        <v>1</v>
      </c>
      <c r="AT10" s="17"/>
      <c r="AU10" s="17">
        <v>2</v>
      </c>
      <c r="AV10" s="17"/>
      <c r="AW10" s="17"/>
      <c r="AX10" s="17"/>
      <c r="AY10" s="17"/>
      <c r="AZ10" s="17"/>
      <c r="BA10" s="17"/>
      <c r="BB10" s="17"/>
      <c r="BC10" s="19" cm="1">
        <f t="array" ref="BC10">SUMPRODUCT(--(D10:BB10=INT(D10:BB10)),--(D10:BB10&gt;0))</f>
        <v>12</v>
      </c>
      <c r="BD10" s="19">
        <f t="shared" si="0"/>
        <v>14</v>
      </c>
      <c r="BG10" s="20"/>
      <c r="BH10" s="20"/>
      <c r="BI10" s="20"/>
      <c r="BJ10" s="20"/>
      <c r="BK10" s="20"/>
      <c r="BL10" s="20"/>
      <c r="BM10" s="20"/>
      <c r="BN10" s="20"/>
    </row>
    <row r="11" customHeight="1" spans="1:67">
      <c r="A11" s="14"/>
      <c r="B11" s="15"/>
      <c r="C11" s="16">
        <v>18</v>
      </c>
      <c r="D11" s="17"/>
      <c r="E11" s="17">
        <v>1</v>
      </c>
      <c r="F11" s="17">
        <v>1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>
        <v>1</v>
      </c>
      <c r="AD11" s="17"/>
      <c r="AE11" s="17"/>
      <c r="AF11" s="17"/>
      <c r="AG11" s="17"/>
      <c r="AH11" s="17"/>
      <c r="AI11" s="17"/>
      <c r="AJ11" s="18"/>
      <c r="AK11" s="17"/>
      <c r="AL11" s="17"/>
      <c r="AM11" s="17"/>
      <c r="AN11" s="18"/>
      <c r="AO11" s="17"/>
      <c r="AP11" s="17"/>
      <c r="AQ11" s="17">
        <v>1</v>
      </c>
      <c r="AR11" s="17"/>
      <c r="AS11" s="17"/>
      <c r="AT11" s="17"/>
      <c r="AU11" s="17">
        <v>2</v>
      </c>
      <c r="AV11" s="17"/>
      <c r="AW11" s="17"/>
      <c r="AX11" s="17"/>
      <c r="AY11" s="17"/>
      <c r="AZ11" s="17"/>
      <c r="BA11" s="17"/>
      <c r="BB11" s="17"/>
      <c r="BC11" s="19" cm="1">
        <f t="array" ref="BC11">SUMPRODUCT(--(D11:BB11=INT(D11:BB11)),--(D11:BB11&gt;0))</f>
        <v>5</v>
      </c>
      <c r="BD11" s="19">
        <f t="shared" si="0"/>
        <v>6</v>
      </c>
      <c r="BF11" s="20"/>
      <c r="BG11" s="20"/>
      <c r="BH11" s="20"/>
      <c r="BI11" s="20"/>
      <c r="BJ11" s="20"/>
      <c r="BK11" s="20"/>
      <c r="BL11" s="20"/>
      <c r="BM11" s="20"/>
      <c r="BN11" s="20"/>
    </row>
    <row r="12" customHeight="1" spans="1:67">
      <c r="A12" s="14"/>
      <c r="B12" s="15"/>
      <c r="C12" s="16">
        <v>19</v>
      </c>
      <c r="D12" s="17"/>
      <c r="E12" s="17"/>
      <c r="F12" s="17"/>
      <c r="G12" s="17">
        <v>1</v>
      </c>
      <c r="H12" s="17"/>
      <c r="I12" s="17">
        <v>1</v>
      </c>
      <c r="J12" s="17"/>
      <c r="K12" s="17"/>
      <c r="L12" s="17">
        <v>1</v>
      </c>
      <c r="M12" s="17"/>
      <c r="N12" s="17">
        <v>1</v>
      </c>
      <c r="O12" s="17">
        <v>1</v>
      </c>
      <c r="P12" s="17">
        <v>1</v>
      </c>
      <c r="Q12" s="17"/>
      <c r="R12" s="17"/>
      <c r="S12" s="17"/>
      <c r="T12" s="17"/>
      <c r="U12" s="17">
        <v>1</v>
      </c>
      <c r="V12" s="17">
        <v>1</v>
      </c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/>
      <c r="AK12" s="17"/>
      <c r="AL12" s="17"/>
      <c r="AM12" s="17"/>
      <c r="AN12" s="18"/>
      <c r="AO12" s="17">
        <v>1</v>
      </c>
      <c r="AP12" s="17"/>
      <c r="AQ12" s="17">
        <v>1</v>
      </c>
      <c r="AR12" s="17"/>
      <c r="AS12" s="17">
        <v>1</v>
      </c>
      <c r="AT12" s="17"/>
      <c r="AU12" s="17">
        <v>1</v>
      </c>
      <c r="AV12" s="17"/>
      <c r="AW12" s="17"/>
      <c r="AX12" s="17"/>
      <c r="AY12" s="17"/>
      <c r="AZ12" s="17"/>
      <c r="BA12" s="17"/>
      <c r="BB12" s="17"/>
      <c r="BC12" s="19" cm="1">
        <f t="array" ref="BC12">SUMPRODUCT(--(D12:BB12=INT(D12:BB12)),--(D12:BB12&gt;0))</f>
        <v>12</v>
      </c>
      <c r="BD12" s="19">
        <f t="shared" si="0"/>
        <v>12</v>
      </c>
      <c r="BF12" s="20"/>
      <c r="BG12" s="20"/>
      <c r="BH12" s="20"/>
      <c r="BI12" s="20"/>
      <c r="BJ12" s="20"/>
      <c r="BK12" s="20"/>
      <c r="BL12" s="20"/>
      <c r="BM12" s="20"/>
      <c r="BN12" s="20"/>
    </row>
    <row r="13" customHeight="1" spans="1:67">
      <c r="A13" s="14"/>
      <c r="B13" s="15"/>
      <c r="C13" s="16">
        <v>22</v>
      </c>
      <c r="D13" s="17"/>
      <c r="E13" s="17"/>
      <c r="F13" s="17"/>
      <c r="G13" s="17"/>
      <c r="H13" s="17"/>
      <c r="I13" s="17"/>
      <c r="J13" s="17">
        <v>1</v>
      </c>
      <c r="K13" s="17"/>
      <c r="L13" s="17"/>
      <c r="M13" s="17"/>
      <c r="N13" s="17"/>
      <c r="O13" s="17"/>
      <c r="P13" s="17">
        <v>1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>
        <v>1</v>
      </c>
      <c r="AE13" s="17"/>
      <c r="AF13" s="17"/>
      <c r="AG13" s="17"/>
      <c r="AH13" s="17"/>
      <c r="AI13" s="17"/>
      <c r="AJ13" s="18"/>
      <c r="AK13" s="17"/>
      <c r="AL13" s="17"/>
      <c r="AM13" s="17"/>
      <c r="AN13" s="18"/>
      <c r="AO13" s="17"/>
      <c r="AP13" s="17"/>
      <c r="AQ13" s="17">
        <v>1</v>
      </c>
      <c r="AR13" s="17"/>
      <c r="AS13" s="17"/>
      <c r="AT13" s="17"/>
      <c r="AU13" s="17">
        <v>2</v>
      </c>
      <c r="AV13" s="17"/>
      <c r="AW13" s="17"/>
      <c r="AX13" s="17">
        <v>1</v>
      </c>
      <c r="AY13" s="17"/>
      <c r="AZ13" s="17"/>
      <c r="BA13" s="17"/>
      <c r="BB13" s="17"/>
      <c r="BC13" s="19" cm="1">
        <f t="array" ref="BC13">SUMPRODUCT(--(D13:BB13=INT(D13:BB13)),--(D13:BB13&gt;0))</f>
        <v>6</v>
      </c>
      <c r="BD13" s="19">
        <f t="shared" si="0"/>
        <v>7</v>
      </c>
      <c r="BF13" s="20"/>
      <c r="BG13" s="20"/>
      <c r="BH13" s="20"/>
      <c r="BI13" s="20"/>
      <c r="BJ13" s="20"/>
      <c r="BK13" s="20"/>
      <c r="BL13" s="20"/>
      <c r="BM13" s="20"/>
      <c r="BN13" s="20"/>
    </row>
    <row r="14" customHeight="1" spans="1:67">
      <c r="A14" s="14"/>
      <c r="B14" s="15"/>
      <c r="C14" s="16">
        <v>23</v>
      </c>
      <c r="D14" s="17"/>
      <c r="E14" s="17"/>
      <c r="F14" s="17"/>
      <c r="G14" s="17"/>
      <c r="H14" s="17"/>
      <c r="I14" s="17">
        <v>1</v>
      </c>
      <c r="J14" s="17"/>
      <c r="K14" s="17"/>
      <c r="L14" s="17">
        <v>1</v>
      </c>
      <c r="M14" s="17"/>
      <c r="N14" s="17">
        <v>1</v>
      </c>
      <c r="O14" s="17"/>
      <c r="P14" s="17"/>
      <c r="Q14" s="17"/>
      <c r="R14" s="17"/>
      <c r="S14" s="17"/>
      <c r="T14" s="17">
        <v>1</v>
      </c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>
        <v>1</v>
      </c>
      <c r="AH14" s="17"/>
      <c r="AI14" s="17"/>
      <c r="AJ14" s="18"/>
      <c r="AK14" s="17"/>
      <c r="AL14" s="17">
        <v>1</v>
      </c>
      <c r="AM14" s="17"/>
      <c r="AN14" s="18"/>
      <c r="AO14" s="17"/>
      <c r="AP14" s="17"/>
      <c r="AQ14" s="17">
        <v>1</v>
      </c>
      <c r="AR14" s="17"/>
      <c r="AS14" s="17"/>
      <c r="AT14" s="17"/>
      <c r="AU14" s="17">
        <v>2</v>
      </c>
      <c r="AV14" s="17"/>
      <c r="AW14" s="17">
        <v>1</v>
      </c>
      <c r="AX14" s="17"/>
      <c r="AY14" s="17"/>
      <c r="AZ14" s="17"/>
      <c r="BA14" s="17"/>
      <c r="BB14" s="17"/>
      <c r="BC14" s="19" cm="1">
        <f t="array" ref="BC14">SUMPRODUCT(--(D14:BB14=INT(D14:BB14)),--(D14:BB14&gt;0))</f>
        <v>9</v>
      </c>
      <c r="BD14" s="19">
        <f t="shared" si="0"/>
        <v>10</v>
      </c>
      <c r="BF14" s="20"/>
      <c r="BG14" s="20"/>
      <c r="BH14" s="20"/>
      <c r="BI14" s="20"/>
      <c r="BJ14" s="20"/>
      <c r="BK14" s="20"/>
      <c r="BL14" s="20"/>
      <c r="BM14" s="20"/>
      <c r="BN14" s="20"/>
    </row>
    <row r="15" customHeight="1" spans="1:67">
      <c r="A15" s="14"/>
      <c r="B15" s="15"/>
      <c r="C15" s="16">
        <v>25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8"/>
      <c r="AK15" s="17"/>
      <c r="AL15" s="17"/>
      <c r="AM15" s="17"/>
      <c r="AN15" s="18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9" cm="1">
        <f t="array" ref="BC15">SUMPRODUCT(--(D15:BB15=INT(D15:BB15)),--(D15:BB15&gt;0))</f>
        <v>0</v>
      </c>
      <c r="BD15" s="19">
        <f t="shared" si="0"/>
        <v>0</v>
      </c>
      <c r="BF15" s="20"/>
      <c r="BG15" s="20"/>
      <c r="BH15" s="20"/>
      <c r="BI15" s="20"/>
      <c r="BJ15" s="20"/>
      <c r="BK15" s="20"/>
      <c r="BL15" s="20"/>
      <c r="BM15" s="20"/>
      <c r="BN15" s="20"/>
    </row>
    <row r="16" customHeight="1" spans="1:67">
      <c r="A16" s="14"/>
      <c r="B16" s="15"/>
      <c r="C16" s="16">
        <v>26</v>
      </c>
      <c r="D16" s="17"/>
      <c r="E16" s="17"/>
      <c r="F16" s="17"/>
      <c r="G16" s="17"/>
      <c r="H16" s="17"/>
      <c r="I16" s="17">
        <v>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8"/>
      <c r="AK16" s="17"/>
      <c r="AL16" s="17"/>
      <c r="AM16" s="17"/>
      <c r="AN16" s="18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9" cm="1">
        <f t="array" ref="BC16">SUMPRODUCT(--(D16:BB16=INT(D16:BB16)),--(D16:BB16&gt;0))</f>
        <v>1</v>
      </c>
      <c r="BD16" s="19">
        <f t="shared" si="0"/>
        <v>1</v>
      </c>
      <c r="BE16" s="13" t="s">
        <v>343</v>
      </c>
      <c r="BF16" s="21" cm="1">
        <f t="array" ref="BF16">SUMPRODUCT(LEN(BF24:BF96)-LEN(SUBSTITUTE(BF24:BF96,"语","")))</f>
        <v>0</v>
      </c>
      <c r="BG16" s="21" cm="1">
        <f t="array" ref="BG16">SUMPRODUCT(LEN(BG24:BG96)-LEN(SUBSTITUTE(BG24:BG96,"语","")))</f>
        <v>0</v>
      </c>
      <c r="BH16" s="21" cm="1">
        <f t="array" ref="BH16">SUMPRODUCT(LEN(BH24:BH96)-LEN(SUBSTITUTE(BH24:BH96,"语","")))</f>
        <v>0</v>
      </c>
      <c r="BI16" s="21" cm="1">
        <f t="array" ref="BI16">SUMPRODUCT(LEN(BI24:BI96)-LEN(SUBSTITUTE(BI24:BI96,"语","")))</f>
        <v>1</v>
      </c>
      <c r="BJ16" s="21" cm="1">
        <f t="array" ref="BJ16">SUMPRODUCT(LEN(BJ24:BJ96)-LEN(SUBSTITUTE(BJ24:BJ96,"语","")))</f>
        <v>1</v>
      </c>
      <c r="BK16" s="21" cm="1">
        <f t="array" ref="BK16">SUMPRODUCT(LEN(BK24:BK96)-LEN(SUBSTITUTE(BK24:BK96,"语","")))</f>
        <v>2</v>
      </c>
      <c r="BL16" s="21" cm="1">
        <f t="array" ref="BL16">SUMPRODUCT(LEN(BL24:BL96)-LEN(SUBSTITUTE(BL24:BL96,"语","")))</f>
        <v>5</v>
      </c>
      <c r="BM16" s="21" cm="1">
        <f t="array" ref="BM16">SUMPRODUCT(LEN(BM24:BM96)-LEN(SUBSTITUTE(BM24:BM96,"语","")))</f>
        <v>0</v>
      </c>
      <c r="BN16" s="21" cm="1">
        <f t="array" ref="BN16">SUMPRODUCT(LEN(BN24:BN96)-LEN(SUBSTITUTE(BN24:BN96,"语","")))</f>
        <v>0</v>
      </c>
      <c r="BO16" s="21">
        <f>SUM(BF16:BN16)</f>
        <v>9</v>
      </c>
    </row>
    <row r="17" customHeight="1" spans="1:67">
      <c r="A17" s="14"/>
      <c r="B17" s="15"/>
      <c r="C17" s="16">
        <v>29</v>
      </c>
      <c r="D17" s="17"/>
      <c r="E17" s="17">
        <v>1</v>
      </c>
      <c r="F17" s="17"/>
      <c r="G17" s="17">
        <v>1</v>
      </c>
      <c r="H17" s="17"/>
      <c r="I17" s="17">
        <v>1</v>
      </c>
      <c r="J17" s="17"/>
      <c r="K17" s="17"/>
      <c r="L17" s="17">
        <v>1</v>
      </c>
      <c r="M17" s="17"/>
      <c r="N17" s="17">
        <v>1</v>
      </c>
      <c r="O17" s="17"/>
      <c r="P17" s="17">
        <v>1</v>
      </c>
      <c r="Q17" s="17"/>
      <c r="R17" s="17"/>
      <c r="S17" s="17"/>
      <c r="T17" s="17"/>
      <c r="U17" s="17"/>
      <c r="V17" s="17"/>
      <c r="W17" s="17">
        <v>1</v>
      </c>
      <c r="X17" s="17"/>
      <c r="Y17" s="17"/>
      <c r="Z17" s="17"/>
      <c r="AA17" s="17"/>
      <c r="AB17" s="17"/>
      <c r="AC17" s="17">
        <v>1</v>
      </c>
      <c r="AD17" s="17"/>
      <c r="AE17" s="17"/>
      <c r="AF17" s="17">
        <v>1</v>
      </c>
      <c r="AG17" s="17"/>
      <c r="AH17" s="17"/>
      <c r="AI17" s="17"/>
      <c r="AJ17" s="18"/>
      <c r="AK17" s="17"/>
      <c r="AL17" s="17"/>
      <c r="AM17" s="17"/>
      <c r="AN17" s="18"/>
      <c r="AO17" s="17">
        <v>1</v>
      </c>
      <c r="AP17" s="17">
        <v>1</v>
      </c>
      <c r="AQ17" s="17">
        <v>1</v>
      </c>
      <c r="AR17" s="17"/>
      <c r="AS17" s="17"/>
      <c r="AT17" s="17"/>
      <c r="AU17" s="17"/>
      <c r="AV17" s="17"/>
      <c r="AW17" s="17">
        <v>1</v>
      </c>
      <c r="AX17" s="17"/>
      <c r="AY17" s="17"/>
      <c r="AZ17" s="17"/>
      <c r="BA17" s="17"/>
      <c r="BB17" s="17"/>
      <c r="BC17" s="19" cm="1">
        <f t="array" ref="BC17">SUMPRODUCT(--(D17:BB17=INT(D17:BB17)),--(D17:BB17&gt;0))</f>
        <v>13</v>
      </c>
      <c r="BD17" s="19">
        <f t="shared" si="0"/>
        <v>13</v>
      </c>
      <c r="BE17" s="13" t="s">
        <v>347</v>
      </c>
      <c r="BF17" s="21" cm="1">
        <f t="array" ref="BF17">SUMPRODUCT(LEN(BF25:BF112)-LEN(SUBSTITUTE(BF25:BF112,"数","")))</f>
        <v>1</v>
      </c>
      <c r="BG17" s="21" cm="1">
        <f t="array" ref="BG17">SUMPRODUCT(LEN(BG25:BG112)-LEN(SUBSTITUTE(BG25:BG112,"数","")))</f>
        <v>2</v>
      </c>
      <c r="BH17" s="21" cm="1">
        <f t="array" ref="BH17">SUMPRODUCT(LEN(BH25:BH112)-LEN(SUBSTITUTE(BH25:BH112,"数","")))</f>
        <v>1</v>
      </c>
      <c r="BI17" s="21" cm="1">
        <f t="array" ref="BI17">SUMPRODUCT(LEN(BI25:BI112)-LEN(SUBSTITUTE(BI25:BI112,"数","")))</f>
        <v>2</v>
      </c>
      <c r="BJ17" s="21" cm="1">
        <f t="array" ref="BJ17">SUMPRODUCT(LEN(BJ25:BJ112)-LEN(SUBSTITUTE(BJ25:BJ112,"数","")))</f>
        <v>0</v>
      </c>
      <c r="BK17" s="21" cm="1">
        <f t="array" ref="BK17">SUMPRODUCT(LEN(BK25:BK112)-LEN(SUBSTITUTE(BK25:BK112,"数","")))</f>
        <v>1</v>
      </c>
      <c r="BL17" s="21" cm="1">
        <f t="array" ref="BL17">SUMPRODUCT(LEN(BL25:BL112)-LEN(SUBSTITUTE(BL25:BL112,"数","")))</f>
        <v>0</v>
      </c>
      <c r="BM17" s="21" cm="1">
        <f t="array" ref="BM17">SUMPRODUCT(LEN(BM25:BM112)-LEN(SUBSTITUTE(BM25:BM112,"数","")))</f>
        <v>0</v>
      </c>
      <c r="BN17" s="21" cm="1">
        <f t="array" ref="BN17">SUMPRODUCT(LEN(BN25:BN112)-LEN(SUBSTITUTE(BN25:BN112,"数","")))</f>
        <v>0</v>
      </c>
      <c r="BO17" s="21">
        <f t="shared" ref="BO17:BO23" si="1">SUM(BF17:BN17)</f>
        <v>7</v>
      </c>
    </row>
    <row r="18" customHeight="1" spans="1:67">
      <c r="A18" s="14"/>
      <c r="B18" s="15"/>
      <c r="C18" s="16">
        <v>30</v>
      </c>
      <c r="D18" s="17"/>
      <c r="E18" s="17"/>
      <c r="F18" s="17"/>
      <c r="G18" s="17"/>
      <c r="H18" s="17"/>
      <c r="I18" s="17">
        <v>1</v>
      </c>
      <c r="J18" s="17">
        <v>1</v>
      </c>
      <c r="K18" s="17"/>
      <c r="L18" s="17"/>
      <c r="M18" s="17"/>
      <c r="N18" s="17"/>
      <c r="O18" s="17"/>
      <c r="P18" s="17"/>
      <c r="Q18" s="17"/>
      <c r="R18" s="17">
        <v>1</v>
      </c>
      <c r="S18" s="17"/>
      <c r="T18" s="17"/>
      <c r="U18" s="17"/>
      <c r="V18" s="17"/>
      <c r="W18" s="17">
        <v>1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>
        <v>1</v>
      </c>
      <c r="AH18" s="17"/>
      <c r="AI18" s="17"/>
      <c r="AJ18" s="18"/>
      <c r="AK18" s="17"/>
      <c r="AL18" s="17"/>
      <c r="AM18" s="17"/>
      <c r="AN18" s="18"/>
      <c r="AO18" s="17">
        <v>1</v>
      </c>
      <c r="AP18" s="17"/>
      <c r="AQ18" s="17">
        <v>2</v>
      </c>
      <c r="AR18" s="17"/>
      <c r="AS18" s="17">
        <v>2</v>
      </c>
      <c r="AT18" s="17"/>
      <c r="AU18" s="17">
        <v>1</v>
      </c>
      <c r="AV18" s="17"/>
      <c r="AW18" s="17">
        <v>1</v>
      </c>
      <c r="AX18" s="17"/>
      <c r="AY18" s="17">
        <v>1</v>
      </c>
      <c r="AZ18" s="17"/>
      <c r="BA18" s="17"/>
      <c r="BB18" s="17"/>
      <c r="BC18" s="19" cm="1">
        <f t="array" ref="BC18">SUMPRODUCT(--(D18:BB18=INT(D18:BB18)),--(D18:BB18&gt;0))</f>
        <v>11</v>
      </c>
      <c r="BD18" s="19">
        <f t="shared" si="0"/>
        <v>13</v>
      </c>
      <c r="BE18" s="13" t="s">
        <v>350</v>
      </c>
      <c r="BF18" s="21" cm="1">
        <f t="array" ref="BF18">SUMPRODUCT(LEN(BF26:BF113)-LEN(SUBSTITUTE(BF26:BF113,"政","")))</f>
        <v>0</v>
      </c>
      <c r="BG18" s="21" cm="1">
        <f t="array" ref="BG18">SUMPRODUCT(LEN(BG26:BG113)-LEN(SUBSTITUTE(BG26:BG113,"政","")))</f>
        <v>0</v>
      </c>
      <c r="BH18" s="21" cm="1">
        <f t="array" ref="BH18">SUMPRODUCT(LEN(BH26:BH113)-LEN(SUBSTITUTE(BH26:BH113,"政","")))</f>
        <v>8</v>
      </c>
      <c r="BI18" s="21" cm="1">
        <f t="array" ref="BI18">SUMPRODUCT(LEN(BI26:BI113)-LEN(SUBSTITUTE(BI26:BI113,"政","")))</f>
        <v>5</v>
      </c>
      <c r="BJ18" s="21" cm="1">
        <f t="array" ref="BJ18">SUMPRODUCT(LEN(BJ26:BJ113)-LEN(SUBSTITUTE(BJ26:BJ113,"政","")))</f>
        <v>0</v>
      </c>
      <c r="BK18" s="21" cm="1">
        <f t="array" ref="BK18">SUMPRODUCT(LEN(BK26:BK113)-LEN(SUBSTITUTE(BK26:BK113,"政","")))</f>
        <v>0</v>
      </c>
      <c r="BL18" s="21" cm="1">
        <f t="array" ref="BL18">SUMPRODUCT(LEN(BL26:BL113)-LEN(SUBSTITUTE(BL26:BL113,"政","")))</f>
        <v>0</v>
      </c>
      <c r="BM18" s="21" cm="1">
        <f t="array" ref="BM18">SUMPRODUCT(LEN(BM26:BM113)-LEN(SUBSTITUTE(BM26:BM113,"政","")))</f>
        <v>0</v>
      </c>
      <c r="BN18" s="21" cm="1">
        <f t="array" ref="BN18">SUMPRODUCT(LEN(BN26:BN113)-LEN(SUBSTITUTE(BN26:BN113,"政","")))</f>
        <v>0</v>
      </c>
      <c r="BO18" s="21">
        <f t="shared" si="1"/>
        <v>13</v>
      </c>
    </row>
    <row r="19" customHeight="1" spans="1:67">
      <c r="A19" s="14"/>
      <c r="B19" s="15"/>
      <c r="C19" s="16">
        <v>31</v>
      </c>
      <c r="D19" s="17"/>
      <c r="E19" s="17">
        <v>2</v>
      </c>
      <c r="F19" s="17"/>
      <c r="G19" s="17"/>
      <c r="H19" s="17"/>
      <c r="I19" s="17">
        <v>1</v>
      </c>
      <c r="J19" s="17">
        <v>1</v>
      </c>
      <c r="K19" s="17"/>
      <c r="L19" s="17"/>
      <c r="M19" s="17"/>
      <c r="N19" s="17"/>
      <c r="O19" s="17"/>
      <c r="P19" s="17"/>
      <c r="Q19" s="17"/>
      <c r="R19" s="17"/>
      <c r="S19" s="17"/>
      <c r="T19" s="17">
        <v>1</v>
      </c>
      <c r="U19" s="17"/>
      <c r="V19" s="17"/>
      <c r="W19" s="17">
        <v>3</v>
      </c>
      <c r="X19" s="17"/>
      <c r="Y19" s="17"/>
      <c r="Z19" s="17"/>
      <c r="AA19" s="17"/>
      <c r="AB19" s="17"/>
      <c r="AC19" s="17">
        <v>1</v>
      </c>
      <c r="AD19" s="17"/>
      <c r="AE19" s="17">
        <v>2</v>
      </c>
      <c r="AF19" s="17">
        <v>1</v>
      </c>
      <c r="AG19" s="17">
        <v>1</v>
      </c>
      <c r="AH19" s="17"/>
      <c r="AI19" s="17"/>
      <c r="AJ19" s="18"/>
      <c r="AK19" s="17"/>
      <c r="AL19" s="17"/>
      <c r="AM19" s="17"/>
      <c r="AN19" s="18"/>
      <c r="AO19" s="17">
        <v>1</v>
      </c>
      <c r="AP19" s="17"/>
      <c r="AQ19" s="17"/>
      <c r="AR19" s="17"/>
      <c r="AS19" s="17"/>
      <c r="AT19" s="17"/>
      <c r="AU19" s="17">
        <v>1</v>
      </c>
      <c r="AV19" s="17"/>
      <c r="AW19" s="17"/>
      <c r="AX19" s="17"/>
      <c r="AY19" s="17"/>
      <c r="AZ19" s="17"/>
      <c r="BA19" s="17"/>
      <c r="BB19" s="17"/>
      <c r="BC19" s="19" cm="1">
        <f t="array" ref="BC19">SUMPRODUCT(--(D19:BB19=INT(D19:BB19)),--(D19:BB19&gt;0))</f>
        <v>11</v>
      </c>
      <c r="BD19" s="19">
        <f t="shared" si="0"/>
        <v>15</v>
      </c>
      <c r="BE19" s="13" t="s">
        <v>352</v>
      </c>
      <c r="BF19" s="21" cm="1">
        <f t="array" ref="BF19">SUMPRODUCT(LEN(BF27:BF114)-LEN(SUBSTITUTE(BF27:BF114,"史","")))</f>
        <v>0</v>
      </c>
      <c r="BG19" s="21" cm="1">
        <f t="array" ref="BG19">SUMPRODUCT(LEN(BG27:BG114)-LEN(SUBSTITUTE(BG27:BG114,"史","")))</f>
        <v>0</v>
      </c>
      <c r="BH19" s="21" cm="1">
        <f t="array" ref="BH19">SUMPRODUCT(LEN(BH27:BH114)-LEN(SUBSTITUTE(BH27:BH114,"史","")))</f>
        <v>0</v>
      </c>
      <c r="BI19" s="21" cm="1">
        <f t="array" ref="BI19">SUMPRODUCT(LEN(BI27:BI114)-LEN(SUBSTITUTE(BI27:BI114,"史","")))</f>
        <v>1</v>
      </c>
      <c r="BJ19" s="21" cm="1">
        <f t="array" ref="BJ19">SUMPRODUCT(LEN(BJ27:BJ114)-LEN(SUBSTITUTE(BJ27:BJ114,"史","")))</f>
        <v>0</v>
      </c>
      <c r="BK19" s="21" cm="1">
        <f t="array" ref="BK19">SUMPRODUCT(LEN(BK27:BK114)-LEN(SUBSTITUTE(BK27:BK114,"史","")))</f>
        <v>0</v>
      </c>
      <c r="BL19" s="21" cm="1">
        <f t="array" ref="BL19">SUMPRODUCT(LEN(BL27:BL114)-LEN(SUBSTITUTE(BL27:BL114,"史","")))</f>
        <v>0</v>
      </c>
      <c r="BM19" s="21" cm="1">
        <f t="array" ref="BM19">SUMPRODUCT(LEN(BM27:BM114)-LEN(SUBSTITUTE(BM27:BM114,"史","")))</f>
        <v>0</v>
      </c>
      <c r="BN19" s="21" cm="1">
        <f t="array" ref="BN19">SUMPRODUCT(LEN(BN27:BN114)-LEN(SUBSTITUTE(BN27:BN114,"史","")))</f>
        <v>0</v>
      </c>
      <c r="BO19" s="21">
        <f t="shared" si="1"/>
        <v>1</v>
      </c>
    </row>
    <row r="20" customHeight="1" spans="1:67">
      <c r="A20" s="22">
        <v>26</v>
      </c>
      <c r="B20" s="15">
        <v>1</v>
      </c>
      <c r="C20" s="16">
        <v>4</v>
      </c>
      <c r="D20" s="17"/>
      <c r="E20" s="17">
        <v>1</v>
      </c>
      <c r="F20" s="17">
        <v>1</v>
      </c>
      <c r="G20" s="17"/>
      <c r="H20" s="17"/>
      <c r="I20" s="17">
        <v>1</v>
      </c>
      <c r="J20" s="17">
        <v>1</v>
      </c>
      <c r="K20" s="17"/>
      <c r="L20" s="17"/>
      <c r="M20" s="17"/>
      <c r="N20" s="17">
        <v>1</v>
      </c>
      <c r="O20" s="17"/>
      <c r="P20" s="17">
        <v>2</v>
      </c>
      <c r="Q20" s="17">
        <v>1</v>
      </c>
      <c r="R20" s="17"/>
      <c r="S20" s="17"/>
      <c r="T20" s="17">
        <v>1</v>
      </c>
      <c r="U20" s="17"/>
      <c r="V20" s="17"/>
      <c r="W20" s="17">
        <v>1</v>
      </c>
      <c r="X20" s="17"/>
      <c r="Y20" s="17">
        <v>1</v>
      </c>
      <c r="Z20" s="17"/>
      <c r="AA20" s="17"/>
      <c r="AB20" s="17"/>
      <c r="AC20" s="17">
        <v>1</v>
      </c>
      <c r="AD20" s="17"/>
      <c r="AE20" s="17">
        <v>1</v>
      </c>
      <c r="AF20" s="17">
        <v>1</v>
      </c>
      <c r="AG20" s="17">
        <v>1</v>
      </c>
      <c r="AH20" s="17">
        <v>1</v>
      </c>
      <c r="AI20" s="17"/>
      <c r="AJ20" s="18"/>
      <c r="AK20" s="17"/>
      <c r="AL20" s="17">
        <v>1</v>
      </c>
      <c r="AM20" s="17"/>
      <c r="AN20" s="18"/>
      <c r="AO20" s="17">
        <v>1</v>
      </c>
      <c r="AP20" s="17">
        <v>2</v>
      </c>
      <c r="AQ20" s="17">
        <v>2</v>
      </c>
      <c r="AR20" s="17"/>
      <c r="AS20" s="17">
        <v>1</v>
      </c>
      <c r="AT20" s="17"/>
      <c r="AU20" s="17">
        <v>3</v>
      </c>
      <c r="AV20" s="17"/>
      <c r="AW20" s="17">
        <v>1</v>
      </c>
      <c r="AX20" s="17"/>
      <c r="AY20" s="17">
        <v>1</v>
      </c>
      <c r="AZ20" s="17"/>
      <c r="BA20" s="17"/>
      <c r="BB20" s="17"/>
      <c r="BC20" s="19" cm="1">
        <f t="array" ref="BC20">SUMPRODUCT(--(D20:BB20=INT(D20:BB20)),--(D20:BB20&gt;0))</f>
        <v>23</v>
      </c>
      <c r="BD20" s="19">
        <f t="shared" si="0"/>
        <v>28</v>
      </c>
      <c r="BE20" s="13" t="s">
        <v>354</v>
      </c>
      <c r="BF20" s="21" cm="1">
        <f t="array" ref="BF20">SUMPRODUCT(LEN(BF28:BF115)-LEN(SUBSTITUTE(BF28:BF115,"地","")))</f>
        <v>0</v>
      </c>
      <c r="BG20" s="21" cm="1">
        <f t="array" ref="BG20">SUMPRODUCT(LEN(BG28:BG115)-LEN(SUBSTITUTE(BG28:BG115,"地","")))</f>
        <v>0</v>
      </c>
      <c r="BH20" s="21" cm="1">
        <f t="array" ref="BH20">SUMPRODUCT(LEN(BH28:BH115)-LEN(SUBSTITUTE(BH28:BH115,"地","")))</f>
        <v>0</v>
      </c>
      <c r="BI20" s="21" cm="1">
        <f t="array" ref="BI20">SUMPRODUCT(LEN(BI28:BI115)-LEN(SUBSTITUTE(BI28:BI115,"地","")))</f>
        <v>0</v>
      </c>
      <c r="BJ20" s="21" cm="1">
        <f t="array" ref="BJ20">SUMPRODUCT(LEN(BJ28:BJ115)-LEN(SUBSTITUTE(BJ28:BJ115,"地","")))</f>
        <v>0</v>
      </c>
      <c r="BK20" s="21" cm="1">
        <f t="array" ref="BK20">SUMPRODUCT(LEN(BK28:BK115)-LEN(SUBSTITUTE(BK28:BK115,"地","")))</f>
        <v>1</v>
      </c>
      <c r="BL20" s="21" cm="1">
        <f t="array" ref="BL20">SUMPRODUCT(LEN(BL28:BL115)-LEN(SUBSTITUTE(BL28:BL115,"地","")))</f>
        <v>2</v>
      </c>
      <c r="BM20" s="21" cm="1">
        <f t="array" ref="BM20">SUMPRODUCT(LEN(BM28:BM115)-LEN(SUBSTITUTE(BM28:BM115,"地","")))</f>
        <v>0</v>
      </c>
      <c r="BN20" s="21" cm="1">
        <f t="array" ref="BN20">SUMPRODUCT(LEN(BN28:BN115)-LEN(SUBSTITUTE(BN28:BN115,"地","")))</f>
        <v>0</v>
      </c>
      <c r="BO20" s="21">
        <f t="shared" si="1"/>
        <v>3</v>
      </c>
    </row>
    <row r="21" customHeight="1" spans="1:67">
      <c r="A21" s="23"/>
      <c r="B21" s="15"/>
      <c r="C21" s="16">
        <v>5</v>
      </c>
      <c r="D21" s="17"/>
      <c r="E21" s="17"/>
      <c r="F21" s="17"/>
      <c r="G21" s="17"/>
      <c r="H21" s="17"/>
      <c r="I21" s="17"/>
      <c r="J21" s="17"/>
      <c r="K21" s="17"/>
      <c r="L21" s="17">
        <v>1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>
        <v>1</v>
      </c>
      <c r="AF21" s="17"/>
      <c r="AG21" s="17"/>
      <c r="AH21" s="17"/>
      <c r="AI21" s="17"/>
      <c r="AJ21" s="18"/>
      <c r="AK21" s="17"/>
      <c r="AL21" s="17"/>
      <c r="AM21" s="17"/>
      <c r="AN21" s="18"/>
      <c r="AO21" s="17">
        <v>2</v>
      </c>
      <c r="AP21" s="17"/>
      <c r="AQ21" s="17"/>
      <c r="AR21" s="17"/>
      <c r="AS21" s="17"/>
      <c r="AT21" s="17"/>
      <c r="AU21" s="17">
        <v>1</v>
      </c>
      <c r="AV21" s="17"/>
      <c r="AW21" s="17"/>
      <c r="AX21" s="17"/>
      <c r="AY21" s="17"/>
      <c r="AZ21" s="17"/>
      <c r="BA21" s="17"/>
      <c r="BB21" s="17"/>
      <c r="BC21" s="19" cm="1">
        <f t="array" ref="BC21">SUMPRODUCT(--(D21:BB21=INT(D21:BB21)),--(D21:BB21&gt;0))</f>
        <v>4</v>
      </c>
      <c r="BD21" s="19">
        <f t="shared" si="0"/>
        <v>5</v>
      </c>
      <c r="BE21" s="13" t="s">
        <v>357</v>
      </c>
      <c r="BF21" s="21" cm="1">
        <f t="array" ref="BF21">SUMPRODUCT(LEN(BF29:BF116)-LEN(SUBSTITUTE(BF29:BF116,"生","")))</f>
        <v>0</v>
      </c>
      <c r="BG21" s="21" cm="1">
        <f t="array" ref="BG21">SUMPRODUCT(LEN(BG29:BG116)-LEN(SUBSTITUTE(BG29:BG116,"生","")))</f>
        <v>0</v>
      </c>
      <c r="BH21" s="21" cm="1">
        <f t="array" ref="BH21">SUMPRODUCT(LEN(BH29:BH116)-LEN(SUBSTITUTE(BH29:BH116,"生","")))</f>
        <v>1</v>
      </c>
      <c r="BI21" s="21" cm="1">
        <f t="array" ref="BI21">SUMPRODUCT(LEN(BI29:BI116)-LEN(SUBSTITUTE(BI29:BI116,"生","")))</f>
        <v>2</v>
      </c>
      <c r="BJ21" s="21" cm="1">
        <f t="array" ref="BJ21">SUMPRODUCT(LEN(BJ29:BJ116)-LEN(SUBSTITUTE(BJ29:BJ116,"生","")))</f>
        <v>0</v>
      </c>
      <c r="BK21" s="21" cm="1">
        <f t="array" ref="BK21">SUMPRODUCT(LEN(BK29:BK116)-LEN(SUBSTITUTE(BK29:BK116,"生","")))</f>
        <v>0</v>
      </c>
      <c r="BL21" s="21" cm="1">
        <f t="array" ref="BL21">SUMPRODUCT(LEN(BL29:BL116)-LEN(SUBSTITUTE(BL29:BL116,"生","")))</f>
        <v>1</v>
      </c>
      <c r="BM21" s="21" cm="1">
        <f t="array" ref="BM21">SUMPRODUCT(LEN(BM29:BM116)-LEN(SUBSTITUTE(BM29:BM116,"生","")))</f>
        <v>1</v>
      </c>
      <c r="BN21" s="21" cm="1">
        <f t="array" ref="BN21">SUMPRODUCT(LEN(BN29:BN116)-LEN(SUBSTITUTE(BN29:BN116,"生","")))</f>
        <v>0</v>
      </c>
      <c r="BO21" s="21">
        <f t="shared" si="1"/>
        <v>5</v>
      </c>
    </row>
    <row r="22" customHeight="1" spans="1:67">
      <c r="A22" s="23"/>
      <c r="B22" s="15"/>
      <c r="C22" s="16">
        <v>6</v>
      </c>
      <c r="D22" s="17"/>
      <c r="E22" s="17"/>
      <c r="F22" s="17"/>
      <c r="G22" s="17"/>
      <c r="H22" s="17"/>
      <c r="I22" s="17">
        <v>1</v>
      </c>
      <c r="J22" s="17"/>
      <c r="K22" s="17"/>
      <c r="L22" s="17"/>
      <c r="M22" s="17"/>
      <c r="N22" s="17"/>
      <c r="O22" s="17"/>
      <c r="P22" s="17"/>
      <c r="Q22" s="17"/>
      <c r="R22" s="17">
        <v>1</v>
      </c>
      <c r="S22" s="17"/>
      <c r="T22" s="17">
        <v>1</v>
      </c>
      <c r="U22" s="17"/>
      <c r="V22" s="17"/>
      <c r="W22" s="17">
        <v>1</v>
      </c>
      <c r="X22" s="17"/>
      <c r="Y22" s="17">
        <v>1</v>
      </c>
      <c r="Z22" s="17"/>
      <c r="AA22" s="17"/>
      <c r="AB22" s="17"/>
      <c r="AC22" s="17">
        <v>1</v>
      </c>
      <c r="AD22" s="17">
        <v>1</v>
      </c>
      <c r="AE22" s="17">
        <v>1</v>
      </c>
      <c r="AF22" s="17"/>
      <c r="AG22" s="17"/>
      <c r="AH22" s="17"/>
      <c r="AI22" s="17"/>
      <c r="AJ22" s="18"/>
      <c r="AK22" s="17"/>
      <c r="AL22" s="17">
        <v>2</v>
      </c>
      <c r="AM22" s="17"/>
      <c r="AN22" s="18"/>
      <c r="AO22" s="17">
        <v>1</v>
      </c>
      <c r="AP22" s="17"/>
      <c r="AQ22" s="17">
        <v>1</v>
      </c>
      <c r="AR22" s="17"/>
      <c r="AS22" s="17"/>
      <c r="AT22" s="17"/>
      <c r="AU22" s="17">
        <v>1</v>
      </c>
      <c r="AV22" s="17"/>
      <c r="AW22" s="17"/>
      <c r="AX22" s="17"/>
      <c r="AY22" s="17"/>
      <c r="AZ22" s="17"/>
      <c r="BA22" s="17"/>
      <c r="BB22" s="17"/>
      <c r="BC22" s="19" cm="1">
        <f t="array" ref="BC22">SUMPRODUCT(--(D22:BB22=INT(D22:BB22)),--(D22:BB22&gt;0))</f>
        <v>12</v>
      </c>
      <c r="BD22" s="19">
        <f t="shared" si="0"/>
        <v>13</v>
      </c>
      <c r="BE22" s="13" t="s">
        <v>360</v>
      </c>
      <c r="BF22" s="21" cm="1">
        <f t="array" ref="BF22">SUMPRODUCT(LEN(BF30:BF117)-LEN(SUBSTITUTE(BF30:BF117,"物","")))</f>
        <v>0</v>
      </c>
      <c r="BG22" s="21" cm="1">
        <f t="array" ref="BG22">SUMPRODUCT(LEN(BG30:BG117)-LEN(SUBSTITUTE(BG30:BG117,"物","")))</f>
        <v>0</v>
      </c>
      <c r="BH22" s="21" cm="1">
        <f t="array" ref="BH22">SUMPRODUCT(LEN(BH30:BH117)-LEN(SUBSTITUTE(BH30:BH117,"物","")))</f>
        <v>0</v>
      </c>
      <c r="BI22" s="21" cm="1">
        <f t="array" ref="BI22">SUMPRODUCT(LEN(BI30:BI117)-LEN(SUBSTITUTE(BI30:BI117,"物","")))</f>
        <v>0</v>
      </c>
      <c r="BJ22" s="21" cm="1">
        <f t="array" ref="BJ22">SUMPRODUCT(LEN(BJ30:BJ117)-LEN(SUBSTITUTE(BJ30:BJ117,"物","")))</f>
        <v>1</v>
      </c>
      <c r="BK22" s="21" cm="1">
        <f t="array" ref="BK22">SUMPRODUCT(LEN(BK30:BK117)-LEN(SUBSTITUTE(BK30:BK117,"物","")))</f>
        <v>1</v>
      </c>
      <c r="BL22" s="21" cm="1">
        <f t="array" ref="BL22">SUMPRODUCT(LEN(BL30:BL117)-LEN(SUBSTITUTE(BL30:BL117,"物","")))</f>
        <v>0</v>
      </c>
      <c r="BM22" s="21" cm="1">
        <f t="array" ref="BM22">SUMPRODUCT(LEN(BM30:BM117)-LEN(SUBSTITUTE(BM30:BM117,"物","")))</f>
        <v>0</v>
      </c>
      <c r="BN22" s="21" cm="1">
        <f t="array" ref="BN22">SUMPRODUCT(LEN(BN30:BN117)-LEN(SUBSTITUTE(BN30:BN117,"物","")))</f>
        <v>0</v>
      </c>
      <c r="BO22" s="21">
        <f t="shared" si="1"/>
        <v>2</v>
      </c>
    </row>
    <row r="23" customHeight="1" spans="1:67">
      <c r="A23" s="23"/>
      <c r="B23" s="15"/>
      <c r="C23" s="16">
        <v>7</v>
      </c>
      <c r="D23" s="17"/>
      <c r="E23" s="17"/>
      <c r="F23" s="17"/>
      <c r="G23" s="17"/>
      <c r="H23" s="17"/>
      <c r="I23" s="17">
        <v>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8"/>
      <c r="AK23" s="17"/>
      <c r="AL23" s="17"/>
      <c r="AM23" s="17"/>
      <c r="AN23" s="18"/>
      <c r="AO23" s="17">
        <v>1</v>
      </c>
      <c r="AP23" s="17">
        <v>1</v>
      </c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9" cm="1">
        <f t="array" ref="BC23">SUMPRODUCT(--(D23:BB23=INT(D23:BB23)),--(D23:BB23&gt;0))</f>
        <v>3</v>
      </c>
      <c r="BD23" s="19">
        <f t="shared" si="0"/>
        <v>3</v>
      </c>
      <c r="BE23" s="13" t="s">
        <v>363</v>
      </c>
      <c r="BF23" s="21" cm="1">
        <f t="array" ref="BF23">SUMPRODUCT(LEN(BF31:BF118)-LEN(SUBSTITUTE(BF31:BF118,"化","")))</f>
        <v>0</v>
      </c>
      <c r="BG23" s="21" cm="1">
        <f t="array" ref="BG23">SUMPRODUCT(LEN(BG31:BG118)-LEN(SUBSTITUTE(BG31:BG118,"化","")))</f>
        <v>0</v>
      </c>
      <c r="BH23" s="21" cm="1">
        <f t="array" ref="BH23">SUMPRODUCT(LEN(BH31:BH118)-LEN(SUBSTITUTE(BH31:BH118,"化","")))</f>
        <v>0</v>
      </c>
      <c r="BI23" s="21" cm="1">
        <f t="array" ref="BI23">SUMPRODUCT(LEN(BI31:BI118)-LEN(SUBSTITUTE(BI31:BI118,"化","")))</f>
        <v>0</v>
      </c>
      <c r="BJ23" s="21" cm="1">
        <f t="array" ref="BJ23">SUMPRODUCT(LEN(BJ31:BJ118)-LEN(SUBSTITUTE(BJ31:BJ118,"化","")))</f>
        <v>0</v>
      </c>
      <c r="BK23" s="21" cm="1">
        <f t="array" ref="BK23">SUMPRODUCT(LEN(BK31:BK118)-LEN(SUBSTITUTE(BK31:BK118,"化","")))</f>
        <v>0</v>
      </c>
      <c r="BL23" s="21" cm="1">
        <f t="array" ref="BL23">SUMPRODUCT(LEN(BL31:BL118)-LEN(SUBSTITUTE(BL31:BL118,"化","")))</f>
        <v>0</v>
      </c>
      <c r="BM23" s="21" cm="1">
        <f t="array" ref="BM23">SUMPRODUCT(LEN(BM31:BM118)-LEN(SUBSTITUTE(BM31:BM118,"化","")))</f>
        <v>0</v>
      </c>
      <c r="BN23" s="21" cm="1">
        <f t="array" ref="BN23">SUMPRODUCT(LEN(BN31:BN118)-LEN(SUBSTITUTE(BN31:BN118,"化","")))</f>
        <v>0</v>
      </c>
      <c r="BO23" s="21">
        <f t="shared" si="1"/>
        <v>0</v>
      </c>
    </row>
    <row r="24" customHeight="1" spans="1:67">
      <c r="A24" s="23"/>
      <c r="B24" s="15"/>
      <c r="C24" s="16">
        <v>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8"/>
      <c r="AK24" s="17"/>
      <c r="AL24" s="17"/>
      <c r="AM24" s="17"/>
      <c r="AN24" s="18"/>
      <c r="AO24" s="17">
        <v>1</v>
      </c>
      <c r="AP24" s="17"/>
      <c r="AQ24" s="17"/>
      <c r="AR24" s="17"/>
      <c r="AS24" s="17">
        <v>1</v>
      </c>
      <c r="AT24" s="17"/>
      <c r="AU24" s="17"/>
      <c r="AV24" s="17"/>
      <c r="AW24" s="17"/>
      <c r="AX24" s="17"/>
      <c r="AY24" s="17"/>
      <c r="AZ24" s="17"/>
      <c r="BA24" s="17"/>
      <c r="BB24" s="17"/>
      <c r="BC24" s="19" cm="1">
        <f t="array" ref="BC24">SUMPRODUCT(--(D24:BB24=INT(D24:BB24)),--(D24:BB24&gt;0))</f>
        <v>2</v>
      </c>
      <c r="BD24" s="19">
        <f t="shared" si="0"/>
        <v>2</v>
      </c>
      <c r="BF24" s="24"/>
      <c r="BG24" s="24"/>
      <c r="BH24" s="24"/>
      <c r="BI24" s="24"/>
      <c r="BJ24" s="24"/>
      <c r="BK24" s="24"/>
      <c r="BL24" s="24"/>
      <c r="BM24" s="24" t="s">
        <v>672</v>
      </c>
      <c r="BN24" s="25"/>
      <c r="BO24" s="21">
        <f t="shared" ref="BO17:BO48" si="2">COUNTA(BF24:BN24)</f>
        <v>1</v>
      </c>
    </row>
    <row r="25" customHeight="1" spans="1:67">
      <c r="A25" s="23"/>
      <c r="B25" s="15"/>
      <c r="C25" s="16">
        <v>11</v>
      </c>
      <c r="D25" s="17">
        <v>1</v>
      </c>
      <c r="E25" s="17">
        <v>1</v>
      </c>
      <c r="F25" s="17"/>
      <c r="G25" s="17"/>
      <c r="H25" s="17"/>
      <c r="I25" s="17"/>
      <c r="J25" s="17">
        <v>1</v>
      </c>
      <c r="K25" s="17">
        <v>1</v>
      </c>
      <c r="L25" s="17"/>
      <c r="M25" s="17">
        <v>1</v>
      </c>
      <c r="N25" s="17">
        <v>1</v>
      </c>
      <c r="O25" s="17">
        <v>1</v>
      </c>
      <c r="P25" s="17">
        <v>1</v>
      </c>
      <c r="Q25" s="17"/>
      <c r="R25" s="17">
        <v>1</v>
      </c>
      <c r="S25" s="17">
        <v>1</v>
      </c>
      <c r="T25" s="17"/>
      <c r="U25" s="17"/>
      <c r="V25" s="17"/>
      <c r="W25" s="17">
        <v>1</v>
      </c>
      <c r="X25" s="17"/>
      <c r="Y25" s="17">
        <v>1</v>
      </c>
      <c r="Z25" s="17">
        <v>1</v>
      </c>
      <c r="AA25" s="17"/>
      <c r="AB25" s="17"/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17"/>
      <c r="AJ25" s="18"/>
      <c r="AK25" s="17">
        <v>1</v>
      </c>
      <c r="AL25" s="17"/>
      <c r="AM25" s="17">
        <v>1</v>
      </c>
      <c r="AN25" s="18"/>
      <c r="AO25" s="17">
        <v>1</v>
      </c>
      <c r="AP25" s="17">
        <v>2</v>
      </c>
      <c r="AQ25" s="17">
        <v>1</v>
      </c>
      <c r="AR25" s="17"/>
      <c r="AS25" s="17">
        <v>2</v>
      </c>
      <c r="AT25" s="17"/>
      <c r="AU25" s="17">
        <v>2</v>
      </c>
      <c r="AV25" s="17"/>
      <c r="AW25" s="17">
        <v>1</v>
      </c>
      <c r="AX25" s="17">
        <v>1</v>
      </c>
      <c r="AY25" s="17"/>
      <c r="AZ25" s="17"/>
      <c r="BA25" s="17"/>
      <c r="BB25" s="17"/>
      <c r="BC25" s="19" cm="1">
        <f t="array" ref="BC25">SUMPRODUCT(--(D25:BB25=INT(D25:BB25)),--(D25:BB25&gt;0))</f>
        <v>28</v>
      </c>
      <c r="BD25" s="19">
        <f t="shared" si="0"/>
        <v>31</v>
      </c>
      <c r="BF25" s="21"/>
      <c r="BG25" s="21"/>
      <c r="BH25" s="21"/>
      <c r="BI25" s="21"/>
      <c r="BJ25" s="21"/>
      <c r="BK25" s="21"/>
      <c r="BL25" s="21"/>
      <c r="BM25" s="21"/>
      <c r="BN25" s="26"/>
      <c r="BO25" s="21">
        <f t="shared" si="2"/>
        <v>0</v>
      </c>
    </row>
    <row r="26" customHeight="1" spans="1:67">
      <c r="A26" s="23"/>
      <c r="B26" s="15"/>
      <c r="C26" s="16">
        <v>12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>
        <v>1</v>
      </c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8"/>
      <c r="AK26" s="17"/>
      <c r="AL26" s="17"/>
      <c r="AM26" s="17"/>
      <c r="AN26" s="18"/>
      <c r="AO26" s="17">
        <v>1</v>
      </c>
      <c r="AP26" s="17"/>
      <c r="AQ26" s="17"/>
      <c r="AR26" s="17"/>
      <c r="AS26" s="17"/>
      <c r="AT26" s="17"/>
      <c r="AU26" s="17">
        <v>1</v>
      </c>
      <c r="AV26" s="17"/>
      <c r="AW26" s="17"/>
      <c r="AX26" s="17"/>
      <c r="AY26" s="17"/>
      <c r="AZ26" s="17"/>
      <c r="BA26" s="17"/>
      <c r="BB26" s="17"/>
      <c r="BC26" s="19" cm="1">
        <f t="array" ref="BC26">SUMPRODUCT(--(D26:BB26=INT(D26:BB26)),--(D26:BB26&gt;0))</f>
        <v>3</v>
      </c>
      <c r="BD26" s="19">
        <f t="shared" si="0"/>
        <v>3</v>
      </c>
      <c r="BF26" s="21"/>
      <c r="BG26" s="21"/>
      <c r="BH26" s="21"/>
      <c r="BI26" s="21"/>
      <c r="BJ26" s="21"/>
      <c r="BK26" s="21"/>
      <c r="BL26" s="21"/>
      <c r="BM26" s="21"/>
      <c r="BN26" s="26"/>
      <c r="BO26" s="21">
        <f t="shared" si="2"/>
        <v>0</v>
      </c>
    </row>
    <row r="27" customHeight="1" spans="1:67">
      <c r="A27" s="23"/>
      <c r="B27" s="15"/>
      <c r="C27" s="16">
        <v>13</v>
      </c>
      <c r="D27" s="17"/>
      <c r="E27" s="17"/>
      <c r="F27" s="17"/>
      <c r="G27" s="17"/>
      <c r="H27" s="17"/>
      <c r="I27" s="17"/>
      <c r="J27" s="17"/>
      <c r="K27" s="17"/>
      <c r="L27" s="17">
        <v>1</v>
      </c>
      <c r="M27" s="17"/>
      <c r="N27" s="17">
        <v>1</v>
      </c>
      <c r="O27" s="17"/>
      <c r="P27" s="17">
        <v>1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8"/>
      <c r="AK27" s="17"/>
      <c r="AL27" s="17"/>
      <c r="AM27" s="17"/>
      <c r="AN27" s="18"/>
      <c r="AO27" s="17">
        <v>1</v>
      </c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9" cm="1">
        <f t="array" ref="BC27">SUMPRODUCT(--(D27:BB27=INT(D27:BB27)),--(D27:BB27&gt;0))</f>
        <v>4</v>
      </c>
      <c r="BD27" s="19">
        <f t="shared" si="0"/>
        <v>4</v>
      </c>
      <c r="BF27" s="21"/>
      <c r="BG27" s="21"/>
      <c r="BH27" s="21"/>
      <c r="BI27" s="21"/>
      <c r="BJ27" s="21"/>
      <c r="BK27" s="21" t="s">
        <v>673</v>
      </c>
      <c r="BL27" s="21"/>
      <c r="BM27" s="21"/>
      <c r="BN27" s="26"/>
      <c r="BO27" s="21">
        <f t="shared" si="2"/>
        <v>1</v>
      </c>
    </row>
    <row r="28" customHeight="1" spans="1:67">
      <c r="A28" s="23"/>
      <c r="B28" s="15"/>
      <c r="C28" s="16">
        <v>14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8"/>
      <c r="AK28" s="17"/>
      <c r="AL28" s="17"/>
      <c r="AM28" s="17"/>
      <c r="AN28" s="18"/>
      <c r="AO28" s="17">
        <v>1</v>
      </c>
      <c r="AP28" s="17"/>
      <c r="AQ28" s="17"/>
      <c r="AR28" s="17"/>
      <c r="AS28" s="17"/>
      <c r="AT28" s="17"/>
      <c r="AU28" s="17">
        <v>1</v>
      </c>
      <c r="AV28" s="17"/>
      <c r="AW28" s="17"/>
      <c r="AX28" s="17"/>
      <c r="AY28" s="17"/>
      <c r="AZ28" s="17"/>
      <c r="BA28" s="17"/>
      <c r="BB28" s="17"/>
      <c r="BC28" s="19" cm="1">
        <f t="array" ref="BC28">SUMPRODUCT(--(D28:BB28=INT(D28:BB28)),--(D28:BB28&gt;0))</f>
        <v>2</v>
      </c>
      <c r="BD28" s="19">
        <f t="shared" si="0"/>
        <v>2</v>
      </c>
      <c r="BF28" s="21"/>
      <c r="BG28" s="21"/>
      <c r="BH28" s="21"/>
      <c r="BI28" s="21"/>
      <c r="BJ28" s="21"/>
      <c r="BK28" s="21"/>
      <c r="BL28" s="21"/>
      <c r="BM28" s="21"/>
      <c r="BN28" s="26"/>
      <c r="BO28" s="21">
        <f t="shared" si="2"/>
        <v>0</v>
      </c>
    </row>
    <row r="29" customHeight="1" spans="1:67">
      <c r="A29" s="23"/>
      <c r="B29" s="15"/>
      <c r="C29" s="16">
        <v>15</v>
      </c>
      <c r="D29" s="17"/>
      <c r="E29" s="17"/>
      <c r="F29" s="17"/>
      <c r="G29" s="17"/>
      <c r="H29" s="17"/>
      <c r="I29" s="17"/>
      <c r="J29" s="17">
        <v>1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8"/>
      <c r="AK29" s="17"/>
      <c r="AL29" s="17"/>
      <c r="AM29" s="17">
        <v>1</v>
      </c>
      <c r="AN29" s="18"/>
      <c r="AO29" s="17"/>
      <c r="AP29" s="17"/>
      <c r="AQ29" s="17"/>
      <c r="AR29" s="17"/>
      <c r="AS29" s="17"/>
      <c r="AT29" s="17"/>
      <c r="AU29" s="17"/>
      <c r="AV29" s="17"/>
      <c r="AW29" s="17">
        <v>1</v>
      </c>
      <c r="AX29" s="17"/>
      <c r="AY29" s="17"/>
      <c r="AZ29" s="17"/>
      <c r="BA29" s="17"/>
      <c r="BB29" s="17"/>
      <c r="BC29" s="19" cm="1">
        <f t="array" ref="BC29">SUMPRODUCT(--(D29:BB29=INT(D29:BB29)),--(D29:BB29&gt;0))</f>
        <v>3</v>
      </c>
      <c r="BD29" s="19">
        <f t="shared" si="0"/>
        <v>3</v>
      </c>
      <c r="BF29" s="21"/>
      <c r="BG29" s="21"/>
      <c r="BH29" s="21"/>
      <c r="BI29" s="21"/>
      <c r="BJ29" s="21"/>
      <c r="BK29" s="21"/>
      <c r="BL29" s="21"/>
      <c r="BM29" s="21"/>
      <c r="BN29" s="26"/>
      <c r="BO29" s="21">
        <f t="shared" si="2"/>
        <v>0</v>
      </c>
    </row>
    <row r="30" customHeight="1" spans="1:67">
      <c r="A30" s="23"/>
      <c r="B30" s="15"/>
      <c r="C30" s="16">
        <v>16</v>
      </c>
      <c r="D30" s="17"/>
      <c r="E30" s="17"/>
      <c r="F30" s="17"/>
      <c r="G30" s="17"/>
      <c r="H30" s="17"/>
      <c r="I30" s="17"/>
      <c r="J30" s="17"/>
      <c r="K30" s="17"/>
      <c r="L30" s="17">
        <v>1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8"/>
      <c r="AK30" s="17"/>
      <c r="AL30" s="17"/>
      <c r="AM30" s="17"/>
      <c r="AN30" s="18"/>
      <c r="AO30" s="17"/>
      <c r="AP30" s="17"/>
      <c r="AQ30" s="17"/>
      <c r="AR30" s="17"/>
      <c r="AS30" s="17"/>
      <c r="AT30" s="17"/>
      <c r="AU30" s="17"/>
      <c r="AV30" s="17"/>
      <c r="AW30" s="17">
        <v>1</v>
      </c>
      <c r="AX30" s="17"/>
      <c r="AY30" s="17"/>
      <c r="AZ30" s="17"/>
      <c r="BA30" s="17"/>
      <c r="BB30" s="17"/>
      <c r="BC30" s="19" cm="1">
        <f t="array" ref="BC30">SUMPRODUCT(--(D30:BB30=INT(D30:BB30)),--(D30:BB30&gt;0))</f>
        <v>2</v>
      </c>
      <c r="BD30" s="19">
        <f t="shared" si="0"/>
        <v>2</v>
      </c>
      <c r="BF30" s="21" t="s">
        <v>673</v>
      </c>
      <c r="BG30" s="21"/>
      <c r="BH30" s="21"/>
      <c r="BI30" s="21"/>
      <c r="BJ30" s="21"/>
      <c r="BK30" s="21"/>
      <c r="BL30" s="21"/>
      <c r="BM30" s="21"/>
      <c r="BN30" s="26"/>
      <c r="BO30" s="21">
        <f t="shared" si="2"/>
        <v>1</v>
      </c>
    </row>
    <row r="31" customHeight="1" spans="1:67">
      <c r="A31" s="23"/>
      <c r="B31" s="15"/>
      <c r="C31" s="16">
        <v>19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>
        <v>1</v>
      </c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8"/>
      <c r="AK31" s="17"/>
      <c r="AL31" s="17"/>
      <c r="AM31" s="17"/>
      <c r="AN31" s="18"/>
      <c r="AO31" s="17">
        <v>1</v>
      </c>
      <c r="AP31" s="17"/>
      <c r="AQ31" s="17"/>
      <c r="AR31" s="17"/>
      <c r="AS31" s="17">
        <v>1</v>
      </c>
      <c r="AT31" s="17"/>
      <c r="AU31" s="17">
        <v>1</v>
      </c>
      <c r="AV31" s="17"/>
      <c r="AW31" s="17"/>
      <c r="AX31" s="17"/>
      <c r="AY31" s="17">
        <v>1</v>
      </c>
      <c r="AZ31" s="17"/>
      <c r="BA31" s="17"/>
      <c r="BB31" s="17"/>
      <c r="BC31" s="19" cm="1">
        <f t="array" ref="BC31">SUMPRODUCT(--(D31:BB31=INT(D31:BB31)),--(D31:BB31&gt;0))</f>
        <v>5</v>
      </c>
      <c r="BD31" s="19">
        <f t="shared" si="0"/>
        <v>5</v>
      </c>
      <c r="BF31" s="21"/>
      <c r="BG31" s="21"/>
      <c r="BH31" s="21"/>
      <c r="BI31" s="21"/>
      <c r="BJ31" s="21"/>
      <c r="BK31" s="21"/>
      <c r="BL31" s="21"/>
      <c r="BM31" s="21"/>
      <c r="BN31" s="26"/>
      <c r="BO31" s="21">
        <f t="shared" si="2"/>
        <v>0</v>
      </c>
    </row>
    <row r="32" customHeight="1" spans="1:67">
      <c r="A32" s="23"/>
      <c r="B32" s="15"/>
      <c r="C32" s="16">
        <v>20</v>
      </c>
      <c r="D32" s="17"/>
      <c r="E32" s="17">
        <v>1</v>
      </c>
      <c r="F32" s="17"/>
      <c r="G32" s="17"/>
      <c r="H32" s="17"/>
      <c r="I32" s="17"/>
      <c r="J32" s="17"/>
      <c r="K32" s="17"/>
      <c r="L32" s="17">
        <v>1</v>
      </c>
      <c r="M32" s="17"/>
      <c r="N32" s="17"/>
      <c r="O32" s="17"/>
      <c r="P32" s="17">
        <v>1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8"/>
      <c r="AK32" s="17"/>
      <c r="AL32" s="17"/>
      <c r="AM32" s="17"/>
      <c r="AN32" s="18"/>
      <c r="AO32" s="17">
        <v>1</v>
      </c>
      <c r="AP32" s="17">
        <v>2</v>
      </c>
      <c r="AQ32" s="17">
        <v>2</v>
      </c>
      <c r="AR32" s="17"/>
      <c r="AS32" s="17"/>
      <c r="AT32" s="17"/>
      <c r="AU32" s="17"/>
      <c r="AV32" s="17"/>
      <c r="AW32" s="17">
        <v>1</v>
      </c>
      <c r="AX32" s="17"/>
      <c r="AY32" s="17"/>
      <c r="AZ32" s="17"/>
      <c r="BA32" s="17"/>
      <c r="BB32" s="17"/>
      <c r="BC32" s="19" cm="1">
        <f t="array" ref="BC32">SUMPRODUCT(--(D32:BB32=INT(D32:BB32)),--(D32:BB32&gt;0))</f>
        <v>7</v>
      </c>
      <c r="BD32" s="19">
        <f t="shared" si="0"/>
        <v>9</v>
      </c>
      <c r="BF32" s="21"/>
      <c r="BG32" s="21"/>
      <c r="BH32" s="21"/>
      <c r="BI32" s="21"/>
      <c r="BJ32" s="21"/>
      <c r="BK32" s="21"/>
      <c r="BL32" s="21"/>
      <c r="BM32" s="21"/>
      <c r="BN32" s="26"/>
      <c r="BO32" s="21">
        <f t="shared" si="2"/>
        <v>0</v>
      </c>
    </row>
    <row r="33" customHeight="1" spans="1:67">
      <c r="A33" s="23"/>
      <c r="B33" s="15"/>
      <c r="C33" s="16">
        <v>21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8"/>
      <c r="AK33" s="17"/>
      <c r="AL33" s="17"/>
      <c r="AM33" s="17"/>
      <c r="AN33" s="18"/>
      <c r="AO33" s="17"/>
      <c r="AP33" s="17">
        <v>1</v>
      </c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9" cm="1">
        <f t="array" ref="BC33">SUMPRODUCT(--(D33:BB33=INT(D33:BB33)),--(D33:BB33&gt;0))</f>
        <v>1</v>
      </c>
      <c r="BD33" s="19">
        <f t="shared" si="0"/>
        <v>1</v>
      </c>
      <c r="BF33" s="21"/>
      <c r="BG33" s="21"/>
      <c r="BH33" s="21"/>
      <c r="BI33" s="21"/>
      <c r="BJ33" s="21"/>
      <c r="BK33" s="21"/>
      <c r="BL33" s="21"/>
      <c r="BM33" s="21"/>
      <c r="BN33" s="26"/>
      <c r="BO33" s="21">
        <f t="shared" si="2"/>
        <v>0</v>
      </c>
    </row>
    <row r="34" customHeight="1" spans="1:67">
      <c r="A34" s="23"/>
      <c r="B34" s="15"/>
      <c r="C34" s="16">
        <v>22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8"/>
      <c r="AK34" s="17"/>
      <c r="AL34" s="17"/>
      <c r="AM34" s="17"/>
      <c r="AN34" s="18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9" cm="1">
        <f t="array" ref="BC34">SUMPRODUCT(--(D34:BB34=INT(D34:BB34)),--(D34:BB34&gt;0))</f>
        <v>0</v>
      </c>
      <c r="BD34" s="19">
        <f t="shared" si="0"/>
        <v>0</v>
      </c>
      <c r="BF34" s="21"/>
      <c r="BG34" s="21"/>
      <c r="BH34" s="21"/>
      <c r="BI34" s="21"/>
      <c r="BJ34" s="21"/>
      <c r="BK34" s="21"/>
      <c r="BL34" s="21"/>
      <c r="BM34" s="21"/>
      <c r="BN34" s="26"/>
      <c r="BO34" s="21">
        <f t="shared" si="2"/>
        <v>0</v>
      </c>
    </row>
    <row r="35" customHeight="1" spans="1:67">
      <c r="A35" s="23"/>
      <c r="B35" s="15"/>
      <c r="C35" s="16">
        <v>23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8"/>
      <c r="AK35" s="17"/>
      <c r="AL35" s="17"/>
      <c r="AM35" s="17"/>
      <c r="AN35" s="18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9" cm="1">
        <f t="array" ref="BC35">SUMPRODUCT(--(D35:BB35=INT(D35:BB35)),--(D35:BB35&gt;0))</f>
        <v>0</v>
      </c>
      <c r="BD35" s="19">
        <f t="shared" si="0"/>
        <v>0</v>
      </c>
      <c r="BF35" s="21"/>
      <c r="BG35" s="21"/>
      <c r="BH35" s="21" t="s">
        <v>674</v>
      </c>
      <c r="BI35" s="21"/>
      <c r="BJ35" s="21"/>
      <c r="BK35" s="21" t="s">
        <v>675</v>
      </c>
      <c r="BL35" s="21"/>
      <c r="BM35" s="21"/>
      <c r="BN35" s="26"/>
      <c r="BO35" s="21">
        <f t="shared" si="2"/>
        <v>2</v>
      </c>
    </row>
    <row r="36" customHeight="1" spans="1:67">
      <c r="A36" s="23"/>
      <c r="B36" s="15">
        <v>2</v>
      </c>
      <c r="C36" s="16">
        <v>26</v>
      </c>
      <c r="D36" s="17"/>
      <c r="E36" s="17"/>
      <c r="F36" s="17"/>
      <c r="G36" s="17">
        <v>1</v>
      </c>
      <c r="H36" s="17"/>
      <c r="I36" s="17">
        <v>1</v>
      </c>
      <c r="J36" s="17">
        <v>1</v>
      </c>
      <c r="K36" s="17"/>
      <c r="L36" s="17"/>
      <c r="M36" s="17"/>
      <c r="N36" s="17">
        <v>1</v>
      </c>
      <c r="O36" s="17"/>
      <c r="P36" s="17"/>
      <c r="Q36" s="17"/>
      <c r="R36" s="17">
        <v>1</v>
      </c>
      <c r="S36" s="17"/>
      <c r="T36" s="17"/>
      <c r="U36" s="17"/>
      <c r="V36" s="17"/>
      <c r="W36" s="17">
        <v>2</v>
      </c>
      <c r="X36" s="17"/>
      <c r="Y36" s="17"/>
      <c r="Z36" s="17"/>
      <c r="AA36" s="17"/>
      <c r="AB36" s="17"/>
      <c r="AC36" s="17">
        <v>1</v>
      </c>
      <c r="AD36" s="17">
        <v>1</v>
      </c>
      <c r="AE36" s="17"/>
      <c r="AF36" s="17">
        <v>1</v>
      </c>
      <c r="AG36" s="17">
        <v>1</v>
      </c>
      <c r="AH36" s="17">
        <v>1</v>
      </c>
      <c r="AI36" s="17"/>
      <c r="AJ36" s="18"/>
      <c r="AK36" s="17"/>
      <c r="AL36" s="17"/>
      <c r="AM36" s="17"/>
      <c r="AN36" s="18"/>
      <c r="AO36" s="17">
        <v>2</v>
      </c>
      <c r="AP36" s="17">
        <v>1</v>
      </c>
      <c r="AQ36" s="17">
        <v>1</v>
      </c>
      <c r="AR36" s="17"/>
      <c r="AS36" s="17"/>
      <c r="AT36" s="17"/>
      <c r="AU36" s="17">
        <v>1</v>
      </c>
      <c r="AV36" s="17"/>
      <c r="AW36" s="17"/>
      <c r="AX36" s="17">
        <v>1</v>
      </c>
      <c r="AY36" s="17">
        <v>1</v>
      </c>
      <c r="AZ36" s="17"/>
      <c r="BA36" s="17"/>
      <c r="BB36" s="17">
        <v>1</v>
      </c>
      <c r="BC36" s="19" cm="1">
        <f t="array" ref="BC36">SUMPRODUCT(--(D36:BB36=INT(D36:BB36)),--(D36:BB36&gt;0))</f>
        <v>18</v>
      </c>
      <c r="BD36" s="19">
        <f t="shared" si="0"/>
        <v>20</v>
      </c>
      <c r="BF36" s="21"/>
      <c r="BG36" s="21"/>
      <c r="BH36" s="21"/>
      <c r="BI36" s="21"/>
      <c r="BJ36" s="21"/>
      <c r="BK36" s="21"/>
      <c r="BL36" s="21"/>
      <c r="BM36" s="21"/>
      <c r="BN36" s="26"/>
      <c r="BO36" s="21">
        <f t="shared" si="2"/>
        <v>0</v>
      </c>
    </row>
    <row r="37" customHeight="1" spans="1:67">
      <c r="A37" s="23"/>
      <c r="B37" s="15"/>
      <c r="C37" s="16">
        <v>27</v>
      </c>
      <c r="D37" s="17"/>
      <c r="E37" s="17"/>
      <c r="F37" s="17"/>
      <c r="G37" s="17"/>
      <c r="H37" s="17"/>
      <c r="I37" s="17">
        <v>1</v>
      </c>
      <c r="J37" s="17">
        <v>1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>
        <v>1</v>
      </c>
      <c r="AG37" s="17"/>
      <c r="AH37" s="17"/>
      <c r="AI37" s="17"/>
      <c r="AJ37" s="18"/>
      <c r="AK37" s="17"/>
      <c r="AL37" s="17"/>
      <c r="AM37" s="17"/>
      <c r="AN37" s="18"/>
      <c r="AO37" s="17">
        <v>2</v>
      </c>
      <c r="AP37" s="17"/>
      <c r="AQ37" s="17">
        <v>1</v>
      </c>
      <c r="AR37" s="17"/>
      <c r="AS37" s="17"/>
      <c r="AT37" s="17"/>
      <c r="AU37" s="17"/>
      <c r="AV37" s="17"/>
      <c r="AW37" s="17">
        <v>1</v>
      </c>
      <c r="AX37" s="17"/>
      <c r="AY37" s="17"/>
      <c r="AZ37" s="17"/>
      <c r="BA37" s="17"/>
      <c r="BB37" s="17"/>
      <c r="BC37" s="19" cm="1">
        <f t="array" ref="BC37">SUMPRODUCT(--(D37:BB37=INT(D37:BB37)),--(D37:BB37&gt;0))</f>
        <v>6</v>
      </c>
      <c r="BD37" s="19">
        <f t="shared" si="0"/>
        <v>7</v>
      </c>
      <c r="BF37" s="21"/>
      <c r="BG37" s="21"/>
      <c r="BH37" s="21"/>
      <c r="BI37" s="21"/>
      <c r="BJ37" s="21"/>
      <c r="BK37" s="21"/>
      <c r="BL37" s="21"/>
      <c r="BM37" s="21"/>
      <c r="BN37" s="26"/>
      <c r="BO37" s="21">
        <f t="shared" si="2"/>
        <v>0</v>
      </c>
    </row>
    <row r="38" customHeight="1" spans="1:67">
      <c r="A38" s="23"/>
      <c r="B38" s="15"/>
      <c r="C38" s="16">
        <v>28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8"/>
      <c r="AK38" s="17"/>
      <c r="AL38" s="17">
        <v>1</v>
      </c>
      <c r="AM38" s="17"/>
      <c r="AN38" s="18"/>
      <c r="AO38" s="17"/>
      <c r="AP38" s="17">
        <v>1</v>
      </c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9" cm="1">
        <f t="array" ref="BC38">SUMPRODUCT(--(D38:BB38=INT(D38:BB38)),--(D38:BB38&gt;0))</f>
        <v>2</v>
      </c>
      <c r="BD38" s="19">
        <f t="shared" si="0"/>
        <v>2</v>
      </c>
      <c r="BF38" s="21"/>
      <c r="BG38" s="21"/>
      <c r="BH38" s="21"/>
      <c r="BI38" s="21"/>
      <c r="BJ38" s="21"/>
      <c r="BK38" s="21"/>
      <c r="BL38" s="21"/>
      <c r="BM38" s="21"/>
      <c r="BN38" s="26"/>
      <c r="BO38" s="21">
        <f t="shared" si="2"/>
        <v>0</v>
      </c>
    </row>
    <row r="39" customHeight="1" spans="1:67">
      <c r="A39" s="23"/>
      <c r="B39" s="15">
        <v>3</v>
      </c>
      <c r="C39" s="16">
        <v>2</v>
      </c>
      <c r="D39" s="17"/>
      <c r="E39" s="17"/>
      <c r="F39" s="17"/>
      <c r="G39" s="17"/>
      <c r="H39" s="17"/>
      <c r="I39" s="17">
        <v>1</v>
      </c>
      <c r="J39" s="17"/>
      <c r="K39" s="17"/>
      <c r="L39" s="17"/>
      <c r="M39" s="17"/>
      <c r="N39" s="17"/>
      <c r="O39" s="17"/>
      <c r="P39" s="17">
        <v>1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7"/>
      <c r="AL39" s="17"/>
      <c r="AM39" s="17"/>
      <c r="AN39" s="18"/>
      <c r="AO39" s="17"/>
      <c r="AP39" s="17"/>
      <c r="AQ39" s="17"/>
      <c r="AR39" s="17"/>
      <c r="AS39" s="17"/>
      <c r="AT39" s="17"/>
      <c r="AU39" s="17">
        <v>1</v>
      </c>
      <c r="AV39" s="17"/>
      <c r="AW39" s="17"/>
      <c r="AX39" s="17"/>
      <c r="AY39" s="17"/>
      <c r="AZ39" s="17"/>
      <c r="BA39" s="17"/>
      <c r="BB39" s="17"/>
      <c r="BC39" s="19" cm="1">
        <f t="array" ref="BC39">SUMPRODUCT(--(D39:BB39=INT(D39:BB39)),--(D39:BB39&gt;0))</f>
        <v>3</v>
      </c>
      <c r="BD39" s="19">
        <f t="shared" si="0"/>
        <v>3</v>
      </c>
      <c r="BF39" s="21"/>
      <c r="BG39" s="21"/>
      <c r="BH39" s="21"/>
      <c r="BI39" s="21"/>
      <c r="BJ39" s="21"/>
      <c r="BK39" s="21"/>
      <c r="BL39" s="21"/>
      <c r="BM39" s="21"/>
      <c r="BN39" s="26"/>
      <c r="BO39" s="21">
        <f t="shared" si="2"/>
        <v>0</v>
      </c>
    </row>
    <row r="40" customHeight="1" spans="1:67">
      <c r="A40" s="23"/>
      <c r="B40" s="15"/>
      <c r="C40" s="16">
        <v>3</v>
      </c>
      <c r="D40" s="17"/>
      <c r="E40" s="17">
        <v>1</v>
      </c>
      <c r="F40" s="17"/>
      <c r="G40" s="17"/>
      <c r="H40" s="17"/>
      <c r="I40" s="17">
        <v>1</v>
      </c>
      <c r="J40" s="17"/>
      <c r="K40" s="17"/>
      <c r="L40" s="17"/>
      <c r="M40" s="17"/>
      <c r="N40" s="17">
        <v>1</v>
      </c>
      <c r="O40" s="17"/>
      <c r="P40" s="17">
        <v>2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>
        <v>1</v>
      </c>
      <c r="AG40" s="17"/>
      <c r="AH40" s="17"/>
      <c r="AI40" s="17"/>
      <c r="AJ40" s="18"/>
      <c r="AK40" s="17"/>
      <c r="AL40" s="17"/>
      <c r="AM40" s="17"/>
      <c r="AN40" s="18"/>
      <c r="AO40" s="17">
        <v>1</v>
      </c>
      <c r="AP40" s="17">
        <v>1</v>
      </c>
      <c r="AQ40" s="17"/>
      <c r="AR40" s="17"/>
      <c r="AS40" s="17"/>
      <c r="AT40" s="17"/>
      <c r="AU40" s="17">
        <v>1</v>
      </c>
      <c r="AV40" s="17"/>
      <c r="AW40" s="17">
        <v>2</v>
      </c>
      <c r="AX40" s="17"/>
      <c r="AY40" s="17"/>
      <c r="AZ40" s="17"/>
      <c r="BA40" s="17"/>
      <c r="BB40" s="17"/>
      <c r="BC40" s="19" cm="1">
        <f t="array" ref="BC40">SUMPRODUCT(--(D40:BB40=INT(D40:BB40)),--(D40:BB40&gt;0))</f>
        <v>9</v>
      </c>
      <c r="BD40" s="19">
        <f t="shared" si="0"/>
        <v>11</v>
      </c>
      <c r="BF40" s="21"/>
      <c r="BG40" s="21"/>
      <c r="BH40" s="21"/>
      <c r="BI40" s="21"/>
      <c r="BJ40" s="21"/>
      <c r="BK40" s="21"/>
      <c r="BL40" s="21"/>
      <c r="BM40" s="21"/>
      <c r="BN40" s="26"/>
      <c r="BO40" s="21">
        <f t="shared" si="2"/>
        <v>0</v>
      </c>
    </row>
    <row r="41" customHeight="1" spans="1:67">
      <c r="A41" s="23"/>
      <c r="B41" s="15"/>
      <c r="C41" s="16">
        <v>4</v>
      </c>
      <c r="D41" s="17"/>
      <c r="E41" s="17"/>
      <c r="F41" s="17"/>
      <c r="G41" s="17">
        <v>1</v>
      </c>
      <c r="H41" s="17"/>
      <c r="I41" s="17"/>
      <c r="J41" s="17">
        <v>1</v>
      </c>
      <c r="K41" s="17"/>
      <c r="L41" s="17"/>
      <c r="M41" s="17"/>
      <c r="N41" s="17"/>
      <c r="O41" s="17"/>
      <c r="P41" s="17">
        <v>1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>
        <v>1</v>
      </c>
      <c r="AE41" s="17"/>
      <c r="AF41" s="17"/>
      <c r="AG41" s="17"/>
      <c r="AH41" s="17"/>
      <c r="AI41" s="17"/>
      <c r="AJ41" s="18"/>
      <c r="AK41" s="17"/>
      <c r="AL41" s="17"/>
      <c r="AM41" s="17"/>
      <c r="AN41" s="18"/>
      <c r="AO41" s="17"/>
      <c r="AP41" s="17">
        <v>2</v>
      </c>
      <c r="AQ41" s="17">
        <v>1</v>
      </c>
      <c r="AR41" s="17"/>
      <c r="AS41" s="17">
        <v>1</v>
      </c>
      <c r="AT41" s="17"/>
      <c r="AU41" s="17"/>
      <c r="AV41" s="17"/>
      <c r="AW41" s="17">
        <v>1</v>
      </c>
      <c r="AX41" s="17"/>
      <c r="AY41" s="17"/>
      <c r="AZ41" s="17"/>
      <c r="BA41" s="17"/>
      <c r="BB41" s="17"/>
      <c r="BC41" s="19" cm="1">
        <f t="array" ref="BC41">SUMPRODUCT(--(D41:BB41=INT(D41:BB41)),--(D41:BB41&gt;0))</f>
        <v>8</v>
      </c>
      <c r="BD41" s="19">
        <f t="shared" si="0"/>
        <v>9</v>
      </c>
      <c r="BF41" s="21"/>
      <c r="BG41" s="21"/>
      <c r="BH41" s="21"/>
      <c r="BI41" s="21"/>
      <c r="BJ41" s="21"/>
      <c r="BK41" s="21"/>
      <c r="BL41" s="21"/>
      <c r="BM41" s="21"/>
      <c r="BN41" s="26"/>
      <c r="BO41" s="21">
        <f t="shared" si="2"/>
        <v>0</v>
      </c>
    </row>
    <row r="42" customHeight="1" spans="1:67">
      <c r="A42" s="23"/>
      <c r="B42" s="15"/>
      <c r="C42" s="16">
        <v>5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>
        <v>1</v>
      </c>
      <c r="W42" s="17"/>
      <c r="X42" s="17"/>
      <c r="Y42" s="17"/>
      <c r="Z42" s="17"/>
      <c r="AA42" s="17"/>
      <c r="AB42" s="17"/>
      <c r="AC42" s="17"/>
      <c r="AD42" s="17"/>
      <c r="AE42" s="17"/>
      <c r="AF42" s="17">
        <v>1</v>
      </c>
      <c r="AG42" s="17"/>
      <c r="AH42" s="17"/>
      <c r="AI42" s="17"/>
      <c r="AJ42" s="18"/>
      <c r="AK42" s="17"/>
      <c r="AL42" s="17"/>
      <c r="AM42" s="17"/>
      <c r="AN42" s="18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9" cm="1">
        <f t="array" ref="BC42">SUMPRODUCT(--(D42:BB42=INT(D42:BB42)),--(D42:BB42&gt;0))</f>
        <v>2</v>
      </c>
      <c r="BD42" s="19">
        <f t="shared" si="0"/>
        <v>2</v>
      </c>
      <c r="BF42" s="21"/>
      <c r="BG42" s="21"/>
      <c r="BH42" s="21"/>
      <c r="BI42" s="21"/>
      <c r="BJ42" s="21"/>
      <c r="BK42" s="21"/>
      <c r="BL42" s="21"/>
      <c r="BM42" s="21"/>
      <c r="BN42" s="26"/>
      <c r="BO42" s="21">
        <f t="shared" si="2"/>
        <v>0</v>
      </c>
    </row>
    <row r="43" customHeight="1" spans="1:67">
      <c r="A43" s="23"/>
      <c r="B43" s="15"/>
      <c r="C43" s="16">
        <v>6</v>
      </c>
      <c r="D43" s="17"/>
      <c r="E43" s="17"/>
      <c r="F43" s="17"/>
      <c r="G43" s="17"/>
      <c r="H43" s="17"/>
      <c r="I43" s="17"/>
      <c r="J43" s="17"/>
      <c r="K43" s="17"/>
      <c r="L43" s="17">
        <v>1</v>
      </c>
      <c r="M43" s="17"/>
      <c r="N43" s="17">
        <v>1</v>
      </c>
      <c r="O43" s="17">
        <v>1</v>
      </c>
      <c r="P43" s="17">
        <v>1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>
        <v>1</v>
      </c>
      <c r="AE43" s="17"/>
      <c r="AF43" s="17"/>
      <c r="AG43" s="17"/>
      <c r="AH43" s="17"/>
      <c r="AI43" s="17"/>
      <c r="AJ43" s="18"/>
      <c r="AK43" s="17"/>
      <c r="AL43" s="17"/>
      <c r="AM43" s="17"/>
      <c r="AN43" s="18"/>
      <c r="AO43" s="17"/>
      <c r="AP43" s="17"/>
      <c r="AQ43" s="17"/>
      <c r="AR43" s="17"/>
      <c r="AS43" s="17"/>
      <c r="AT43" s="17"/>
      <c r="AU43" s="17">
        <v>1</v>
      </c>
      <c r="AV43" s="17"/>
      <c r="AW43" s="17"/>
      <c r="AX43" s="17"/>
      <c r="AY43" s="17"/>
      <c r="AZ43" s="17"/>
      <c r="BA43" s="17"/>
      <c r="BB43" s="17"/>
      <c r="BC43" s="19" cm="1">
        <f t="array" ref="BC43">SUMPRODUCT(--(D43:BB43=INT(D43:BB43)),--(D43:BB43&gt;0))</f>
        <v>6</v>
      </c>
      <c r="BD43" s="19">
        <f t="shared" si="0"/>
        <v>6</v>
      </c>
      <c r="BF43" s="21"/>
      <c r="BG43" s="21"/>
      <c r="BH43" s="21"/>
      <c r="BI43" s="21"/>
      <c r="BJ43" s="21"/>
      <c r="BK43" s="21"/>
      <c r="BL43" s="21"/>
      <c r="BM43" s="21"/>
      <c r="BN43" s="26"/>
      <c r="BO43" s="21">
        <f t="shared" si="2"/>
        <v>0</v>
      </c>
    </row>
    <row r="44" customHeight="1" spans="1:67">
      <c r="A44" s="23"/>
      <c r="B44" s="15"/>
      <c r="C44" s="16">
        <v>9</v>
      </c>
      <c r="D44" s="17"/>
      <c r="E44" s="17">
        <v>1</v>
      </c>
      <c r="F44" s="17"/>
      <c r="G44" s="17">
        <v>1</v>
      </c>
      <c r="H44" s="17"/>
      <c r="I44" s="17">
        <v>1</v>
      </c>
      <c r="J44" s="17">
        <v>1</v>
      </c>
      <c r="K44" s="17"/>
      <c r="L44" s="17"/>
      <c r="M44" s="17"/>
      <c r="N44" s="17"/>
      <c r="O44" s="17"/>
      <c r="P44" s="17">
        <v>1</v>
      </c>
      <c r="Q44" s="17"/>
      <c r="R44" s="17"/>
      <c r="S44" s="17"/>
      <c r="T44" s="17"/>
      <c r="U44" s="17"/>
      <c r="V44" s="17"/>
      <c r="W44" s="17">
        <v>1</v>
      </c>
      <c r="X44" s="17"/>
      <c r="Y44" s="17"/>
      <c r="Z44" s="17"/>
      <c r="AA44" s="17"/>
      <c r="AB44" s="17"/>
      <c r="AC44" s="17">
        <v>1</v>
      </c>
      <c r="AD44" s="17">
        <v>1</v>
      </c>
      <c r="AE44" s="17"/>
      <c r="AF44" s="17"/>
      <c r="AG44" s="17">
        <v>1</v>
      </c>
      <c r="AH44" s="17"/>
      <c r="AI44" s="17"/>
      <c r="AJ44" s="18"/>
      <c r="AK44" s="17"/>
      <c r="AL44" s="17">
        <v>1</v>
      </c>
      <c r="AM44" s="17"/>
      <c r="AN44" s="18"/>
      <c r="AO44" s="17"/>
      <c r="AP44" s="17">
        <v>1</v>
      </c>
      <c r="AQ44" s="17">
        <v>2</v>
      </c>
      <c r="AR44" s="17"/>
      <c r="AS44" s="17">
        <v>1</v>
      </c>
      <c r="AT44" s="17"/>
      <c r="AU44" s="17">
        <v>2</v>
      </c>
      <c r="AV44" s="17"/>
      <c r="AW44" s="17">
        <v>2</v>
      </c>
      <c r="AX44" s="17"/>
      <c r="AY44" s="17"/>
      <c r="AZ44" s="17"/>
      <c r="BA44" s="17"/>
      <c r="BB44" s="17"/>
      <c r="BC44" s="19" cm="1">
        <f t="array" ref="BC44">SUMPRODUCT(--(D44:BB44=INT(D44:BB44)),--(D44:BB44&gt;0))</f>
        <v>15</v>
      </c>
      <c r="BD44" s="19">
        <f t="shared" si="0"/>
        <v>18</v>
      </c>
      <c r="BF44" s="21"/>
      <c r="BG44" s="21"/>
      <c r="BH44" s="21"/>
      <c r="BI44" s="21"/>
      <c r="BJ44" s="21"/>
      <c r="BK44" s="21"/>
      <c r="BL44" s="21"/>
      <c r="BM44" s="21"/>
      <c r="BN44" s="26"/>
      <c r="BO44" s="21">
        <f t="shared" si="2"/>
        <v>0</v>
      </c>
    </row>
    <row r="45" customHeight="1" spans="1:67">
      <c r="A45" s="23"/>
      <c r="B45" s="15"/>
      <c r="C45" s="16">
        <v>10</v>
      </c>
      <c r="D45" s="17"/>
      <c r="E45" s="17">
        <v>1</v>
      </c>
      <c r="F45" s="17"/>
      <c r="G45" s="17">
        <v>1</v>
      </c>
      <c r="H45" s="17"/>
      <c r="I45" s="17">
        <v>1</v>
      </c>
      <c r="J45" s="17">
        <v>1</v>
      </c>
      <c r="K45" s="17"/>
      <c r="L45" s="17">
        <v>1</v>
      </c>
      <c r="M45" s="17"/>
      <c r="N45" s="17"/>
      <c r="O45" s="17"/>
      <c r="P45" s="17">
        <v>1</v>
      </c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>
        <v>1</v>
      </c>
      <c r="AE45" s="17"/>
      <c r="AF45" s="17"/>
      <c r="AG45" s="17"/>
      <c r="AH45" s="17">
        <v>1</v>
      </c>
      <c r="AI45" s="17"/>
      <c r="AJ45" s="18"/>
      <c r="AK45" s="17"/>
      <c r="AL45" s="17"/>
      <c r="AM45" s="17"/>
      <c r="AN45" s="18"/>
      <c r="AO45" s="17"/>
      <c r="AP45" s="17">
        <v>1</v>
      </c>
      <c r="AQ45" s="17"/>
      <c r="AR45" s="17"/>
      <c r="AS45" s="17"/>
      <c r="AT45" s="17"/>
      <c r="AU45" s="17">
        <v>1</v>
      </c>
      <c r="AV45" s="17"/>
      <c r="AW45" s="17"/>
      <c r="AX45" s="17"/>
      <c r="AY45" s="17"/>
      <c r="AZ45" s="17"/>
      <c r="BA45" s="17"/>
      <c r="BB45" s="17"/>
      <c r="BC45" s="19" cm="1">
        <f t="array" ref="BC45">SUMPRODUCT(--(D45:BB45=INT(D45:BB45)),--(D45:BB45&gt;0))</f>
        <v>10</v>
      </c>
      <c r="BD45" s="19">
        <f t="shared" si="0"/>
        <v>10</v>
      </c>
      <c r="BF45" s="21"/>
      <c r="BG45" s="21"/>
      <c r="BH45" s="21"/>
      <c r="BI45" s="21"/>
      <c r="BJ45" s="21"/>
      <c r="BK45" s="21"/>
      <c r="BL45" s="21"/>
      <c r="BM45" s="21"/>
      <c r="BN45" s="26"/>
      <c r="BO45" s="21">
        <f t="shared" si="2"/>
        <v>0</v>
      </c>
    </row>
    <row r="46" customHeight="1" spans="1:67">
      <c r="A46" s="23"/>
      <c r="B46" s="15"/>
      <c r="C46" s="16">
        <v>11</v>
      </c>
      <c r="D46" s="17"/>
      <c r="E46" s="17">
        <v>1</v>
      </c>
      <c r="F46" s="17"/>
      <c r="G46" s="17">
        <v>1</v>
      </c>
      <c r="H46" s="17"/>
      <c r="I46" s="17">
        <v>1</v>
      </c>
      <c r="J46" s="17"/>
      <c r="K46" s="17"/>
      <c r="L46" s="17">
        <v>1</v>
      </c>
      <c r="M46" s="17"/>
      <c r="N46" s="17"/>
      <c r="O46" s="17">
        <v>1</v>
      </c>
      <c r="P46" s="17"/>
      <c r="Q46" s="17"/>
      <c r="R46" s="17"/>
      <c r="S46" s="17"/>
      <c r="T46" s="17"/>
      <c r="U46" s="17"/>
      <c r="V46" s="17"/>
      <c r="W46" s="17"/>
      <c r="X46" s="17">
        <v>1</v>
      </c>
      <c r="Y46" s="17"/>
      <c r="Z46" s="17"/>
      <c r="AA46" s="17"/>
      <c r="AB46" s="17"/>
      <c r="AC46" s="17"/>
      <c r="AD46" s="17">
        <v>1</v>
      </c>
      <c r="AE46" s="17"/>
      <c r="AF46" s="17"/>
      <c r="AG46" s="17"/>
      <c r="AH46" s="17"/>
      <c r="AI46" s="17"/>
      <c r="AJ46" s="18"/>
      <c r="AK46" s="17"/>
      <c r="AL46" s="17"/>
      <c r="AM46" s="17"/>
      <c r="AN46" s="18"/>
      <c r="AO46" s="17"/>
      <c r="AP46" s="17"/>
      <c r="AQ46" s="17">
        <v>1</v>
      </c>
      <c r="AR46" s="17"/>
      <c r="AS46" s="17"/>
      <c r="AT46" s="17"/>
      <c r="AU46" s="17">
        <v>1</v>
      </c>
      <c r="AV46" s="17"/>
      <c r="AW46" s="17"/>
      <c r="AX46" s="17"/>
      <c r="AY46" s="17"/>
      <c r="AZ46" s="17"/>
      <c r="BA46" s="17"/>
      <c r="BB46" s="17"/>
      <c r="BC46" s="19" cm="1">
        <f t="array" ref="BC46">SUMPRODUCT(--(D46:BB46=INT(D46:BB46)),--(D46:BB46&gt;0))</f>
        <v>9</v>
      </c>
      <c r="BD46" s="19">
        <f t="shared" si="0"/>
        <v>9</v>
      </c>
      <c r="BF46" s="21"/>
      <c r="BG46" s="21"/>
      <c r="BH46" s="21"/>
      <c r="BI46" s="21" t="s">
        <v>676</v>
      </c>
      <c r="BJ46" s="21"/>
      <c r="BK46" s="21"/>
      <c r="BL46" s="21"/>
      <c r="BM46" s="21"/>
      <c r="BN46" s="26"/>
      <c r="BO46" s="21">
        <f t="shared" si="2"/>
        <v>1</v>
      </c>
    </row>
    <row r="47" customHeight="1" spans="1:67">
      <c r="A47" s="23"/>
      <c r="B47" s="15"/>
      <c r="C47" s="16">
        <v>12</v>
      </c>
      <c r="D47" s="17"/>
      <c r="E47" s="17">
        <v>2</v>
      </c>
      <c r="F47" s="17"/>
      <c r="G47" s="17"/>
      <c r="H47" s="17"/>
      <c r="I47" s="17">
        <v>1</v>
      </c>
      <c r="J47" s="17">
        <v>1</v>
      </c>
      <c r="K47" s="17"/>
      <c r="L47" s="17"/>
      <c r="M47" s="17"/>
      <c r="N47" s="17"/>
      <c r="O47" s="17"/>
      <c r="P47" s="17">
        <v>1</v>
      </c>
      <c r="Q47" s="17"/>
      <c r="R47" s="17"/>
      <c r="S47" s="17"/>
      <c r="T47" s="17">
        <v>2</v>
      </c>
      <c r="U47" s="17"/>
      <c r="V47" s="17">
        <v>2</v>
      </c>
      <c r="W47" s="17">
        <v>1</v>
      </c>
      <c r="X47" s="17"/>
      <c r="Y47" s="17"/>
      <c r="Z47" s="17"/>
      <c r="AA47" s="17"/>
      <c r="AB47" s="17"/>
      <c r="AC47" s="17">
        <v>1</v>
      </c>
      <c r="AD47" s="17">
        <v>1</v>
      </c>
      <c r="AE47" s="17"/>
      <c r="AF47" s="17"/>
      <c r="AG47" s="17"/>
      <c r="AH47" s="17"/>
      <c r="AI47" s="17"/>
      <c r="AJ47" s="18"/>
      <c r="AK47" s="17"/>
      <c r="AL47" s="17"/>
      <c r="AM47" s="17"/>
      <c r="AN47" s="18"/>
      <c r="AO47" s="17">
        <v>1</v>
      </c>
      <c r="AP47" s="17">
        <v>1</v>
      </c>
      <c r="AQ47" s="17">
        <v>3</v>
      </c>
      <c r="AR47" s="17"/>
      <c r="AS47" s="17">
        <v>2</v>
      </c>
      <c r="AT47" s="17"/>
      <c r="AU47" s="17">
        <v>2</v>
      </c>
      <c r="AV47" s="17"/>
      <c r="AW47" s="17">
        <v>2</v>
      </c>
      <c r="AX47" s="17"/>
      <c r="AY47" s="17"/>
      <c r="AZ47" s="17"/>
      <c r="BA47" s="17"/>
      <c r="BB47" s="17"/>
      <c r="BC47" s="19" cm="1">
        <f t="array" ref="BC47">SUMPRODUCT(--(D47:BB47=INT(D47:BB47)),--(D47:BB47&gt;0))</f>
        <v>15</v>
      </c>
      <c r="BD47" s="19">
        <f t="shared" si="0"/>
        <v>23</v>
      </c>
      <c r="BF47" s="21"/>
      <c r="BG47" s="21"/>
      <c r="BH47" s="21"/>
      <c r="BI47" s="21"/>
      <c r="BJ47" s="21"/>
      <c r="BK47" s="21"/>
      <c r="BL47" s="21"/>
      <c r="BM47" s="21"/>
      <c r="BN47" s="26"/>
      <c r="BO47" s="21">
        <f t="shared" si="2"/>
        <v>0</v>
      </c>
    </row>
    <row r="48" customHeight="1" spans="1:67">
      <c r="A48" s="23"/>
      <c r="B48" s="15"/>
      <c r="C48" s="16">
        <v>13</v>
      </c>
      <c r="D48" s="17"/>
      <c r="E48" s="17">
        <v>1</v>
      </c>
      <c r="F48" s="17"/>
      <c r="G48" s="17"/>
      <c r="H48" s="17"/>
      <c r="I48" s="17">
        <v>1</v>
      </c>
      <c r="J48" s="17">
        <v>1</v>
      </c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8"/>
      <c r="AK48" s="17"/>
      <c r="AL48" s="17"/>
      <c r="AM48" s="17"/>
      <c r="AN48" s="18"/>
      <c r="AO48" s="17"/>
      <c r="AP48" s="17">
        <v>1</v>
      </c>
      <c r="AQ48" s="17">
        <v>1</v>
      </c>
      <c r="AR48" s="17"/>
      <c r="AS48" s="17">
        <v>1</v>
      </c>
      <c r="AT48" s="17"/>
      <c r="AU48" s="17">
        <v>1</v>
      </c>
      <c r="AV48" s="17"/>
      <c r="AW48" s="17"/>
      <c r="AX48" s="17"/>
      <c r="AY48" s="17"/>
      <c r="AZ48" s="17"/>
      <c r="BA48" s="17"/>
      <c r="BB48" s="17"/>
      <c r="BC48" s="19" cm="1">
        <f t="array" ref="BC48">SUMPRODUCT(--(D48:BB48=INT(D48:BB48)),--(D48:BB48&gt;0))</f>
        <v>8</v>
      </c>
      <c r="BD48" s="19">
        <f t="shared" si="0"/>
        <v>8</v>
      </c>
      <c r="BF48" s="21"/>
      <c r="BG48" s="21"/>
      <c r="BH48" s="21"/>
      <c r="BI48" s="21"/>
      <c r="BJ48" s="21"/>
      <c r="BK48" s="21"/>
      <c r="BL48" s="21" t="s">
        <v>675</v>
      </c>
      <c r="BM48" s="21"/>
      <c r="BN48" s="26"/>
      <c r="BO48" s="21">
        <f t="shared" si="2"/>
        <v>1</v>
      </c>
    </row>
    <row r="49" customHeight="1" spans="1:67">
      <c r="A49" s="23"/>
      <c r="B49" s="15"/>
      <c r="C49" s="16">
        <v>16</v>
      </c>
      <c r="D49" s="17"/>
      <c r="E49" s="17">
        <v>1</v>
      </c>
      <c r="F49" s="17"/>
      <c r="G49" s="17"/>
      <c r="H49" s="17"/>
      <c r="I49" s="17"/>
      <c r="J49" s="17">
        <v>1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>
        <v>1</v>
      </c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8"/>
      <c r="AK49" s="17"/>
      <c r="AL49" s="17"/>
      <c r="AM49" s="17"/>
      <c r="AN49" s="18"/>
      <c r="AO49" s="17"/>
      <c r="AP49" s="17"/>
      <c r="AQ49" s="17"/>
      <c r="AR49" s="17"/>
      <c r="AS49" s="17"/>
      <c r="AT49" s="17"/>
      <c r="AU49" s="17">
        <v>1</v>
      </c>
      <c r="AV49" s="17"/>
      <c r="AW49" s="17"/>
      <c r="AX49" s="17"/>
      <c r="AY49" s="17"/>
      <c r="AZ49" s="17"/>
      <c r="BA49" s="17"/>
      <c r="BB49" s="17"/>
      <c r="BC49" s="19" cm="1">
        <f t="array" ref="BC49">SUMPRODUCT(--(D49:BB49=INT(D49:BB49)),--(D49:BB49&gt;0))</f>
        <v>4</v>
      </c>
      <c r="BD49" s="19">
        <f t="shared" si="0"/>
        <v>4</v>
      </c>
      <c r="BF49" s="21"/>
      <c r="BG49" s="21"/>
      <c r="BH49" s="21"/>
      <c r="BI49" s="21"/>
      <c r="BJ49" s="21"/>
      <c r="BK49" s="21"/>
      <c r="BL49" s="21"/>
      <c r="BM49" s="21"/>
      <c r="BN49" s="26"/>
      <c r="BO49" s="21">
        <f t="shared" ref="BO49:BO80" si="3">COUNTA(BF49:BN49)</f>
        <v>0</v>
      </c>
    </row>
    <row r="50" customHeight="1" spans="1:67">
      <c r="A50" s="23"/>
      <c r="B50" s="15"/>
      <c r="C50" s="16">
        <v>17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2</v>
      </c>
      <c r="Q50" s="17"/>
      <c r="R50" s="17"/>
      <c r="S50" s="17"/>
      <c r="T50" s="17"/>
      <c r="U50" s="17"/>
      <c r="V50" s="17"/>
      <c r="W50" s="17">
        <v>1</v>
      </c>
      <c r="X50" s="17"/>
      <c r="Y50" s="17">
        <v>1</v>
      </c>
      <c r="Z50" s="17"/>
      <c r="AA50" s="17"/>
      <c r="AB50" s="17"/>
      <c r="AC50" s="17">
        <v>2</v>
      </c>
      <c r="AD50" s="17"/>
      <c r="AE50" s="17"/>
      <c r="AF50" s="17"/>
      <c r="AG50" s="17">
        <v>1</v>
      </c>
      <c r="AH50" s="17"/>
      <c r="AI50" s="17"/>
      <c r="AJ50" s="18"/>
      <c r="AK50" s="17"/>
      <c r="AL50" s="17">
        <v>1</v>
      </c>
      <c r="AM50" s="17"/>
      <c r="AN50" s="18"/>
      <c r="AO50" s="17">
        <v>2</v>
      </c>
      <c r="AP50" s="17"/>
      <c r="AQ50" s="17">
        <v>2</v>
      </c>
      <c r="AR50" s="17"/>
      <c r="AS50" s="17"/>
      <c r="AT50" s="17"/>
      <c r="AU50" s="17">
        <v>1</v>
      </c>
      <c r="AV50" s="17"/>
      <c r="AW50" s="17">
        <v>1</v>
      </c>
      <c r="AX50" s="17"/>
      <c r="AY50" s="17"/>
      <c r="AZ50" s="17"/>
      <c r="BA50" s="17"/>
      <c r="BB50" s="17"/>
      <c r="BC50" s="19" cm="1">
        <f t="array" ref="BC50">SUMPRODUCT(--(D50:BB50=INT(D50:BB50)),--(D50:BB50&gt;0))</f>
        <v>10</v>
      </c>
      <c r="BD50" s="19">
        <f t="shared" si="0"/>
        <v>14</v>
      </c>
      <c r="BF50" s="21"/>
      <c r="BG50" s="21"/>
      <c r="BH50" s="21"/>
      <c r="BI50" s="21"/>
      <c r="BJ50" s="21"/>
      <c r="BK50" s="21"/>
      <c r="BL50" s="21"/>
      <c r="BM50" s="21"/>
      <c r="BN50" s="26"/>
      <c r="BO50" s="21">
        <f t="shared" si="3"/>
        <v>0</v>
      </c>
    </row>
    <row r="51" customHeight="1" spans="1:67">
      <c r="A51" s="23"/>
      <c r="B51" s="15"/>
      <c r="C51" s="16">
        <v>18</v>
      </c>
      <c r="D51" s="17"/>
      <c r="E51" s="17">
        <v>1</v>
      </c>
      <c r="F51" s="17"/>
      <c r="G51" s="17">
        <v>1</v>
      </c>
      <c r="H51" s="17">
        <v>1</v>
      </c>
      <c r="I51" s="17">
        <v>1</v>
      </c>
      <c r="J51" s="17"/>
      <c r="K51" s="17"/>
      <c r="L51" s="17"/>
      <c r="M51" s="17"/>
      <c r="N51" s="17">
        <v>1</v>
      </c>
      <c r="O51" s="17">
        <v>1</v>
      </c>
      <c r="P51" s="17">
        <v>1</v>
      </c>
      <c r="Q51" s="17"/>
      <c r="R51" s="17"/>
      <c r="S51" s="17"/>
      <c r="T51" s="17">
        <v>1</v>
      </c>
      <c r="U51" s="17"/>
      <c r="V51" s="17"/>
      <c r="W51" s="17">
        <v>1</v>
      </c>
      <c r="X51" s="17"/>
      <c r="Y51" s="17"/>
      <c r="Z51" s="17"/>
      <c r="AA51" s="17"/>
      <c r="AB51" s="17"/>
      <c r="AC51" s="17">
        <v>1</v>
      </c>
      <c r="AD51" s="17"/>
      <c r="AE51" s="17"/>
      <c r="AF51" s="17"/>
      <c r="AG51" s="17">
        <v>1</v>
      </c>
      <c r="AH51" s="17"/>
      <c r="AI51" s="17"/>
      <c r="AJ51" s="18"/>
      <c r="AK51" s="17"/>
      <c r="AL51" s="17">
        <v>1</v>
      </c>
      <c r="AM51" s="17"/>
      <c r="AN51" s="18"/>
      <c r="AO51" s="17">
        <v>1</v>
      </c>
      <c r="AP51" s="17"/>
      <c r="AQ51" s="17">
        <v>1</v>
      </c>
      <c r="AR51" s="17"/>
      <c r="AS51" s="17">
        <v>1</v>
      </c>
      <c r="AT51" s="17"/>
      <c r="AU51" s="17">
        <v>1</v>
      </c>
      <c r="AV51" s="17"/>
      <c r="AW51" s="17">
        <v>1</v>
      </c>
      <c r="AX51" s="17"/>
      <c r="AY51" s="17"/>
      <c r="AZ51" s="17"/>
      <c r="BA51" s="17"/>
      <c r="BB51" s="17"/>
      <c r="BC51" s="19" cm="1">
        <f t="array" ref="BC51">SUMPRODUCT(--(D51:BB51=INT(D51:BB51)),--(D51:BB51&gt;0))</f>
        <v>17</v>
      </c>
      <c r="BD51" s="19">
        <f t="shared" si="0"/>
        <v>17</v>
      </c>
      <c r="BF51" s="21"/>
      <c r="BG51" s="21"/>
      <c r="BH51" s="21" t="s">
        <v>674</v>
      </c>
      <c r="BI51" s="21"/>
      <c r="BJ51" s="21"/>
      <c r="BK51" s="21"/>
      <c r="BL51" s="21"/>
      <c r="BM51" s="21"/>
      <c r="BN51" s="26"/>
      <c r="BO51" s="21">
        <f t="shared" si="3"/>
        <v>1</v>
      </c>
    </row>
    <row r="52" customHeight="1" spans="1:67">
      <c r="A52" s="23"/>
      <c r="B52" s="15"/>
      <c r="C52" s="16">
        <v>19</v>
      </c>
      <c r="D52" s="17"/>
      <c r="E52" s="17">
        <v>1</v>
      </c>
      <c r="F52" s="17"/>
      <c r="G52" s="17"/>
      <c r="H52" s="17"/>
      <c r="I52" s="17">
        <v>1</v>
      </c>
      <c r="J52" s="17">
        <v>1</v>
      </c>
      <c r="K52" s="17"/>
      <c r="L52" s="17">
        <v>1</v>
      </c>
      <c r="M52" s="17"/>
      <c r="N52" s="17"/>
      <c r="O52" s="17"/>
      <c r="P52" s="17">
        <v>1</v>
      </c>
      <c r="Q52" s="17"/>
      <c r="R52" s="17"/>
      <c r="S52" s="17"/>
      <c r="T52" s="17"/>
      <c r="U52" s="17"/>
      <c r="V52" s="17"/>
      <c r="W52" s="17">
        <v>1</v>
      </c>
      <c r="X52" s="17"/>
      <c r="Y52" s="17">
        <v>1</v>
      </c>
      <c r="Z52" s="17"/>
      <c r="AA52" s="17"/>
      <c r="AB52" s="17"/>
      <c r="AC52" s="17"/>
      <c r="AD52" s="17"/>
      <c r="AE52" s="17"/>
      <c r="AF52" s="17"/>
      <c r="AG52" s="17">
        <v>1</v>
      </c>
      <c r="AH52" s="17"/>
      <c r="AI52" s="17"/>
      <c r="AJ52" s="18"/>
      <c r="AK52" s="17"/>
      <c r="AL52" s="17">
        <v>1</v>
      </c>
      <c r="AM52" s="17"/>
      <c r="AN52" s="18"/>
      <c r="AO52" s="17">
        <v>1</v>
      </c>
      <c r="AP52" s="17">
        <v>2</v>
      </c>
      <c r="AQ52" s="17">
        <v>1</v>
      </c>
      <c r="AR52" s="17"/>
      <c r="AS52" s="17">
        <v>1</v>
      </c>
      <c r="AT52" s="17"/>
      <c r="AU52" s="17">
        <v>1</v>
      </c>
      <c r="AV52" s="17"/>
      <c r="AW52" s="17"/>
      <c r="AX52" s="17"/>
      <c r="AY52" s="17"/>
      <c r="AZ52" s="17"/>
      <c r="BA52" s="17"/>
      <c r="BB52" s="17"/>
      <c r="BC52" s="19" cm="1">
        <f t="array" ref="BC52">SUMPRODUCT(--(D52:BB52=INT(D52:BB52)),--(D52:BB52&gt;0))</f>
        <v>14</v>
      </c>
      <c r="BD52" s="19">
        <f t="shared" si="0"/>
        <v>15</v>
      </c>
      <c r="BF52" s="21"/>
      <c r="BG52" s="21"/>
      <c r="BH52" s="21"/>
      <c r="BI52" s="21"/>
      <c r="BJ52" s="21"/>
      <c r="BK52" s="21"/>
      <c r="BL52" s="21" t="s">
        <v>677</v>
      </c>
      <c r="BM52" s="21"/>
      <c r="BN52" s="26"/>
      <c r="BO52" s="21">
        <f t="shared" si="3"/>
        <v>1</v>
      </c>
    </row>
    <row r="53" customHeight="1" spans="1:67">
      <c r="A53" s="23"/>
      <c r="B53" s="15"/>
      <c r="C53" s="16">
        <v>20</v>
      </c>
      <c r="D53" s="17">
        <v>2</v>
      </c>
      <c r="E53" s="17">
        <v>1</v>
      </c>
      <c r="F53" s="17"/>
      <c r="G53" s="17">
        <v>1</v>
      </c>
      <c r="H53" s="17"/>
      <c r="I53" s="17"/>
      <c r="J53" s="17">
        <v>1</v>
      </c>
      <c r="K53" s="17"/>
      <c r="L53" s="17">
        <v>2</v>
      </c>
      <c r="M53" s="17"/>
      <c r="N53" s="17">
        <v>1</v>
      </c>
      <c r="O53" s="17"/>
      <c r="P53" s="17">
        <v>1</v>
      </c>
      <c r="Q53" s="17">
        <v>1</v>
      </c>
      <c r="R53" s="17"/>
      <c r="S53" s="17"/>
      <c r="T53" s="17"/>
      <c r="U53" s="17"/>
      <c r="V53" s="17"/>
      <c r="W53" s="17">
        <v>1</v>
      </c>
      <c r="X53" s="17"/>
      <c r="Y53" s="17">
        <v>1</v>
      </c>
      <c r="Z53" s="17"/>
      <c r="AA53" s="17"/>
      <c r="AB53" s="17"/>
      <c r="AC53" s="17">
        <v>1</v>
      </c>
      <c r="AD53" s="17"/>
      <c r="AE53" s="17"/>
      <c r="AF53" s="17">
        <v>1</v>
      </c>
      <c r="AG53" s="17"/>
      <c r="AH53" s="17"/>
      <c r="AI53" s="17"/>
      <c r="AJ53" s="18"/>
      <c r="AK53" s="17"/>
      <c r="AL53" s="17"/>
      <c r="AM53" s="17"/>
      <c r="AN53" s="18"/>
      <c r="AO53" s="17"/>
      <c r="AP53" s="17">
        <v>1</v>
      </c>
      <c r="AQ53" s="17">
        <v>1</v>
      </c>
      <c r="AR53" s="17"/>
      <c r="AS53" s="17">
        <v>1</v>
      </c>
      <c r="AT53" s="17"/>
      <c r="AU53" s="17">
        <v>1</v>
      </c>
      <c r="AV53" s="17"/>
      <c r="AW53" s="17">
        <v>2</v>
      </c>
      <c r="AX53" s="17"/>
      <c r="AY53" s="17"/>
      <c r="AZ53" s="17"/>
      <c r="BA53" s="17"/>
      <c r="BB53" s="17"/>
      <c r="BC53" s="19" cm="1">
        <f t="array" ref="BC53">SUMPRODUCT(--(D53:BB53=INT(D53:BB53)),--(D53:BB53&gt;0))</f>
        <v>17</v>
      </c>
      <c r="BD53" s="19">
        <f t="shared" si="0"/>
        <v>20</v>
      </c>
      <c r="BF53" s="21"/>
      <c r="BG53" s="21"/>
      <c r="BH53" s="21"/>
      <c r="BI53" s="21" t="s">
        <v>674</v>
      </c>
      <c r="BJ53" s="21"/>
      <c r="BK53" s="21" t="s">
        <v>675</v>
      </c>
      <c r="BL53" s="21" t="s">
        <v>675</v>
      </c>
      <c r="BM53" s="21"/>
      <c r="BN53" s="26"/>
      <c r="BO53" s="21">
        <f t="shared" si="3"/>
        <v>3</v>
      </c>
    </row>
    <row r="54" customHeight="1" spans="1:67">
      <c r="A54" s="23"/>
      <c r="B54" s="15"/>
      <c r="C54" s="16">
        <v>23</v>
      </c>
      <c r="D54" s="17"/>
      <c r="E54" s="17">
        <v>1</v>
      </c>
      <c r="F54" s="17"/>
      <c r="G54" s="17"/>
      <c r="H54" s="17">
        <v>1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>
        <v>1</v>
      </c>
      <c r="W54" s="17"/>
      <c r="X54" s="17"/>
      <c r="Y54" s="17">
        <v>1</v>
      </c>
      <c r="Z54" s="17"/>
      <c r="AA54" s="17"/>
      <c r="AB54" s="17"/>
      <c r="AC54" s="17"/>
      <c r="AD54" s="17"/>
      <c r="AE54" s="17">
        <v>1</v>
      </c>
      <c r="AF54" s="17"/>
      <c r="AG54" s="17"/>
      <c r="AH54" s="17">
        <v>1</v>
      </c>
      <c r="AI54" s="17"/>
      <c r="AJ54" s="18"/>
      <c r="AK54" s="17"/>
      <c r="AL54" s="17"/>
      <c r="AM54" s="17"/>
      <c r="AN54" s="18"/>
      <c r="AO54" s="17">
        <v>1</v>
      </c>
      <c r="AP54" s="17">
        <v>2</v>
      </c>
      <c r="AQ54" s="17"/>
      <c r="AR54" s="17"/>
      <c r="AS54" s="17"/>
      <c r="AT54" s="17"/>
      <c r="AU54" s="17">
        <v>2</v>
      </c>
      <c r="AV54" s="17"/>
      <c r="AW54" s="17"/>
      <c r="AX54" s="17"/>
      <c r="AY54" s="17"/>
      <c r="AZ54" s="17">
        <v>1</v>
      </c>
      <c r="BA54" s="17"/>
      <c r="BB54" s="17"/>
      <c r="BC54" s="19" cm="1">
        <f t="array" ref="BC54">SUMPRODUCT(--(D54:BB54=INT(D54:BB54)),--(D54:BB54&gt;0))</f>
        <v>10</v>
      </c>
      <c r="BD54" s="19">
        <f t="shared" si="0"/>
        <v>12</v>
      </c>
      <c r="BF54" s="21"/>
      <c r="BG54" s="21"/>
      <c r="BH54" s="21"/>
      <c r="BI54" s="21"/>
      <c r="BJ54" s="21"/>
      <c r="BK54" s="21" t="s">
        <v>672</v>
      </c>
      <c r="BL54" s="21"/>
      <c r="BM54" s="21"/>
      <c r="BN54" s="26"/>
      <c r="BO54" s="21">
        <f t="shared" si="3"/>
        <v>1</v>
      </c>
    </row>
    <row r="55" customHeight="1" spans="1:67">
      <c r="A55" s="23"/>
      <c r="B55" s="15"/>
      <c r="C55" s="16">
        <v>24</v>
      </c>
      <c r="D55" s="17"/>
      <c r="E55" s="17"/>
      <c r="F55" s="17"/>
      <c r="G55" s="17"/>
      <c r="H55" s="17">
        <v>1</v>
      </c>
      <c r="I55" s="17"/>
      <c r="J55" s="17">
        <v>2</v>
      </c>
      <c r="K55" s="17"/>
      <c r="L55" s="17">
        <v>2</v>
      </c>
      <c r="M55" s="17"/>
      <c r="N55" s="17">
        <v>2</v>
      </c>
      <c r="O55" s="17"/>
      <c r="P55" s="17">
        <v>2</v>
      </c>
      <c r="Q55" s="17"/>
      <c r="R55" s="17"/>
      <c r="S55" s="17"/>
      <c r="T55" s="17"/>
      <c r="U55" s="17"/>
      <c r="V55" s="17"/>
      <c r="W55" s="17">
        <v>2</v>
      </c>
      <c r="X55" s="17"/>
      <c r="Y55" s="17"/>
      <c r="Z55" s="17"/>
      <c r="AA55" s="17"/>
      <c r="AB55" s="17"/>
      <c r="AC55" s="17">
        <v>1</v>
      </c>
      <c r="AD55" s="17"/>
      <c r="AE55" s="17"/>
      <c r="AF55" s="17">
        <v>1</v>
      </c>
      <c r="AG55" s="17">
        <v>1</v>
      </c>
      <c r="AH55" s="17"/>
      <c r="AI55" s="17"/>
      <c r="AJ55" s="18"/>
      <c r="AK55" s="17"/>
      <c r="AL55" s="17"/>
      <c r="AM55" s="17"/>
      <c r="AN55" s="18"/>
      <c r="AO55" s="17">
        <v>2</v>
      </c>
      <c r="AP55" s="17">
        <v>1</v>
      </c>
      <c r="AQ55" s="17">
        <v>4</v>
      </c>
      <c r="AR55" s="17"/>
      <c r="AS55" s="17">
        <v>1</v>
      </c>
      <c r="AT55" s="17"/>
      <c r="AU55" s="17">
        <v>2</v>
      </c>
      <c r="AV55" s="17"/>
      <c r="AW55" s="17"/>
      <c r="AX55" s="17"/>
      <c r="AY55" s="17"/>
      <c r="AZ55" s="17"/>
      <c r="BA55" s="17"/>
      <c r="BB55" s="17">
        <v>1</v>
      </c>
      <c r="BC55" s="19" cm="1">
        <f t="array" ref="BC55">SUMPRODUCT(--(D55:BB55=INT(D55:BB55)),--(D55:BB55&gt;0))</f>
        <v>15</v>
      </c>
      <c r="BD55" s="19">
        <f t="shared" si="0"/>
        <v>25</v>
      </c>
      <c r="BF55" s="21"/>
      <c r="BG55" s="21"/>
      <c r="BH55" s="21"/>
      <c r="BI55" s="21"/>
      <c r="BJ55" s="21"/>
      <c r="BK55" s="21"/>
      <c r="BL55" s="21"/>
      <c r="BM55" s="21"/>
      <c r="BN55" s="26"/>
      <c r="BO55" s="21">
        <f t="shared" si="3"/>
        <v>0</v>
      </c>
    </row>
    <row r="56" customHeight="1" spans="1:67">
      <c r="A56" s="23"/>
      <c r="B56" s="15"/>
      <c r="C56" s="16">
        <v>25</v>
      </c>
      <c r="D56" s="17"/>
      <c r="E56" s="17">
        <v>1</v>
      </c>
      <c r="F56" s="17">
        <v>1</v>
      </c>
      <c r="G56" s="17"/>
      <c r="H56" s="17">
        <v>1</v>
      </c>
      <c r="I56" s="17"/>
      <c r="J56" s="17">
        <v>1</v>
      </c>
      <c r="K56" s="17"/>
      <c r="L56" s="17"/>
      <c r="M56" s="17"/>
      <c r="N56" s="17">
        <v>1</v>
      </c>
      <c r="O56" s="17"/>
      <c r="P56" s="17"/>
      <c r="Q56" s="17"/>
      <c r="R56" s="17"/>
      <c r="S56" s="17"/>
      <c r="T56" s="17"/>
      <c r="U56" s="17"/>
      <c r="V56" s="17"/>
      <c r="W56" s="17">
        <v>1</v>
      </c>
      <c r="X56" s="17"/>
      <c r="Y56" s="17">
        <v>1</v>
      </c>
      <c r="Z56" s="17"/>
      <c r="AA56" s="17"/>
      <c r="AB56" s="17"/>
      <c r="AC56" s="17">
        <v>1</v>
      </c>
      <c r="AD56" s="17"/>
      <c r="AE56" s="17"/>
      <c r="AF56" s="17"/>
      <c r="AG56" s="17"/>
      <c r="AH56" s="17">
        <v>1</v>
      </c>
      <c r="AI56" s="17"/>
      <c r="AJ56" s="18"/>
      <c r="AK56" s="17"/>
      <c r="AL56" s="17"/>
      <c r="AM56" s="17">
        <v>1</v>
      </c>
      <c r="AN56" s="18"/>
      <c r="AO56" s="17">
        <v>1</v>
      </c>
      <c r="AP56" s="17">
        <v>1</v>
      </c>
      <c r="AQ56" s="17">
        <v>1</v>
      </c>
      <c r="AR56" s="17"/>
      <c r="AS56" s="17"/>
      <c r="AT56" s="17"/>
      <c r="AU56" s="17">
        <v>1</v>
      </c>
      <c r="AV56" s="17"/>
      <c r="AW56" s="17"/>
      <c r="AX56" s="17"/>
      <c r="AY56" s="17"/>
      <c r="AZ56" s="17"/>
      <c r="BA56" s="17"/>
      <c r="BB56" s="17"/>
      <c r="BC56" s="19" cm="1">
        <f t="array" ref="BC56">SUMPRODUCT(--(D56:BB56=INT(D56:BB56)),--(D56:BB56&gt;0))</f>
        <v>14</v>
      </c>
      <c r="BD56" s="19">
        <f t="shared" si="0"/>
        <v>14</v>
      </c>
      <c r="BF56" s="21"/>
      <c r="BG56" s="21"/>
      <c r="BH56" s="21" t="s">
        <v>674</v>
      </c>
      <c r="BI56" s="21"/>
      <c r="BJ56" s="21"/>
      <c r="BK56" s="21"/>
      <c r="BL56" s="21"/>
      <c r="BM56" s="21"/>
      <c r="BN56" s="26"/>
      <c r="BO56" s="21">
        <f t="shared" si="3"/>
        <v>1</v>
      </c>
    </row>
    <row r="57" customHeight="1" spans="1:67">
      <c r="A57" s="23"/>
      <c r="B57" s="15"/>
      <c r="C57" s="16">
        <v>26</v>
      </c>
      <c r="D57" s="17"/>
      <c r="E57" s="17"/>
      <c r="F57" s="17">
        <v>1</v>
      </c>
      <c r="G57" s="17"/>
      <c r="H57" s="17">
        <v>1</v>
      </c>
      <c r="I57" s="17">
        <v>1</v>
      </c>
      <c r="J57" s="17">
        <v>1</v>
      </c>
      <c r="K57" s="17">
        <v>1</v>
      </c>
      <c r="L57" s="17">
        <v>2</v>
      </c>
      <c r="M57" s="17"/>
      <c r="N57" s="17"/>
      <c r="O57" s="17"/>
      <c r="P57" s="17">
        <v>1</v>
      </c>
      <c r="Q57" s="17"/>
      <c r="R57" s="17">
        <v>1</v>
      </c>
      <c r="S57" s="17"/>
      <c r="T57" s="17">
        <v>1</v>
      </c>
      <c r="U57" s="17"/>
      <c r="V57" s="17"/>
      <c r="W57" s="17">
        <v>1</v>
      </c>
      <c r="X57" s="17"/>
      <c r="Y57" s="17">
        <v>1</v>
      </c>
      <c r="Z57" s="17"/>
      <c r="AA57" s="17"/>
      <c r="AB57" s="17"/>
      <c r="AC57" s="17">
        <v>1</v>
      </c>
      <c r="AD57" s="17">
        <v>1</v>
      </c>
      <c r="AE57" s="17">
        <v>1</v>
      </c>
      <c r="AF57" s="17">
        <v>1</v>
      </c>
      <c r="AG57" s="17">
        <v>2</v>
      </c>
      <c r="AH57" s="17"/>
      <c r="AI57" s="17"/>
      <c r="AJ57" s="18"/>
      <c r="AK57" s="17">
        <v>1</v>
      </c>
      <c r="AL57" s="17">
        <v>1</v>
      </c>
      <c r="AM57" s="17">
        <v>1</v>
      </c>
      <c r="AN57" s="18"/>
      <c r="AO57" s="17">
        <v>2</v>
      </c>
      <c r="AP57" s="17">
        <v>1</v>
      </c>
      <c r="AQ57" s="17"/>
      <c r="AR57" s="17"/>
      <c r="AS57" s="17">
        <v>1</v>
      </c>
      <c r="AT57" s="17"/>
      <c r="AU57" s="17">
        <v>1</v>
      </c>
      <c r="AV57" s="17"/>
      <c r="AW57" s="17">
        <v>1</v>
      </c>
      <c r="AX57" s="17"/>
      <c r="AY57" s="17"/>
      <c r="AZ57" s="17"/>
      <c r="BA57" s="17"/>
      <c r="BB57" s="17"/>
      <c r="BC57" s="19" cm="1">
        <f t="array" ref="BC57">SUMPRODUCT(--(D57:BB57=INT(D57:BB57)),--(D57:BB57&gt;0))</f>
        <v>24</v>
      </c>
      <c r="BD57" s="19">
        <f t="shared" si="0"/>
        <v>27</v>
      </c>
      <c r="BF57" s="21"/>
      <c r="BG57" s="21"/>
      <c r="BH57" s="21"/>
      <c r="BI57" s="21" t="s">
        <v>675</v>
      </c>
      <c r="BJ57" s="21"/>
      <c r="BK57" s="21"/>
      <c r="BL57" s="21"/>
      <c r="BM57" s="21"/>
      <c r="BN57" s="26"/>
      <c r="BO57" s="21">
        <f t="shared" si="3"/>
        <v>1</v>
      </c>
    </row>
    <row r="58" customHeight="1" spans="1:67">
      <c r="A58" s="23"/>
      <c r="B58" s="15"/>
      <c r="C58" s="16">
        <v>27</v>
      </c>
      <c r="D58" s="17"/>
      <c r="E58" s="17">
        <v>1</v>
      </c>
      <c r="F58" s="17">
        <v>1</v>
      </c>
      <c r="G58" s="17"/>
      <c r="H58" s="17"/>
      <c r="I58" s="17"/>
      <c r="J58" s="17">
        <v>1</v>
      </c>
      <c r="K58" s="17">
        <v>1</v>
      </c>
      <c r="L58" s="17"/>
      <c r="M58" s="17"/>
      <c r="N58" s="17"/>
      <c r="O58" s="17"/>
      <c r="P58" s="17">
        <v>1</v>
      </c>
      <c r="Q58" s="17">
        <v>1</v>
      </c>
      <c r="R58" s="17"/>
      <c r="S58" s="17"/>
      <c r="T58" s="17"/>
      <c r="U58" s="17"/>
      <c r="V58" s="17"/>
      <c r="W58" s="17">
        <v>1</v>
      </c>
      <c r="X58" s="17"/>
      <c r="Y58" s="17">
        <v>1</v>
      </c>
      <c r="Z58" s="17"/>
      <c r="AA58" s="17"/>
      <c r="AB58" s="17"/>
      <c r="AC58" s="17">
        <v>2</v>
      </c>
      <c r="AD58" s="17"/>
      <c r="AE58" s="17"/>
      <c r="AF58" s="17"/>
      <c r="AG58" s="17">
        <v>1</v>
      </c>
      <c r="AH58" s="17"/>
      <c r="AI58" s="17"/>
      <c r="AJ58" s="18"/>
      <c r="AK58" s="17"/>
      <c r="AL58" s="17"/>
      <c r="AM58" s="17"/>
      <c r="AN58" s="18"/>
      <c r="AO58" s="17"/>
      <c r="AP58" s="17"/>
      <c r="AQ58" s="17">
        <v>2</v>
      </c>
      <c r="AR58" s="17"/>
      <c r="AS58" s="17">
        <v>2</v>
      </c>
      <c r="AT58" s="17"/>
      <c r="AU58" s="17">
        <v>2</v>
      </c>
      <c r="AV58" s="17"/>
      <c r="AW58" s="17">
        <v>1</v>
      </c>
      <c r="AX58" s="17"/>
      <c r="AY58" s="17"/>
      <c r="AZ58" s="17"/>
      <c r="BA58" s="17"/>
      <c r="BB58" s="17"/>
      <c r="BC58" s="19" cm="1">
        <f t="array" ref="BC58">SUMPRODUCT(--(D58:BB58=INT(D58:BB58)),--(D58:BB58&gt;0))</f>
        <v>14</v>
      </c>
      <c r="BD58" s="19">
        <f t="shared" si="0"/>
        <v>18</v>
      </c>
      <c r="BF58" s="21"/>
      <c r="BG58" s="21"/>
      <c r="BH58" s="21"/>
      <c r="BI58" s="21"/>
      <c r="BJ58" s="21"/>
      <c r="BK58" s="21"/>
      <c r="BL58" s="21" t="s">
        <v>675</v>
      </c>
      <c r="BM58" s="21"/>
      <c r="BN58" s="26"/>
      <c r="BO58" s="21">
        <f t="shared" si="3"/>
        <v>1</v>
      </c>
    </row>
    <row r="59" customHeight="1" spans="1:67">
      <c r="A59" s="23"/>
      <c r="B59" s="15"/>
      <c r="C59" s="16">
        <v>30</v>
      </c>
      <c r="D59" s="17"/>
      <c r="E59" s="17">
        <v>1</v>
      </c>
      <c r="F59" s="17"/>
      <c r="G59" s="17"/>
      <c r="H59" s="17">
        <v>1</v>
      </c>
      <c r="I59" s="17"/>
      <c r="J59" s="17">
        <v>1</v>
      </c>
      <c r="K59" s="17"/>
      <c r="L59" s="17"/>
      <c r="M59" s="17"/>
      <c r="N59" s="17">
        <v>1</v>
      </c>
      <c r="O59" s="17"/>
      <c r="P59" s="17">
        <v>1</v>
      </c>
      <c r="Q59" s="17"/>
      <c r="R59" s="17"/>
      <c r="S59" s="17"/>
      <c r="T59" s="17">
        <v>1</v>
      </c>
      <c r="U59" s="17">
        <v>1</v>
      </c>
      <c r="V59" s="17"/>
      <c r="W59" s="17"/>
      <c r="X59" s="17"/>
      <c r="Y59" s="17">
        <v>1</v>
      </c>
      <c r="Z59" s="17"/>
      <c r="AA59" s="17"/>
      <c r="AB59" s="17"/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/>
      <c r="AI59" s="17"/>
      <c r="AJ59" s="18"/>
      <c r="AK59" s="17"/>
      <c r="AL59" s="17"/>
      <c r="AM59" s="17">
        <v>1</v>
      </c>
      <c r="AN59" s="18"/>
      <c r="AO59" s="17">
        <v>1</v>
      </c>
      <c r="AP59" s="17">
        <v>1</v>
      </c>
      <c r="AQ59" s="17"/>
      <c r="AR59" s="17"/>
      <c r="AS59" s="17">
        <v>2</v>
      </c>
      <c r="AT59" s="17"/>
      <c r="AU59" s="17">
        <v>1</v>
      </c>
      <c r="AV59" s="17"/>
      <c r="AW59" s="17">
        <v>1</v>
      </c>
      <c r="AX59" s="17"/>
      <c r="AY59" s="17"/>
      <c r="AZ59" s="17"/>
      <c r="BA59" s="17"/>
      <c r="BB59" s="17"/>
      <c r="BC59" s="19" cm="1">
        <f t="array" ref="BC59">SUMPRODUCT(--(D59:BB59=INT(D59:BB59)),--(D59:BB59&gt;0))</f>
        <v>19</v>
      </c>
      <c r="BD59" s="19">
        <f t="shared" si="0"/>
        <v>20</v>
      </c>
      <c r="BF59" s="21"/>
      <c r="BG59" s="21"/>
      <c r="BH59" s="21" t="s">
        <v>674</v>
      </c>
      <c r="BI59" s="21"/>
      <c r="BJ59" s="21"/>
      <c r="BK59" s="21"/>
      <c r="BL59" s="21"/>
      <c r="BM59" s="21"/>
      <c r="BN59" s="26"/>
      <c r="BO59" s="21">
        <f t="shared" si="3"/>
        <v>1</v>
      </c>
    </row>
    <row r="60" customHeight="1" spans="1:67">
      <c r="A60" s="23"/>
      <c r="B60" s="15"/>
      <c r="C60" s="16">
        <v>31</v>
      </c>
      <c r="D60" s="17"/>
      <c r="E60" s="17">
        <v>1</v>
      </c>
      <c r="F60" s="17"/>
      <c r="G60" s="17"/>
      <c r="H60" s="17"/>
      <c r="I60" s="17">
        <v>2</v>
      </c>
      <c r="J60" s="17"/>
      <c r="K60" s="17"/>
      <c r="L60" s="17"/>
      <c r="M60" s="17"/>
      <c r="N60" s="17">
        <v>1</v>
      </c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>
        <v>1</v>
      </c>
      <c r="AH60" s="17"/>
      <c r="AI60" s="17"/>
      <c r="AJ60" s="18"/>
      <c r="AK60" s="17"/>
      <c r="AL60" s="17"/>
      <c r="AM60" s="17">
        <v>1</v>
      </c>
      <c r="AN60" s="18"/>
      <c r="AO60" s="17"/>
      <c r="AP60" s="17"/>
      <c r="AQ60" s="17"/>
      <c r="AR60" s="17"/>
      <c r="AS60" s="17">
        <v>2</v>
      </c>
      <c r="AT60" s="17"/>
      <c r="AU60" s="17"/>
      <c r="AV60" s="17"/>
      <c r="AW60" s="17"/>
      <c r="AX60" s="17"/>
      <c r="AY60" s="17"/>
      <c r="AZ60" s="17"/>
      <c r="BA60" s="17"/>
      <c r="BB60" s="17"/>
      <c r="BC60" s="19" cm="1">
        <f t="array" ref="BC60">SUMPRODUCT(--(D60:BB60=INT(D60:BB60)),--(D60:BB60&gt;0))</f>
        <v>6</v>
      </c>
      <c r="BD60" s="19">
        <f t="shared" si="0"/>
        <v>8</v>
      </c>
      <c r="BF60" s="21"/>
      <c r="BG60" s="21"/>
      <c r="BH60" s="21"/>
      <c r="BI60" s="21"/>
      <c r="BJ60" s="21"/>
      <c r="BK60" s="21" t="s">
        <v>677</v>
      </c>
      <c r="BL60" s="21"/>
      <c r="BM60" s="21"/>
      <c r="BN60" s="26"/>
      <c r="BO60" s="21">
        <f t="shared" si="3"/>
        <v>1</v>
      </c>
    </row>
    <row r="61" customHeight="1" spans="1:67">
      <c r="A61" s="23"/>
      <c r="B61" s="15">
        <v>4</v>
      </c>
      <c r="C61" s="16">
        <v>1</v>
      </c>
      <c r="D61" s="17"/>
      <c r="E61" s="17">
        <v>1</v>
      </c>
      <c r="F61" s="17">
        <v>1</v>
      </c>
      <c r="G61" s="17"/>
      <c r="H61" s="17">
        <v>1</v>
      </c>
      <c r="I61" s="17">
        <v>1</v>
      </c>
      <c r="J61" s="17">
        <v>1</v>
      </c>
      <c r="K61" s="17"/>
      <c r="L61" s="17"/>
      <c r="M61" s="17"/>
      <c r="N61" s="17">
        <v>1</v>
      </c>
      <c r="O61" s="17"/>
      <c r="P61" s="17">
        <v>1</v>
      </c>
      <c r="Q61" s="17"/>
      <c r="R61" s="17"/>
      <c r="S61" s="17"/>
      <c r="T61" s="17"/>
      <c r="U61" s="17"/>
      <c r="V61" s="17"/>
      <c r="W61" s="17">
        <v>1</v>
      </c>
      <c r="X61" s="17"/>
      <c r="Y61" s="17">
        <v>1</v>
      </c>
      <c r="Z61" s="17"/>
      <c r="AA61" s="17"/>
      <c r="AB61" s="17"/>
      <c r="AC61" s="17">
        <v>2</v>
      </c>
      <c r="AD61" s="17">
        <v>1</v>
      </c>
      <c r="AE61" s="17"/>
      <c r="AF61" s="17">
        <v>1</v>
      </c>
      <c r="AG61" s="17">
        <v>1</v>
      </c>
      <c r="AH61" s="17"/>
      <c r="AI61" s="17"/>
      <c r="AJ61" s="18"/>
      <c r="AK61" s="17"/>
      <c r="AL61" s="17">
        <v>1</v>
      </c>
      <c r="AM61" s="17">
        <v>1</v>
      </c>
      <c r="AN61" s="18"/>
      <c r="AO61" s="17">
        <v>1</v>
      </c>
      <c r="AP61" s="17">
        <v>2</v>
      </c>
      <c r="AQ61" s="17">
        <v>1</v>
      </c>
      <c r="AR61" s="17"/>
      <c r="AS61" s="17">
        <v>1</v>
      </c>
      <c r="AT61" s="17"/>
      <c r="AU61" s="17">
        <v>1</v>
      </c>
      <c r="AV61" s="17"/>
      <c r="AW61" s="17">
        <v>1</v>
      </c>
      <c r="AX61" s="17"/>
      <c r="AY61" s="17"/>
      <c r="AZ61" s="17"/>
      <c r="BA61" s="17"/>
      <c r="BB61" s="17"/>
      <c r="BC61" s="19" cm="1">
        <f t="array" ref="BC61">SUMPRODUCT(--(D61:BB61=INT(D61:BB61)),--(D61:BB61&gt;0))</f>
        <v>21</v>
      </c>
      <c r="BD61" s="19">
        <f t="shared" si="0"/>
        <v>23</v>
      </c>
      <c r="BF61" s="21"/>
      <c r="BG61" s="21"/>
      <c r="BH61" s="21"/>
      <c r="BI61" s="21"/>
      <c r="BJ61" s="21"/>
      <c r="BK61" s="21"/>
      <c r="BL61" s="21"/>
      <c r="BM61" s="21"/>
      <c r="BN61" s="26"/>
      <c r="BO61" s="21">
        <f t="shared" si="3"/>
        <v>0</v>
      </c>
    </row>
    <row r="62" customHeight="1" spans="1:67">
      <c r="A62" s="23"/>
      <c r="B62" s="15"/>
      <c r="C62" s="16">
        <v>2</v>
      </c>
      <c r="D62" s="17"/>
      <c r="E62" s="17"/>
      <c r="F62" s="17">
        <v>1</v>
      </c>
      <c r="G62" s="17"/>
      <c r="H62" s="17"/>
      <c r="I62" s="17">
        <v>1</v>
      </c>
      <c r="J62" s="17">
        <v>1</v>
      </c>
      <c r="K62" s="17"/>
      <c r="L62" s="17">
        <v>2</v>
      </c>
      <c r="M62" s="17"/>
      <c r="N62" s="17">
        <v>1</v>
      </c>
      <c r="O62" s="17"/>
      <c r="P62" s="17">
        <v>1</v>
      </c>
      <c r="Q62" s="17">
        <v>1</v>
      </c>
      <c r="R62" s="17"/>
      <c r="S62" s="17"/>
      <c r="T62" s="17">
        <v>1</v>
      </c>
      <c r="U62" s="17"/>
      <c r="V62" s="17"/>
      <c r="W62" s="17">
        <v>1</v>
      </c>
      <c r="X62" s="17"/>
      <c r="Y62" s="17">
        <v>1</v>
      </c>
      <c r="Z62" s="17"/>
      <c r="AA62" s="17"/>
      <c r="AB62" s="17"/>
      <c r="AC62" s="17"/>
      <c r="AD62" s="17"/>
      <c r="AE62" s="17">
        <v>1</v>
      </c>
      <c r="AF62" s="17">
        <v>2</v>
      </c>
      <c r="AG62" s="17">
        <v>1</v>
      </c>
      <c r="AH62" s="17">
        <v>1</v>
      </c>
      <c r="AI62" s="17"/>
      <c r="AJ62" s="18"/>
      <c r="AK62" s="17"/>
      <c r="AL62" s="17">
        <v>1</v>
      </c>
      <c r="AM62" s="17"/>
      <c r="AN62" s="18"/>
      <c r="AO62" s="17">
        <v>1</v>
      </c>
      <c r="AP62" s="17">
        <v>2</v>
      </c>
      <c r="AQ62" s="17">
        <v>1</v>
      </c>
      <c r="AR62" s="17"/>
      <c r="AS62" s="17">
        <v>1</v>
      </c>
      <c r="AT62" s="17"/>
      <c r="AU62" s="17">
        <v>2</v>
      </c>
      <c r="AV62" s="17"/>
      <c r="AW62" s="17"/>
      <c r="AX62" s="17"/>
      <c r="AY62" s="17"/>
      <c r="AZ62" s="17"/>
      <c r="BA62" s="17"/>
      <c r="BB62" s="17"/>
      <c r="BC62" s="19" cm="1">
        <f t="array" ref="BC62">SUMPRODUCT(--(D62:BB62=INT(D62:BB62)),--(D62:BB62&gt;0))</f>
        <v>20</v>
      </c>
      <c r="BD62" s="19">
        <f t="shared" si="0"/>
        <v>24</v>
      </c>
      <c r="BF62" s="21"/>
      <c r="BG62" s="21"/>
      <c r="BH62" s="21"/>
      <c r="BI62" s="21"/>
      <c r="BJ62" s="21" t="s">
        <v>672</v>
      </c>
      <c r="BK62" s="21"/>
      <c r="BL62" s="21"/>
      <c r="BM62" s="21" t="s">
        <v>678</v>
      </c>
      <c r="BN62" s="26"/>
      <c r="BO62" s="21">
        <f t="shared" si="3"/>
        <v>2</v>
      </c>
    </row>
    <row r="63" customHeight="1" spans="1:67">
      <c r="A63" s="23"/>
      <c r="B63" s="15"/>
      <c r="C63" s="16">
        <v>3</v>
      </c>
      <c r="D63" s="17"/>
      <c r="E63" s="17">
        <v>1</v>
      </c>
      <c r="F63" s="17"/>
      <c r="G63" s="17"/>
      <c r="H63" s="17"/>
      <c r="I63" s="17"/>
      <c r="J63" s="17">
        <v>1</v>
      </c>
      <c r="K63" s="17"/>
      <c r="L63" s="17"/>
      <c r="M63" s="17"/>
      <c r="N63" s="17"/>
      <c r="O63" s="17"/>
      <c r="P63" s="17"/>
      <c r="Q63" s="17"/>
      <c r="R63" s="17"/>
      <c r="S63" s="17"/>
      <c r="T63" s="17">
        <v>1</v>
      </c>
      <c r="U63" s="17"/>
      <c r="V63" s="17"/>
      <c r="W63" s="17">
        <v>1</v>
      </c>
      <c r="X63" s="17"/>
      <c r="Y63" s="17"/>
      <c r="Z63" s="17"/>
      <c r="AA63" s="17"/>
      <c r="AB63" s="17"/>
      <c r="AC63" s="17">
        <v>1</v>
      </c>
      <c r="AD63" s="17">
        <v>1</v>
      </c>
      <c r="AE63" s="17"/>
      <c r="AF63" s="17">
        <v>1</v>
      </c>
      <c r="AG63" s="17">
        <v>1</v>
      </c>
      <c r="AH63" s="17"/>
      <c r="AI63" s="17"/>
      <c r="AJ63" s="18"/>
      <c r="AK63" s="17"/>
      <c r="AL63" s="17"/>
      <c r="AM63" s="17"/>
      <c r="AN63" s="18"/>
      <c r="AO63" s="17">
        <v>1</v>
      </c>
      <c r="AP63" s="17">
        <v>2</v>
      </c>
      <c r="AQ63" s="17">
        <v>2</v>
      </c>
      <c r="AR63" s="17"/>
      <c r="AS63" s="17"/>
      <c r="AT63" s="17"/>
      <c r="AU63" s="17">
        <v>1</v>
      </c>
      <c r="AV63" s="17"/>
      <c r="AW63" s="17"/>
      <c r="AX63" s="17"/>
      <c r="AY63" s="17"/>
      <c r="AZ63" s="17"/>
      <c r="BA63" s="17"/>
      <c r="BB63" s="17"/>
      <c r="BC63" s="19" cm="1">
        <f t="array" ref="BC63">SUMPRODUCT(--(D63:BB63=INT(D63:BB63)),--(D63:BB63&gt;0))</f>
        <v>12</v>
      </c>
      <c r="BD63" s="19">
        <f t="shared" si="0"/>
        <v>14</v>
      </c>
      <c r="BF63" s="21"/>
      <c r="BG63" s="21"/>
      <c r="BH63" s="21"/>
      <c r="BI63" s="21"/>
      <c r="BJ63" s="21"/>
      <c r="BK63" s="21"/>
      <c r="BL63" s="21"/>
      <c r="BM63" s="21"/>
      <c r="BN63" s="26"/>
      <c r="BO63" s="21">
        <f t="shared" si="3"/>
        <v>0</v>
      </c>
    </row>
    <row r="64" customHeight="1" spans="1:67">
      <c r="A64" s="23"/>
      <c r="B64" s="15"/>
      <c r="C64" s="16">
        <v>7</v>
      </c>
      <c r="D64" s="17"/>
      <c r="E64" s="17"/>
      <c r="F64" s="17"/>
      <c r="G64" s="17"/>
      <c r="H64" s="17">
        <v>1</v>
      </c>
      <c r="I64" s="17">
        <v>1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>
        <v>1</v>
      </c>
      <c r="AE64" s="17"/>
      <c r="AF64" s="17"/>
      <c r="AG64" s="17"/>
      <c r="AH64" s="17"/>
      <c r="AI64" s="17"/>
      <c r="AJ64" s="18"/>
      <c r="AK64" s="17"/>
      <c r="AL64" s="17"/>
      <c r="AM64" s="17"/>
      <c r="AN64" s="18"/>
      <c r="AO64" s="17">
        <v>2</v>
      </c>
      <c r="AP64" s="17">
        <v>1</v>
      </c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9" cm="1">
        <f t="array" ref="BC64">SUMPRODUCT(--(D64:BB64=INT(D64:BB64)),--(D64:BB64&gt;0))</f>
        <v>5</v>
      </c>
      <c r="BD64" s="19">
        <f t="shared" si="0"/>
        <v>6</v>
      </c>
      <c r="BF64" s="21"/>
      <c r="BG64" s="21"/>
      <c r="BH64" s="21"/>
      <c r="BI64" s="21"/>
      <c r="BJ64" s="21"/>
      <c r="BK64" s="21"/>
      <c r="BL64" s="21"/>
      <c r="BM64" s="21"/>
      <c r="BN64" s="26"/>
      <c r="BO64" s="21">
        <f t="shared" si="3"/>
        <v>0</v>
      </c>
    </row>
    <row r="65" customHeight="1" spans="1:67">
      <c r="A65" s="23"/>
      <c r="B65" s="15"/>
      <c r="C65" s="16">
        <v>8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8"/>
      <c r="AK65" s="17"/>
      <c r="AL65" s="17"/>
      <c r="AM65" s="17"/>
      <c r="AN65" s="18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9" cm="1">
        <f t="array" ref="BC65">SUMPRODUCT(--(D65:BB65=INT(D65:BB65)),--(D65:BB65&gt;0))</f>
        <v>0</v>
      </c>
      <c r="BD65" s="19">
        <f t="shared" si="0"/>
        <v>0</v>
      </c>
      <c r="BF65" s="21"/>
      <c r="BG65" s="21"/>
      <c r="BH65" s="21" t="s">
        <v>674</v>
      </c>
      <c r="BI65" s="21"/>
      <c r="BJ65" s="21"/>
      <c r="BK65" s="21"/>
      <c r="BL65" s="21"/>
      <c r="BM65" s="21"/>
      <c r="BN65" s="26"/>
      <c r="BO65" s="21">
        <f t="shared" si="3"/>
        <v>1</v>
      </c>
    </row>
    <row r="66" customHeight="1" spans="1:67">
      <c r="A66" s="23"/>
      <c r="B66" s="15"/>
      <c r="C66" s="16">
        <v>9</v>
      </c>
      <c r="D66" s="17"/>
      <c r="E66" s="17">
        <v>1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>
        <v>1</v>
      </c>
      <c r="AC66" s="17"/>
      <c r="AD66" s="17"/>
      <c r="AE66" s="17"/>
      <c r="AF66" s="17"/>
      <c r="AG66" s="17"/>
      <c r="AH66" s="17"/>
      <c r="AI66" s="17"/>
      <c r="AJ66" s="18"/>
      <c r="AK66" s="17"/>
      <c r="AL66" s="17">
        <v>1</v>
      </c>
      <c r="AM66" s="17"/>
      <c r="AN66" s="18"/>
      <c r="AO66" s="17">
        <v>1</v>
      </c>
      <c r="AP66" s="17">
        <v>1</v>
      </c>
      <c r="AQ66" s="17">
        <v>1</v>
      </c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9" cm="1">
        <f t="array" ref="BC66">SUMPRODUCT(--(D66:BB66=INT(D66:BB66)),--(D66:BB66&gt;0))</f>
        <v>6</v>
      </c>
      <c r="BD66" s="19">
        <f t="shared" ref="BD66:BD101" si="4">SUM(D66:BB66)</f>
        <v>6</v>
      </c>
      <c r="BF66" s="21"/>
      <c r="BG66" s="21"/>
      <c r="BH66" s="21"/>
      <c r="BI66" s="21"/>
      <c r="BJ66" s="21"/>
      <c r="BK66" s="21"/>
      <c r="BL66" s="21"/>
      <c r="BM66" s="21"/>
      <c r="BN66" s="26"/>
      <c r="BO66" s="21">
        <f t="shared" si="3"/>
        <v>0</v>
      </c>
    </row>
    <row r="67" customHeight="1" spans="1:67">
      <c r="A67" s="23"/>
      <c r="B67" s="15"/>
      <c r="C67" s="16">
        <v>10</v>
      </c>
      <c r="D67" s="17"/>
      <c r="E67" s="17">
        <v>1</v>
      </c>
      <c r="F67" s="17"/>
      <c r="G67" s="17"/>
      <c r="H67" s="17"/>
      <c r="I67" s="17">
        <v>1</v>
      </c>
      <c r="J67" s="17"/>
      <c r="K67" s="17"/>
      <c r="L67" s="17"/>
      <c r="M67" s="17"/>
      <c r="N67" s="17">
        <v>1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>
        <v>1</v>
      </c>
      <c r="Z67" s="17"/>
      <c r="AA67" s="17"/>
      <c r="AB67" s="17"/>
      <c r="AC67" s="17"/>
      <c r="AD67" s="17"/>
      <c r="AE67" s="17">
        <v>1</v>
      </c>
      <c r="AF67" s="17"/>
      <c r="AG67" s="17"/>
      <c r="AH67" s="17"/>
      <c r="AI67" s="17"/>
      <c r="AJ67" s="18"/>
      <c r="AK67" s="17"/>
      <c r="AL67" s="17"/>
      <c r="AM67" s="17"/>
      <c r="AN67" s="18"/>
      <c r="AO67" s="17">
        <v>1</v>
      </c>
      <c r="AP67" s="17">
        <v>1</v>
      </c>
      <c r="AQ67" s="17"/>
      <c r="AR67" s="17"/>
      <c r="AS67" s="17">
        <v>1</v>
      </c>
      <c r="AT67" s="17"/>
      <c r="AU67" s="17">
        <v>1</v>
      </c>
      <c r="AV67" s="17"/>
      <c r="AW67" s="17">
        <v>1</v>
      </c>
      <c r="AX67" s="17"/>
      <c r="AY67" s="17"/>
      <c r="AZ67" s="17"/>
      <c r="BA67" s="17"/>
      <c r="BB67" s="17"/>
      <c r="BC67" s="19" cm="1">
        <f t="array" ref="BC67">SUMPRODUCT(--(D67:BB67=INT(D67:BB67)),--(D67:BB67&gt;0))</f>
        <v>10</v>
      </c>
      <c r="BD67" s="19">
        <f t="shared" si="4"/>
        <v>10</v>
      </c>
      <c r="BF67" s="21"/>
      <c r="BG67" s="21"/>
      <c r="BH67" s="21"/>
      <c r="BI67" s="21"/>
      <c r="BJ67" s="21"/>
      <c r="BK67" s="21"/>
      <c r="BL67" s="21" t="s">
        <v>675</v>
      </c>
      <c r="BM67" s="21"/>
      <c r="BN67" s="26"/>
      <c r="BO67" s="21">
        <f t="shared" si="3"/>
        <v>1</v>
      </c>
    </row>
    <row r="68" customHeight="1" spans="1:67">
      <c r="A68" s="23"/>
      <c r="B68" s="15"/>
      <c r="C68" s="16">
        <v>13</v>
      </c>
      <c r="D68" s="17"/>
      <c r="E68" s="17"/>
      <c r="F68" s="17"/>
      <c r="G68" s="17"/>
      <c r="H68" s="17"/>
      <c r="I68" s="17"/>
      <c r="J68" s="17"/>
      <c r="K68" s="17"/>
      <c r="L68" s="17">
        <v>1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8"/>
      <c r="AK68" s="17"/>
      <c r="AL68" s="17"/>
      <c r="AM68" s="17"/>
      <c r="AN68" s="18"/>
      <c r="AO68" s="17">
        <v>1</v>
      </c>
      <c r="AP68" s="17"/>
      <c r="AQ68" s="17"/>
      <c r="AR68" s="17"/>
      <c r="AS68" s="17"/>
      <c r="AT68" s="17"/>
      <c r="AU68" s="17">
        <v>1</v>
      </c>
      <c r="AV68" s="17"/>
      <c r="AW68" s="17"/>
      <c r="AX68" s="17"/>
      <c r="AY68" s="17"/>
      <c r="AZ68" s="17"/>
      <c r="BA68" s="17"/>
      <c r="BB68" s="17"/>
      <c r="BC68" s="19" cm="1">
        <f t="array" ref="BC68">SUMPRODUCT(--(D68:BB68=INT(D68:BB68)),--(D68:BB68&gt;0))</f>
        <v>3</v>
      </c>
      <c r="BD68" s="19">
        <f t="shared" si="4"/>
        <v>3</v>
      </c>
      <c r="BF68" s="21"/>
      <c r="BG68" s="21" t="s">
        <v>673</v>
      </c>
      <c r="BH68" s="21"/>
      <c r="BI68" s="21"/>
      <c r="BJ68" s="21"/>
      <c r="BK68" s="21"/>
      <c r="BL68" s="21"/>
      <c r="BM68" s="21"/>
      <c r="BN68" s="26"/>
      <c r="BO68" s="21">
        <f t="shared" si="3"/>
        <v>1</v>
      </c>
    </row>
    <row r="69" customHeight="1" spans="1:67">
      <c r="A69" s="23"/>
      <c r="B69" s="15"/>
      <c r="C69" s="16">
        <v>14</v>
      </c>
      <c r="D69" s="17"/>
      <c r="E69" s="17"/>
      <c r="F69" s="17"/>
      <c r="G69" s="17"/>
      <c r="H69" s="17"/>
      <c r="I69" s="17">
        <v>1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>
        <v>1</v>
      </c>
      <c r="AI69" s="17"/>
      <c r="AJ69" s="18"/>
      <c r="AK69" s="17"/>
      <c r="AL69" s="17"/>
      <c r="AM69" s="17"/>
      <c r="AN69" s="18"/>
      <c r="AO69" s="17">
        <v>2</v>
      </c>
      <c r="AP69" s="17"/>
      <c r="AQ69" s="17"/>
      <c r="AR69" s="17"/>
      <c r="AS69" s="17">
        <v>1</v>
      </c>
      <c r="AT69" s="17"/>
      <c r="AU69" s="17">
        <v>1</v>
      </c>
      <c r="AV69" s="17"/>
      <c r="AW69" s="17"/>
      <c r="AX69" s="17"/>
      <c r="AY69" s="17"/>
      <c r="AZ69" s="17"/>
      <c r="BA69" s="17"/>
      <c r="BB69" s="17"/>
      <c r="BC69" s="19" cm="1">
        <f t="array" ref="BC69">SUMPRODUCT(--(D69:BB69=INT(D69:BB69)),--(D69:BB69&gt;0))</f>
        <v>5</v>
      </c>
      <c r="BD69" s="19">
        <f t="shared" si="4"/>
        <v>6</v>
      </c>
      <c r="BF69" s="21"/>
      <c r="BG69" s="21"/>
      <c r="BH69" s="21"/>
      <c r="BI69" s="21"/>
      <c r="BJ69" s="21" t="s">
        <v>675</v>
      </c>
      <c r="BK69" s="21"/>
      <c r="BL69" s="21"/>
      <c r="BM69" s="21"/>
      <c r="BN69" s="26"/>
      <c r="BO69" s="21">
        <f t="shared" si="3"/>
        <v>1</v>
      </c>
    </row>
    <row r="70" customHeight="1" spans="1:67">
      <c r="A70" s="23"/>
      <c r="B70" s="15"/>
      <c r="C70" s="16">
        <v>15</v>
      </c>
      <c r="D70" s="17"/>
      <c r="E70" s="17">
        <v>1</v>
      </c>
      <c r="F70" s="17"/>
      <c r="G70" s="17"/>
      <c r="H70" s="17"/>
      <c r="I70" s="17"/>
      <c r="J70" s="17">
        <v>2</v>
      </c>
      <c r="K70" s="17"/>
      <c r="L70" s="17"/>
      <c r="M70" s="17">
        <v>1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>
        <v>1</v>
      </c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8"/>
      <c r="AK70" s="17"/>
      <c r="AL70" s="17"/>
      <c r="AM70" s="17"/>
      <c r="AN70" s="18"/>
      <c r="AO70" s="17">
        <v>1</v>
      </c>
      <c r="AP70" s="17"/>
      <c r="AQ70" s="17">
        <v>1</v>
      </c>
      <c r="AR70" s="17"/>
      <c r="AS70" s="17">
        <v>1</v>
      </c>
      <c r="AT70" s="17"/>
      <c r="AU70" s="17"/>
      <c r="AV70" s="17"/>
      <c r="AW70" s="17"/>
      <c r="AX70" s="17"/>
      <c r="AY70" s="17"/>
      <c r="AZ70" s="17"/>
      <c r="BA70" s="17"/>
      <c r="BB70" s="17"/>
      <c r="BC70" s="19" cm="1">
        <f t="array" ref="BC70">SUMPRODUCT(--(D70:BB70=INT(D70:BB70)),--(D70:BB70&gt;0))</f>
        <v>7</v>
      </c>
      <c r="BD70" s="19">
        <f t="shared" si="4"/>
        <v>8</v>
      </c>
      <c r="BF70" s="21"/>
      <c r="BG70" s="21"/>
      <c r="BH70" s="21" t="s">
        <v>674</v>
      </c>
      <c r="BI70" s="21"/>
      <c r="BJ70" s="21"/>
      <c r="BK70" s="21"/>
      <c r="BL70" s="21"/>
      <c r="BM70" s="21"/>
      <c r="BN70" s="26"/>
      <c r="BO70" s="21">
        <f t="shared" si="3"/>
        <v>1</v>
      </c>
    </row>
    <row r="71" customHeight="1" spans="1:67">
      <c r="A71" s="23"/>
      <c r="B71" s="15"/>
      <c r="C71" s="16">
        <v>16</v>
      </c>
      <c r="D71" s="17"/>
      <c r="E71" s="17">
        <v>1</v>
      </c>
      <c r="F71" s="17"/>
      <c r="G71" s="17"/>
      <c r="H71" s="17"/>
      <c r="I71" s="17">
        <v>1</v>
      </c>
      <c r="J71" s="17"/>
      <c r="K71" s="17"/>
      <c r="L71" s="17">
        <v>1</v>
      </c>
      <c r="M71" s="17"/>
      <c r="N71" s="17"/>
      <c r="O71" s="17">
        <v>1</v>
      </c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8"/>
      <c r="AK71" s="17"/>
      <c r="AL71" s="17"/>
      <c r="AM71" s="17"/>
      <c r="AN71" s="18"/>
      <c r="AO71" s="17"/>
      <c r="AP71" s="17"/>
      <c r="AQ71" s="17">
        <v>1</v>
      </c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9" cm="1">
        <f t="array" ref="BC71">SUMPRODUCT(--(D71:BB71=INT(D71:BB71)),--(D71:BB71&gt;0))</f>
        <v>5</v>
      </c>
      <c r="BD71" s="19">
        <f t="shared" si="4"/>
        <v>5</v>
      </c>
      <c r="BF71" s="21"/>
      <c r="BG71" s="21"/>
      <c r="BH71" s="21"/>
      <c r="BI71" s="21"/>
      <c r="BJ71" s="21"/>
      <c r="BK71" s="21"/>
      <c r="BL71" s="21"/>
      <c r="BM71" s="21"/>
      <c r="BN71" s="26"/>
      <c r="BO71" s="21">
        <f t="shared" si="3"/>
        <v>0</v>
      </c>
    </row>
    <row r="72" customHeight="1" spans="1:67">
      <c r="A72" s="23"/>
      <c r="B72" s="15"/>
      <c r="C72" s="16">
        <v>17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8"/>
      <c r="AK72" s="17"/>
      <c r="AL72" s="17"/>
      <c r="AM72" s="17"/>
      <c r="AN72" s="18"/>
      <c r="AO72" s="17"/>
      <c r="AP72" s="17"/>
      <c r="AQ72" s="17"/>
      <c r="AR72" s="17"/>
      <c r="AS72" s="17"/>
      <c r="AT72" s="17"/>
      <c r="AU72" s="17">
        <v>1</v>
      </c>
      <c r="AV72" s="17"/>
      <c r="AW72" s="17"/>
      <c r="AX72" s="17"/>
      <c r="AY72" s="17"/>
      <c r="AZ72" s="17"/>
      <c r="BA72" s="17"/>
      <c r="BB72" s="17"/>
      <c r="BC72" s="19" cm="1">
        <f t="array" ref="BC72">SUMPRODUCT(--(D72:BB72=INT(D72:BB72)),--(D72:BB72&gt;0))</f>
        <v>1</v>
      </c>
      <c r="BD72" s="19">
        <f t="shared" si="4"/>
        <v>1</v>
      </c>
      <c r="BF72" s="21"/>
      <c r="BG72" s="21"/>
      <c r="BH72" s="21" t="s">
        <v>678</v>
      </c>
      <c r="BI72" s="21" t="s">
        <v>674</v>
      </c>
      <c r="BJ72" s="21"/>
      <c r="BK72" s="21"/>
      <c r="BL72" s="21" t="s">
        <v>675</v>
      </c>
      <c r="BM72" s="21"/>
      <c r="BN72" s="26"/>
      <c r="BO72" s="21">
        <f t="shared" si="3"/>
        <v>3</v>
      </c>
    </row>
    <row r="73" customHeight="1" spans="1:67">
      <c r="A73" s="23"/>
      <c r="B73" s="15"/>
      <c r="C73" s="16">
        <v>23</v>
      </c>
      <c r="D73" s="17"/>
      <c r="E73" s="17"/>
      <c r="F73" s="17"/>
      <c r="G73" s="17"/>
      <c r="H73" s="17"/>
      <c r="I73" s="17"/>
      <c r="J73" s="17">
        <v>1</v>
      </c>
      <c r="K73" s="17">
        <v>1</v>
      </c>
      <c r="L73" s="17">
        <v>1</v>
      </c>
      <c r="M73" s="17"/>
      <c r="N73" s="17"/>
      <c r="O73" s="17"/>
      <c r="P73" s="17">
        <v>1</v>
      </c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8"/>
      <c r="AK73" s="17"/>
      <c r="AL73" s="17"/>
      <c r="AM73" s="17">
        <v>2</v>
      </c>
      <c r="AN73" s="18"/>
      <c r="AO73" s="17">
        <v>1</v>
      </c>
      <c r="AP73" s="17">
        <v>2</v>
      </c>
      <c r="AQ73" s="17"/>
      <c r="AR73" s="17"/>
      <c r="AS73" s="17">
        <v>1</v>
      </c>
      <c r="AT73" s="17"/>
      <c r="AU73" s="17">
        <v>1</v>
      </c>
      <c r="AV73" s="17"/>
      <c r="AW73" s="17"/>
      <c r="AX73" s="17">
        <v>1</v>
      </c>
      <c r="AY73" s="17"/>
      <c r="AZ73" s="17"/>
      <c r="BA73" s="17"/>
      <c r="BB73" s="17"/>
      <c r="BC73" s="19" cm="1">
        <f t="array" ref="BC73">SUMPRODUCT(--(D73:BB73=INT(D73:BB73)),--(D73:BB73&gt;0))</f>
        <v>10</v>
      </c>
      <c r="BD73" s="19">
        <f t="shared" si="4"/>
        <v>12</v>
      </c>
      <c r="BF73" s="21"/>
      <c r="BG73" s="21"/>
      <c r="BH73" s="21" t="s">
        <v>673</v>
      </c>
      <c r="BI73" s="21"/>
      <c r="BJ73" s="21"/>
      <c r="BK73" s="21"/>
      <c r="BL73" s="21" t="s">
        <v>677</v>
      </c>
      <c r="BM73" s="21"/>
      <c r="BN73" s="26"/>
      <c r="BO73" s="21">
        <f t="shared" si="3"/>
        <v>2</v>
      </c>
    </row>
    <row r="74" customHeight="1" spans="1:67">
      <c r="A74" s="23"/>
      <c r="B74" s="15"/>
      <c r="C74" s="16">
        <v>24</v>
      </c>
      <c r="D74" s="17"/>
      <c r="E74" s="17"/>
      <c r="F74" s="17">
        <v>1</v>
      </c>
      <c r="G74" s="17"/>
      <c r="H74" s="17"/>
      <c r="I74" s="17"/>
      <c r="J74" s="17">
        <v>1</v>
      </c>
      <c r="K74" s="17"/>
      <c r="L74" s="17"/>
      <c r="M74" s="17"/>
      <c r="N74" s="17"/>
      <c r="O74" s="17"/>
      <c r="P74" s="17">
        <v>1</v>
      </c>
      <c r="Q74" s="17"/>
      <c r="R74" s="17"/>
      <c r="S74" s="17"/>
      <c r="T74" s="17">
        <v>1</v>
      </c>
      <c r="U74" s="17"/>
      <c r="V74" s="17"/>
      <c r="W74" s="17">
        <v>1</v>
      </c>
      <c r="X74" s="17"/>
      <c r="Y74" s="17">
        <v>1</v>
      </c>
      <c r="Z74" s="17"/>
      <c r="AA74" s="17"/>
      <c r="AB74" s="17"/>
      <c r="AC74" s="17"/>
      <c r="AD74" s="17"/>
      <c r="AE74" s="17"/>
      <c r="AF74" s="17">
        <v>1</v>
      </c>
      <c r="AG74" s="17">
        <v>2</v>
      </c>
      <c r="AH74" s="17">
        <v>1</v>
      </c>
      <c r="AI74" s="17"/>
      <c r="AJ74" s="18"/>
      <c r="AK74" s="17"/>
      <c r="AL74" s="17">
        <v>1</v>
      </c>
      <c r="AM74" s="17"/>
      <c r="AN74" s="18"/>
      <c r="AO74" s="17">
        <v>1</v>
      </c>
      <c r="AP74" s="17"/>
      <c r="AQ74" s="17">
        <v>1</v>
      </c>
      <c r="AR74" s="17"/>
      <c r="AS74" s="17">
        <v>1</v>
      </c>
      <c r="AT74" s="17"/>
      <c r="AU74" s="17">
        <v>2</v>
      </c>
      <c r="AV74" s="17"/>
      <c r="AW74" s="17">
        <v>1</v>
      </c>
      <c r="AX74" s="17">
        <v>1</v>
      </c>
      <c r="AY74" s="17">
        <v>1</v>
      </c>
      <c r="AZ74" s="17"/>
      <c r="BA74" s="17"/>
      <c r="BB74" s="17"/>
      <c r="BC74" s="19" cm="1">
        <f t="array" ref="BC74">SUMPRODUCT(--(D74:BB74=INT(D74:BB74)),--(D74:BB74&gt;0))</f>
        <v>17</v>
      </c>
      <c r="BD74" s="19">
        <f t="shared" si="4"/>
        <v>19</v>
      </c>
      <c r="BF74" s="21"/>
      <c r="BG74" s="21"/>
      <c r="BH74" s="21"/>
      <c r="BI74" s="21"/>
      <c r="BJ74" s="21"/>
      <c r="BK74" s="21"/>
      <c r="BL74" s="21"/>
      <c r="BM74" s="21"/>
      <c r="BN74" s="26"/>
      <c r="BO74" s="21">
        <f t="shared" si="3"/>
        <v>0</v>
      </c>
    </row>
    <row r="75" customHeight="1" spans="1:67">
      <c r="A75" s="23"/>
      <c r="B75" s="15"/>
      <c r="C75" s="16">
        <v>27</v>
      </c>
      <c r="D75" s="17"/>
      <c r="E75" s="17"/>
      <c r="F75" s="17">
        <v>1</v>
      </c>
      <c r="G75" s="17"/>
      <c r="H75" s="17"/>
      <c r="I75" s="17">
        <v>1</v>
      </c>
      <c r="J75" s="17">
        <v>1</v>
      </c>
      <c r="K75" s="17"/>
      <c r="L75" s="17"/>
      <c r="M75" s="17"/>
      <c r="N75" s="17">
        <v>1</v>
      </c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>
        <v>1</v>
      </c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8"/>
      <c r="AK75" s="17"/>
      <c r="AL75" s="17"/>
      <c r="AM75" s="17"/>
      <c r="AN75" s="18"/>
      <c r="AO75" s="17"/>
      <c r="AP75" s="17">
        <v>1</v>
      </c>
      <c r="AQ75" s="17"/>
      <c r="AR75" s="17"/>
      <c r="AS75" s="17">
        <v>1</v>
      </c>
      <c r="AT75" s="17"/>
      <c r="AU75" s="17">
        <v>2</v>
      </c>
      <c r="AV75" s="17"/>
      <c r="AW75" s="17">
        <v>1</v>
      </c>
      <c r="AX75" s="17">
        <v>1</v>
      </c>
      <c r="AY75" s="17"/>
      <c r="AZ75" s="17"/>
      <c r="BA75" s="17"/>
      <c r="BB75" s="17"/>
      <c r="BC75" s="19" cm="1">
        <f t="array" ref="BC75">SUMPRODUCT(--(D75:BB75=INT(D75:BB75)),--(D75:BB75&gt;0))</f>
        <v>10</v>
      </c>
      <c r="BD75" s="19">
        <f t="shared" si="4"/>
        <v>11</v>
      </c>
      <c r="BF75" s="21"/>
      <c r="BG75" s="21" t="s">
        <v>673</v>
      </c>
      <c r="BH75" s="21"/>
      <c r="BI75" s="21"/>
      <c r="BJ75" s="21"/>
      <c r="BK75" s="21"/>
      <c r="BL75" s="21"/>
      <c r="BM75" s="21"/>
      <c r="BN75" s="26"/>
      <c r="BO75" s="21">
        <f t="shared" si="3"/>
        <v>1</v>
      </c>
    </row>
    <row r="76" customHeight="1" spans="1:67">
      <c r="A76" s="23"/>
      <c r="B76" s="15"/>
      <c r="C76" s="16">
        <v>28</v>
      </c>
      <c r="D76" s="17"/>
      <c r="E76" s="17"/>
      <c r="F76" s="17"/>
      <c r="G76" s="17"/>
      <c r="H76" s="17"/>
      <c r="I76" s="17"/>
      <c r="J76" s="17">
        <v>1</v>
      </c>
      <c r="K76" s="17"/>
      <c r="L76" s="17"/>
      <c r="M76" s="17"/>
      <c r="N76" s="17"/>
      <c r="O76" s="17"/>
      <c r="P76" s="17">
        <v>1</v>
      </c>
      <c r="Q76" s="17"/>
      <c r="R76" s="17">
        <v>1</v>
      </c>
      <c r="S76" s="17"/>
      <c r="T76" s="17"/>
      <c r="U76" s="17"/>
      <c r="V76" s="17"/>
      <c r="W76" s="17">
        <v>1</v>
      </c>
      <c r="X76" s="17"/>
      <c r="Y76" s="17">
        <v>1</v>
      </c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8"/>
      <c r="AK76" s="17"/>
      <c r="AL76" s="17"/>
      <c r="AM76" s="17"/>
      <c r="AN76" s="18"/>
      <c r="AO76" s="17"/>
      <c r="AP76" s="17">
        <v>1</v>
      </c>
      <c r="AQ76" s="17"/>
      <c r="AR76" s="17">
        <v>1</v>
      </c>
      <c r="AS76" s="17"/>
      <c r="AT76" s="17"/>
      <c r="AU76" s="17">
        <v>2</v>
      </c>
      <c r="AV76" s="17"/>
      <c r="AW76" s="17"/>
      <c r="AX76" s="17">
        <v>1</v>
      </c>
      <c r="AY76" s="17"/>
      <c r="AZ76" s="17"/>
      <c r="BA76" s="17"/>
      <c r="BB76" s="17"/>
      <c r="BC76" s="19" cm="1">
        <f t="array" ref="BC76">SUMPRODUCT(--(D76:BB76=INT(D76:BB76)),--(D76:BB76&gt;0))</f>
        <v>9</v>
      </c>
      <c r="BD76" s="19">
        <f t="shared" si="4"/>
        <v>10</v>
      </c>
      <c r="BF76" s="21"/>
      <c r="BG76" s="21"/>
      <c r="BH76" s="21"/>
      <c r="BI76" s="21"/>
      <c r="BJ76" s="21"/>
      <c r="BK76" s="21"/>
      <c r="BL76" s="21"/>
      <c r="BM76" s="21"/>
      <c r="BN76" s="26"/>
      <c r="BO76" s="21">
        <f t="shared" si="3"/>
        <v>0</v>
      </c>
    </row>
    <row r="77" customHeight="1" spans="1:67">
      <c r="A77" s="23"/>
      <c r="B77" s="15"/>
      <c r="C77" s="16">
        <v>29</v>
      </c>
      <c r="D77" s="17"/>
      <c r="E77" s="17">
        <v>2</v>
      </c>
      <c r="F77" s="17">
        <v>1</v>
      </c>
      <c r="G77" s="17"/>
      <c r="H77" s="17"/>
      <c r="I77" s="17">
        <v>1</v>
      </c>
      <c r="J77" s="17">
        <v>2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>
        <v>3</v>
      </c>
      <c r="X77" s="17"/>
      <c r="Y77" s="17">
        <v>3</v>
      </c>
      <c r="Z77" s="17"/>
      <c r="AA77" s="17"/>
      <c r="AB77" s="17"/>
      <c r="AC77" s="17"/>
      <c r="AD77" s="17">
        <v>1</v>
      </c>
      <c r="AE77" s="17"/>
      <c r="AF77" s="17"/>
      <c r="AG77" s="17"/>
      <c r="AH77" s="17"/>
      <c r="AI77" s="17"/>
      <c r="AJ77" s="18"/>
      <c r="AK77" s="17"/>
      <c r="AL77" s="17"/>
      <c r="AM77" s="17">
        <v>1</v>
      </c>
      <c r="AN77" s="18"/>
      <c r="AO77" s="17">
        <v>1</v>
      </c>
      <c r="AP77" s="17">
        <v>1</v>
      </c>
      <c r="AQ77" s="17"/>
      <c r="AR77" s="17"/>
      <c r="AS77" s="17"/>
      <c r="AT77" s="17"/>
      <c r="AU77" s="17">
        <v>1</v>
      </c>
      <c r="AV77" s="17"/>
      <c r="AW77" s="17">
        <v>1</v>
      </c>
      <c r="AX77" s="17"/>
      <c r="AY77" s="17"/>
      <c r="AZ77" s="17"/>
      <c r="BA77" s="17"/>
      <c r="BB77" s="17"/>
      <c r="BC77" s="19" cm="1">
        <f t="array" ref="BC77">SUMPRODUCT(--(D77:BB77=INT(D77:BB77)),--(D77:BB77&gt;0))</f>
        <v>12</v>
      </c>
      <c r="BD77" s="19">
        <f t="shared" si="4"/>
        <v>18</v>
      </c>
      <c r="BF77" s="21"/>
      <c r="BG77" s="21"/>
      <c r="BH77" s="21"/>
      <c r="BI77" s="21"/>
      <c r="BJ77" s="21"/>
      <c r="BK77" s="21"/>
      <c r="BL77" s="21" t="s">
        <v>678</v>
      </c>
      <c r="BM77" s="21"/>
      <c r="BN77" s="26"/>
      <c r="BO77" s="21">
        <f t="shared" si="3"/>
        <v>1</v>
      </c>
    </row>
    <row r="78" customHeight="1" spans="1:67">
      <c r="A78" s="23"/>
      <c r="B78" s="15"/>
      <c r="C78" s="16">
        <v>30</v>
      </c>
      <c r="D78" s="17"/>
      <c r="E78" s="17">
        <v>1</v>
      </c>
      <c r="F78" s="17">
        <v>1</v>
      </c>
      <c r="G78" s="17"/>
      <c r="H78" s="17"/>
      <c r="I78" s="17">
        <v>1</v>
      </c>
      <c r="J78" s="17">
        <v>1</v>
      </c>
      <c r="K78" s="17"/>
      <c r="L78" s="17"/>
      <c r="M78" s="17"/>
      <c r="N78" s="17"/>
      <c r="O78" s="17">
        <v>1</v>
      </c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>
        <v>2</v>
      </c>
      <c r="AD78" s="17"/>
      <c r="AE78" s="17"/>
      <c r="AF78" s="17"/>
      <c r="AG78" s="17">
        <v>1</v>
      </c>
      <c r="AH78" s="17"/>
      <c r="AI78" s="17"/>
      <c r="AJ78" s="18"/>
      <c r="AK78" s="17"/>
      <c r="AL78" s="17"/>
      <c r="AM78" s="17">
        <v>1</v>
      </c>
      <c r="AN78" s="18"/>
      <c r="AO78" s="17"/>
      <c r="AP78" s="17">
        <v>1</v>
      </c>
      <c r="AQ78" s="17"/>
      <c r="AR78" s="17"/>
      <c r="AS78" s="17">
        <v>1</v>
      </c>
      <c r="AT78" s="17"/>
      <c r="AU78" s="17">
        <v>1</v>
      </c>
      <c r="AV78" s="17"/>
      <c r="AW78" s="17">
        <v>1</v>
      </c>
      <c r="AX78" s="17">
        <v>1</v>
      </c>
      <c r="AY78" s="17"/>
      <c r="AZ78" s="17"/>
      <c r="BA78" s="17"/>
      <c r="BB78" s="17"/>
      <c r="BC78" s="19" cm="1">
        <f t="array" ref="BC78">SUMPRODUCT(--(D78:BB78=INT(D78:BB78)),--(D78:BB78&gt;0))</f>
        <v>13</v>
      </c>
      <c r="BD78" s="19">
        <f t="shared" si="4"/>
        <v>14</v>
      </c>
      <c r="BF78" s="21"/>
      <c r="BG78" s="21"/>
      <c r="BH78" s="21"/>
      <c r="BI78" s="21" t="s">
        <v>673</v>
      </c>
      <c r="BJ78" s="21"/>
      <c r="BK78" s="21"/>
      <c r="BL78" s="21"/>
      <c r="BM78" s="21"/>
      <c r="BN78" s="26"/>
      <c r="BO78" s="21">
        <f t="shared" si="3"/>
        <v>1</v>
      </c>
    </row>
    <row r="79" customHeight="1" spans="1:67">
      <c r="A79" s="23"/>
      <c r="B79" s="15">
        <v>5</v>
      </c>
      <c r="C79" s="16">
        <v>6</v>
      </c>
      <c r="D79" s="17"/>
      <c r="E79" s="17"/>
      <c r="F79" s="17"/>
      <c r="G79" s="17"/>
      <c r="H79" s="17"/>
      <c r="I79" s="17">
        <v>1</v>
      </c>
      <c r="J79" s="17"/>
      <c r="K79" s="17"/>
      <c r="L79" s="17"/>
      <c r="M79" s="17">
        <v>1</v>
      </c>
      <c r="N79" s="17"/>
      <c r="O79" s="17"/>
      <c r="P79" s="17">
        <v>1</v>
      </c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17"/>
      <c r="AL79" s="17"/>
      <c r="AM79" s="17"/>
      <c r="AN79" s="18"/>
      <c r="AO79" s="17">
        <v>1</v>
      </c>
      <c r="AP79" s="17"/>
      <c r="AQ79" s="17">
        <v>1</v>
      </c>
      <c r="AR79" s="17"/>
      <c r="AS79" s="17">
        <v>1</v>
      </c>
      <c r="AT79" s="17"/>
      <c r="AU79" s="17"/>
      <c r="AV79" s="17"/>
      <c r="AW79" s="17"/>
      <c r="AX79" s="17">
        <v>1</v>
      </c>
      <c r="AY79" s="17"/>
      <c r="AZ79" s="17"/>
      <c r="BA79" s="17"/>
      <c r="BB79" s="17"/>
      <c r="BC79" s="19" cm="1">
        <f t="array" ref="BC79">SUMPRODUCT(--(D79:BB79=INT(D79:BB79)),--(D79:BB79&gt;0))</f>
        <v>7</v>
      </c>
      <c r="BD79" s="19">
        <f t="shared" si="4"/>
        <v>7</v>
      </c>
      <c r="BF79" s="21"/>
      <c r="BG79" s="21"/>
      <c r="BH79" s="21"/>
      <c r="BI79" s="21"/>
      <c r="BJ79" s="21"/>
      <c r="BK79" s="21"/>
      <c r="BL79" s="21"/>
      <c r="BM79" s="21"/>
      <c r="BN79" s="26"/>
      <c r="BO79" s="21">
        <f t="shared" si="3"/>
        <v>0</v>
      </c>
    </row>
    <row r="80" customHeight="1" spans="1:67">
      <c r="A80" s="23"/>
      <c r="B80" s="15"/>
      <c r="C80" s="16">
        <v>7</v>
      </c>
      <c r="D80" s="17"/>
      <c r="E80" s="17">
        <v>1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>
        <v>2</v>
      </c>
      <c r="AD80" s="17"/>
      <c r="AE80" s="17"/>
      <c r="AF80" s="17">
        <v>1</v>
      </c>
      <c r="AG80" s="17">
        <v>1</v>
      </c>
      <c r="AH80" s="17"/>
      <c r="AI80" s="17"/>
      <c r="AJ80" s="18"/>
      <c r="AK80" s="17"/>
      <c r="AL80" s="17"/>
      <c r="AM80" s="17"/>
      <c r="AN80" s="18"/>
      <c r="AO80" s="17">
        <v>2</v>
      </c>
      <c r="AP80" s="17">
        <v>1</v>
      </c>
      <c r="AQ80" s="17"/>
      <c r="AR80" s="17"/>
      <c r="AS80" s="17">
        <v>1</v>
      </c>
      <c r="AT80" s="17"/>
      <c r="AU80" s="17"/>
      <c r="AV80" s="17"/>
      <c r="AW80" s="17"/>
      <c r="AX80" s="17"/>
      <c r="AY80" s="17"/>
      <c r="AZ80" s="17"/>
      <c r="BA80" s="17"/>
      <c r="BB80" s="17"/>
      <c r="BC80" s="19" cm="1">
        <f t="array" ref="BC80">SUMPRODUCT(--(D80:BB80=INT(D80:BB80)),--(D80:BB80&gt;0))</f>
        <v>7</v>
      </c>
      <c r="BD80" s="19">
        <f t="shared" si="4"/>
        <v>9</v>
      </c>
      <c r="BF80" s="21"/>
      <c r="BG80" s="21"/>
      <c r="BH80" s="21"/>
      <c r="BI80" s="21"/>
      <c r="BJ80" s="21"/>
      <c r="BK80" s="21"/>
      <c r="BL80" s="21"/>
      <c r="BM80" s="21"/>
      <c r="BN80" s="26"/>
      <c r="BO80" s="21">
        <f t="shared" si="3"/>
        <v>0</v>
      </c>
    </row>
    <row r="81" customHeight="1" spans="1:67">
      <c r="A81" s="23"/>
      <c r="B81" s="15"/>
      <c r="C81" s="16">
        <v>8</v>
      </c>
      <c r="D81" s="17">
        <v>1</v>
      </c>
      <c r="E81" s="17"/>
      <c r="F81" s="17"/>
      <c r="G81" s="17"/>
      <c r="H81" s="17"/>
      <c r="I81" s="17"/>
      <c r="J81" s="17"/>
      <c r="K81" s="17"/>
      <c r="L81" s="17">
        <v>2</v>
      </c>
      <c r="M81" s="17"/>
      <c r="N81" s="17"/>
      <c r="O81" s="17"/>
      <c r="P81" s="17">
        <v>1</v>
      </c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8"/>
      <c r="AK81" s="17"/>
      <c r="AL81" s="17"/>
      <c r="AM81" s="17"/>
      <c r="AN81" s="18"/>
      <c r="AO81" s="17"/>
      <c r="AP81" s="17"/>
      <c r="AQ81" s="17">
        <v>1</v>
      </c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9" cm="1">
        <f t="array" ref="BC81">SUMPRODUCT(--(D81:BB81=INT(D81:BB81)),--(D81:BB81&gt;0))</f>
        <v>4</v>
      </c>
      <c r="BD81" s="19">
        <f t="shared" si="4"/>
        <v>5</v>
      </c>
      <c r="BF81" s="21"/>
      <c r="BG81" s="21"/>
      <c r="BH81" s="21"/>
      <c r="BI81" s="21" t="s">
        <v>674</v>
      </c>
      <c r="BJ81" s="21"/>
      <c r="BK81" s="21"/>
      <c r="BL81" s="21"/>
      <c r="BM81" s="21"/>
      <c r="BN81" s="26"/>
      <c r="BO81" s="21">
        <f t="shared" ref="BO81:BO101" si="5">COUNTA(BF81:BN81)</f>
        <v>1</v>
      </c>
    </row>
    <row r="82" customHeight="1" spans="1:67">
      <c r="A82" s="23"/>
      <c r="B82" s="15"/>
      <c r="C82" s="16">
        <v>9</v>
      </c>
      <c r="D82" s="17"/>
      <c r="E82" s="17"/>
      <c r="F82" s="17"/>
      <c r="G82" s="17"/>
      <c r="H82" s="17">
        <v>1</v>
      </c>
      <c r="I82" s="17">
        <v>1</v>
      </c>
      <c r="J82" s="17">
        <v>1</v>
      </c>
      <c r="K82" s="17"/>
      <c r="L82" s="17"/>
      <c r="M82" s="17"/>
      <c r="N82" s="17"/>
      <c r="O82" s="17"/>
      <c r="P82" s="17"/>
      <c r="Q82" s="17"/>
      <c r="R82" s="17">
        <v>1</v>
      </c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>
        <v>1</v>
      </c>
      <c r="AD82" s="17"/>
      <c r="AE82" s="17">
        <v>1</v>
      </c>
      <c r="AF82" s="17">
        <v>1</v>
      </c>
      <c r="AG82" s="17"/>
      <c r="AH82" s="17">
        <v>1</v>
      </c>
      <c r="AI82" s="17"/>
      <c r="AJ82" s="18"/>
      <c r="AK82" s="17"/>
      <c r="AL82" s="17">
        <v>1</v>
      </c>
      <c r="AM82" s="17"/>
      <c r="AN82" s="18"/>
      <c r="AO82" s="17">
        <v>1</v>
      </c>
      <c r="AP82" s="17"/>
      <c r="AQ82" s="17">
        <v>1</v>
      </c>
      <c r="AR82" s="17"/>
      <c r="AS82" s="17"/>
      <c r="AT82" s="17"/>
      <c r="AU82" s="17">
        <v>1</v>
      </c>
      <c r="AV82" s="17"/>
      <c r="AW82" s="17"/>
      <c r="AX82" s="17"/>
      <c r="AY82" s="17"/>
      <c r="AZ82" s="17"/>
      <c r="BA82" s="17"/>
      <c r="BB82" s="17"/>
      <c r="BC82" s="19" cm="1">
        <f t="array" ref="BC82">SUMPRODUCT(--(D82:BB82=INT(D82:BB82)),--(D82:BB82&gt;0))</f>
        <v>12</v>
      </c>
      <c r="BD82" s="19">
        <f t="shared" si="4"/>
        <v>12</v>
      </c>
      <c r="BF82" s="21"/>
      <c r="BG82" s="21"/>
      <c r="BH82" s="21"/>
      <c r="BI82" s="21" t="s">
        <v>673</v>
      </c>
      <c r="BJ82" s="21"/>
      <c r="BK82" s="21"/>
      <c r="BL82" s="21"/>
      <c r="BM82" s="21"/>
      <c r="BN82" s="26"/>
      <c r="BO82" s="21">
        <f t="shared" si="5"/>
        <v>1</v>
      </c>
    </row>
    <row r="83" customHeight="1" spans="1:67">
      <c r="A83" s="23"/>
      <c r="B83" s="15"/>
      <c r="C83" s="16">
        <v>11</v>
      </c>
      <c r="D83" s="17"/>
      <c r="E83" s="17"/>
      <c r="F83" s="17">
        <v>1</v>
      </c>
      <c r="G83" s="17"/>
      <c r="H83" s="17"/>
      <c r="I83" s="17">
        <v>1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17"/>
      <c r="AL83" s="17"/>
      <c r="AM83" s="17"/>
      <c r="AN83" s="18"/>
      <c r="AO83" s="17">
        <v>2</v>
      </c>
      <c r="AP83" s="17"/>
      <c r="AQ83" s="17">
        <v>1</v>
      </c>
      <c r="AR83" s="17"/>
      <c r="AS83" s="17">
        <v>1</v>
      </c>
      <c r="AT83" s="17"/>
      <c r="AU83" s="17">
        <v>1</v>
      </c>
      <c r="AV83" s="17"/>
      <c r="AW83" s="17"/>
      <c r="AX83" s="17"/>
      <c r="AY83" s="17"/>
      <c r="AZ83" s="17"/>
      <c r="BA83" s="17"/>
      <c r="BB83" s="17"/>
      <c r="BC83" s="19" cm="1">
        <f t="array" ref="BC83">SUMPRODUCT(--(D83:BB83=INT(D83:BB83)),--(D83:BB83&gt;0))</f>
        <v>6</v>
      </c>
      <c r="BD83" s="19">
        <f t="shared" si="4"/>
        <v>7</v>
      </c>
      <c r="BF83" s="21"/>
      <c r="BG83" s="21"/>
      <c r="BH83" s="21"/>
      <c r="BI83" s="21"/>
      <c r="BJ83" s="21"/>
      <c r="BK83" s="21"/>
      <c r="BL83" s="21"/>
      <c r="BM83" s="21"/>
      <c r="BN83" s="26"/>
      <c r="BO83" s="21">
        <f t="shared" si="5"/>
        <v>0</v>
      </c>
    </row>
    <row r="84" customHeight="1" spans="1:67">
      <c r="A84" s="23"/>
      <c r="B84" s="15"/>
      <c r="C84" s="16">
        <v>12</v>
      </c>
      <c r="D84" s="17"/>
      <c r="E84" s="17"/>
      <c r="F84" s="17">
        <v>1</v>
      </c>
      <c r="G84" s="17"/>
      <c r="H84" s="17"/>
      <c r="I84" s="17">
        <v>1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8"/>
      <c r="AK84" s="17"/>
      <c r="AL84" s="17"/>
      <c r="AM84" s="17"/>
      <c r="AN84" s="18"/>
      <c r="AO84" s="17"/>
      <c r="AP84" s="17"/>
      <c r="AQ84" s="17">
        <v>1</v>
      </c>
      <c r="AR84" s="17"/>
      <c r="AS84" s="17"/>
      <c r="AT84" s="17"/>
      <c r="AU84" s="17">
        <v>2</v>
      </c>
      <c r="AV84" s="17"/>
      <c r="AW84" s="17"/>
      <c r="AX84" s="17"/>
      <c r="AY84" s="17"/>
      <c r="AZ84" s="17"/>
      <c r="BA84" s="17"/>
      <c r="BB84" s="17"/>
      <c r="BC84" s="19" cm="1">
        <f t="array" ref="BC84">SUMPRODUCT(--(D84:BB84=INT(D84:BB84)),--(D84:BB84&gt;0))</f>
        <v>4</v>
      </c>
      <c r="BD84" s="19">
        <f t="shared" si="4"/>
        <v>5</v>
      </c>
      <c r="BF84" s="21"/>
      <c r="BG84" s="21"/>
      <c r="BH84" s="21"/>
      <c r="BI84" s="21"/>
      <c r="BJ84" s="21"/>
      <c r="BK84" s="21"/>
      <c r="BL84" s="21"/>
      <c r="BM84" s="21"/>
      <c r="BN84" s="26"/>
      <c r="BO84" s="21">
        <f t="shared" si="5"/>
        <v>0</v>
      </c>
    </row>
    <row r="85" customHeight="1" spans="1:67">
      <c r="A85" s="23"/>
      <c r="B85" s="15"/>
      <c r="C85" s="16">
        <v>13</v>
      </c>
      <c r="D85" s="17"/>
      <c r="E85" s="17"/>
      <c r="F85" s="17">
        <v>1</v>
      </c>
      <c r="G85" s="17"/>
      <c r="H85" s="17">
        <v>1</v>
      </c>
      <c r="I85" s="17">
        <v>1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>
        <v>1</v>
      </c>
      <c r="X85" s="17"/>
      <c r="Y85" s="17"/>
      <c r="Z85" s="17"/>
      <c r="AA85" s="17"/>
      <c r="AB85" s="17"/>
      <c r="AC85" s="17">
        <v>1</v>
      </c>
      <c r="AD85" s="17"/>
      <c r="AE85" s="17">
        <v>1</v>
      </c>
      <c r="AF85" s="17">
        <v>1</v>
      </c>
      <c r="AG85" s="17">
        <v>2</v>
      </c>
      <c r="AH85" s="17"/>
      <c r="AI85" s="17"/>
      <c r="AJ85" s="18"/>
      <c r="AK85" s="17"/>
      <c r="AL85" s="17">
        <v>1</v>
      </c>
      <c r="AM85" s="17">
        <v>1</v>
      </c>
      <c r="AN85" s="18"/>
      <c r="AO85" s="17"/>
      <c r="AP85" s="17"/>
      <c r="AQ85" s="17">
        <v>1</v>
      </c>
      <c r="AR85" s="17"/>
      <c r="AS85" s="17"/>
      <c r="AT85" s="17"/>
      <c r="AU85" s="17">
        <v>1</v>
      </c>
      <c r="AV85" s="17"/>
      <c r="AW85" s="17"/>
      <c r="AX85" s="17"/>
      <c r="AY85" s="17">
        <v>1</v>
      </c>
      <c r="AZ85" s="17"/>
      <c r="BA85" s="17"/>
      <c r="BB85" s="17"/>
      <c r="BC85" s="19" cm="1">
        <f t="array" ref="BC85">SUMPRODUCT(--(D85:BB85=INT(D85:BB85)),--(D85:BB85&gt;0))</f>
        <v>13</v>
      </c>
      <c r="BD85" s="19">
        <f t="shared" si="4"/>
        <v>14</v>
      </c>
      <c r="BF85" s="21"/>
      <c r="BG85" s="21"/>
      <c r="BH85" s="21"/>
      <c r="BI85" s="21"/>
      <c r="BJ85" s="21"/>
      <c r="BK85" s="21"/>
      <c r="BL85" s="21"/>
      <c r="BM85" s="21"/>
      <c r="BN85" s="26"/>
      <c r="BO85" s="21">
        <f t="shared" si="5"/>
        <v>0</v>
      </c>
    </row>
    <row r="86" customHeight="1" spans="1:67">
      <c r="A86" s="23"/>
      <c r="B86" s="15"/>
      <c r="C86" s="16">
        <v>14</v>
      </c>
      <c r="D86" s="17">
        <v>1</v>
      </c>
      <c r="E86" s="17">
        <v>1</v>
      </c>
      <c r="F86" s="17"/>
      <c r="G86" s="17"/>
      <c r="H86" s="17"/>
      <c r="I86" s="17"/>
      <c r="J86" s="17"/>
      <c r="K86" s="17"/>
      <c r="L86" s="17">
        <v>1</v>
      </c>
      <c r="M86" s="17"/>
      <c r="N86" s="17">
        <v>1</v>
      </c>
      <c r="O86" s="17"/>
      <c r="P86" s="17">
        <v>1</v>
      </c>
      <c r="Q86" s="17"/>
      <c r="R86" s="17"/>
      <c r="S86" s="17"/>
      <c r="T86" s="17">
        <v>1</v>
      </c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>
        <v>1</v>
      </c>
      <c r="AF86" s="17"/>
      <c r="AG86" s="17">
        <v>1</v>
      </c>
      <c r="AH86" s="17">
        <v>1</v>
      </c>
      <c r="AI86" s="17"/>
      <c r="AJ86" s="18"/>
      <c r="AK86" s="17"/>
      <c r="AL86" s="17">
        <v>1</v>
      </c>
      <c r="AM86" s="17">
        <v>1</v>
      </c>
      <c r="AN86" s="18"/>
      <c r="AO86" s="17"/>
      <c r="AP86" s="17"/>
      <c r="AQ86" s="17">
        <v>1</v>
      </c>
      <c r="AR86" s="17"/>
      <c r="AS86" s="17">
        <v>1</v>
      </c>
      <c r="AT86" s="17"/>
      <c r="AU86" s="17">
        <v>1</v>
      </c>
      <c r="AV86" s="17"/>
      <c r="AW86" s="17">
        <v>1</v>
      </c>
      <c r="AX86" s="17"/>
      <c r="AY86" s="17"/>
      <c r="AZ86" s="17"/>
      <c r="BA86" s="17"/>
      <c r="BB86" s="17"/>
      <c r="BC86" s="19" cm="1">
        <f t="array" ref="BC86">SUMPRODUCT(--(D86:BB86=INT(D86:BB86)),--(D86:BB86&gt;0))</f>
        <v>15</v>
      </c>
      <c r="BD86" s="19">
        <f t="shared" si="4"/>
        <v>15</v>
      </c>
      <c r="BF86" s="21"/>
      <c r="BG86" s="21"/>
      <c r="BH86" s="21"/>
      <c r="BI86" s="21"/>
      <c r="BJ86" s="21"/>
      <c r="BK86" s="21"/>
      <c r="BL86" s="21"/>
      <c r="BM86" s="21"/>
      <c r="BN86" s="26"/>
      <c r="BO86" s="21">
        <f t="shared" si="5"/>
        <v>0</v>
      </c>
    </row>
    <row r="87" customHeight="1" spans="1:67">
      <c r="A87" s="23"/>
      <c r="B87" s="15"/>
      <c r="C87" s="16">
        <v>18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2</v>
      </c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8"/>
      <c r="AK87" s="17"/>
      <c r="AL87" s="17"/>
      <c r="AM87" s="17"/>
      <c r="AN87" s="18"/>
      <c r="AO87" s="17"/>
      <c r="AP87" s="17"/>
      <c r="AQ87" s="17"/>
      <c r="AR87" s="17"/>
      <c r="AS87" s="17"/>
      <c r="AT87" s="17"/>
      <c r="AU87" s="17">
        <v>1</v>
      </c>
      <c r="AV87" s="17"/>
      <c r="AW87" s="17"/>
      <c r="AX87" s="17"/>
      <c r="AY87" s="17"/>
      <c r="AZ87" s="17"/>
      <c r="BA87" s="17"/>
      <c r="BB87" s="17"/>
      <c r="BC87" s="19" cm="1">
        <f t="array" ref="BC87">SUMPRODUCT(--(D87:BB87=INT(D87:BB87)),--(D87:BB87&gt;0))</f>
        <v>2</v>
      </c>
      <c r="BD87" s="19">
        <f t="shared" si="4"/>
        <v>3</v>
      </c>
      <c r="BF87" s="21"/>
      <c r="BG87" s="21"/>
      <c r="BH87" s="21"/>
      <c r="BI87" s="21" t="s">
        <v>678</v>
      </c>
      <c r="BJ87" s="21"/>
      <c r="BK87" s="21"/>
      <c r="BL87" s="21"/>
      <c r="BM87" s="21"/>
      <c r="BN87" s="26"/>
      <c r="BO87" s="21">
        <f t="shared" si="5"/>
        <v>1</v>
      </c>
    </row>
    <row r="88" customHeight="1" spans="1:67">
      <c r="A88" s="23"/>
      <c r="B88" s="15"/>
      <c r="C88" s="16">
        <v>19</v>
      </c>
      <c r="D88" s="17"/>
      <c r="E88" s="17">
        <v>1</v>
      </c>
      <c r="F88" s="17"/>
      <c r="G88" s="17"/>
      <c r="H88" s="17"/>
      <c r="I88" s="17">
        <v>1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>
        <v>1</v>
      </c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8"/>
      <c r="AK88" s="17"/>
      <c r="AL88" s="17"/>
      <c r="AM88" s="17"/>
      <c r="AN88" s="18"/>
      <c r="AO88" s="17"/>
      <c r="AP88" s="17">
        <v>1</v>
      </c>
      <c r="AQ88" s="17">
        <v>1</v>
      </c>
      <c r="AR88" s="17"/>
      <c r="AS88" s="17"/>
      <c r="AT88" s="17"/>
      <c r="AU88" s="17">
        <v>1</v>
      </c>
      <c r="AV88" s="17"/>
      <c r="AW88" s="17"/>
      <c r="AX88" s="17"/>
      <c r="AY88" s="17"/>
      <c r="AZ88" s="17"/>
      <c r="BA88" s="17"/>
      <c r="BB88" s="17"/>
      <c r="BC88" s="19" cm="1">
        <f t="array" ref="BC88">SUMPRODUCT(--(D88:BB88=INT(D88:BB88)),--(D88:BB88&gt;0))</f>
        <v>6</v>
      </c>
      <c r="BD88" s="19">
        <f t="shared" si="4"/>
        <v>6</v>
      </c>
      <c r="BF88" s="21"/>
      <c r="BG88" s="21"/>
      <c r="BH88" s="21"/>
      <c r="BI88" s="21" t="s">
        <v>678</v>
      </c>
      <c r="BJ88" s="21"/>
      <c r="BK88" s="21"/>
      <c r="BL88" s="21"/>
      <c r="BM88" s="21"/>
      <c r="BN88" s="26"/>
      <c r="BO88" s="21">
        <f t="shared" si="5"/>
        <v>1</v>
      </c>
    </row>
    <row r="89" customHeight="1" spans="1:67">
      <c r="A89" s="23"/>
      <c r="B89" s="15"/>
      <c r="C89" s="16">
        <v>20</v>
      </c>
      <c r="D89" s="17"/>
      <c r="E89" s="17"/>
      <c r="F89" s="17">
        <v>1</v>
      </c>
      <c r="G89" s="17"/>
      <c r="H89" s="17"/>
      <c r="I89" s="17"/>
      <c r="J89" s="17"/>
      <c r="K89" s="17"/>
      <c r="L89" s="17"/>
      <c r="M89" s="17"/>
      <c r="N89" s="17">
        <v>1</v>
      </c>
      <c r="O89" s="17"/>
      <c r="P89" s="17">
        <v>2</v>
      </c>
      <c r="Q89" s="17"/>
      <c r="R89" s="17"/>
      <c r="S89" s="17"/>
      <c r="T89" s="17"/>
      <c r="U89" s="17"/>
      <c r="V89" s="17"/>
      <c r="W89" s="17">
        <v>1</v>
      </c>
      <c r="X89" s="17"/>
      <c r="Y89" s="17"/>
      <c r="Z89" s="17"/>
      <c r="AA89" s="17"/>
      <c r="AB89" s="17"/>
      <c r="AC89" s="17"/>
      <c r="AD89" s="17"/>
      <c r="AE89" s="17"/>
      <c r="AF89" s="17"/>
      <c r="AG89" s="17">
        <v>1</v>
      </c>
      <c r="AH89" s="17">
        <v>1</v>
      </c>
      <c r="AI89" s="17"/>
      <c r="AJ89" s="18"/>
      <c r="AK89" s="17"/>
      <c r="AL89" s="17"/>
      <c r="AM89" s="17">
        <v>1</v>
      </c>
      <c r="AN89" s="18"/>
      <c r="AO89" s="17"/>
      <c r="AP89" s="17">
        <v>1</v>
      </c>
      <c r="AQ89" s="17"/>
      <c r="AR89" s="17"/>
      <c r="AS89" s="17"/>
      <c r="AT89" s="17"/>
      <c r="AU89" s="17">
        <v>1</v>
      </c>
      <c r="AV89" s="17"/>
      <c r="AW89" s="17"/>
      <c r="AX89" s="17"/>
      <c r="AY89" s="17"/>
      <c r="AZ89" s="17"/>
      <c r="BA89" s="17"/>
      <c r="BB89" s="17"/>
      <c r="BC89" s="19" cm="1">
        <f t="array" ref="BC89">SUMPRODUCT(--(D89:BB89=INT(D89:BB89)),--(D89:BB89&gt;0))</f>
        <v>9</v>
      </c>
      <c r="BD89" s="19">
        <f t="shared" si="4"/>
        <v>10</v>
      </c>
      <c r="BF89" s="21"/>
      <c r="BG89" s="21"/>
      <c r="BH89" s="21" t="s">
        <v>674</v>
      </c>
      <c r="BI89" s="21"/>
      <c r="BJ89" s="21"/>
      <c r="BK89" s="21"/>
      <c r="BL89" s="21"/>
      <c r="BM89" s="21"/>
      <c r="BN89" s="26"/>
      <c r="BO89" s="21">
        <f t="shared" si="5"/>
        <v>1</v>
      </c>
    </row>
    <row r="90" customHeight="1" spans="1:67">
      <c r="A90" s="23"/>
      <c r="B90" s="15"/>
      <c r="C90" s="16">
        <v>21</v>
      </c>
      <c r="D90" s="17"/>
      <c r="E90" s="17"/>
      <c r="F90" s="17"/>
      <c r="G90" s="17"/>
      <c r="H90" s="17"/>
      <c r="I90" s="17">
        <v>1</v>
      </c>
      <c r="J90" s="17"/>
      <c r="K90" s="17"/>
      <c r="L90" s="17"/>
      <c r="M90" s="17"/>
      <c r="N90" s="17">
        <v>1</v>
      </c>
      <c r="O90" s="17">
        <v>1</v>
      </c>
      <c r="P90" s="17">
        <v>1</v>
      </c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8"/>
      <c r="AK90" s="17"/>
      <c r="AL90" s="17"/>
      <c r="AM90" s="17"/>
      <c r="AN90" s="18"/>
      <c r="AO90" s="17"/>
      <c r="AP90" s="17">
        <v>1</v>
      </c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9" cm="1">
        <f t="array" ref="BC90">SUMPRODUCT(--(D90:BB90=INT(D90:BB90)),--(D90:BB90&gt;0))</f>
        <v>5</v>
      </c>
      <c r="BD90" s="19">
        <f t="shared" si="4"/>
        <v>5</v>
      </c>
      <c r="BF90" s="21"/>
      <c r="BG90" s="21"/>
      <c r="BH90" s="21"/>
      <c r="BI90" s="21" t="s">
        <v>674</v>
      </c>
      <c r="BJ90" s="21"/>
      <c r="BK90" s="21"/>
      <c r="BL90" s="21"/>
      <c r="BM90" s="21"/>
      <c r="BN90" s="26"/>
      <c r="BO90" s="21">
        <f t="shared" si="5"/>
        <v>1</v>
      </c>
    </row>
    <row r="91" customHeight="1" spans="1:67">
      <c r="A91" s="23"/>
      <c r="B91" s="15"/>
      <c r="C91" s="16">
        <v>22</v>
      </c>
      <c r="D91" s="17"/>
      <c r="E91" s="17">
        <v>1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8"/>
      <c r="AK91" s="17"/>
      <c r="AL91" s="17"/>
      <c r="AM91" s="17">
        <v>1</v>
      </c>
      <c r="AN91" s="18"/>
      <c r="AO91" s="17"/>
      <c r="AP91" s="17"/>
      <c r="AQ91" s="17">
        <v>1</v>
      </c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9" cm="1">
        <f t="array" ref="BC91">SUMPRODUCT(--(D91:BB91=INT(D91:BB91)),--(D91:BB91&gt;0))</f>
        <v>3</v>
      </c>
      <c r="BD91" s="19">
        <f t="shared" si="4"/>
        <v>3</v>
      </c>
      <c r="BF91" s="21"/>
      <c r="BG91" s="21"/>
      <c r="BH91" s="21"/>
      <c r="BI91" s="21"/>
      <c r="BJ91" s="21"/>
      <c r="BK91" s="21"/>
      <c r="BL91" s="21"/>
      <c r="BM91" s="21"/>
      <c r="BN91" s="26"/>
      <c r="BO91" s="21">
        <f t="shared" si="5"/>
        <v>0</v>
      </c>
    </row>
    <row r="92" customHeight="1" spans="1:67">
      <c r="A92" s="23"/>
      <c r="B92" s="15"/>
      <c r="C92" s="16">
        <v>25</v>
      </c>
      <c r="D92" s="17"/>
      <c r="E92" s="17">
        <v>1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>
        <v>1</v>
      </c>
      <c r="Z92" s="17"/>
      <c r="AA92" s="17"/>
      <c r="AB92" s="17"/>
      <c r="AC92" s="17">
        <v>1</v>
      </c>
      <c r="AD92" s="17"/>
      <c r="AE92" s="17"/>
      <c r="AF92" s="17"/>
      <c r="AG92" s="17"/>
      <c r="AH92" s="17"/>
      <c r="AI92" s="17"/>
      <c r="AJ92" s="18"/>
      <c r="AK92" s="17"/>
      <c r="AL92" s="17"/>
      <c r="AM92" s="17"/>
      <c r="AN92" s="18"/>
      <c r="AO92" s="17"/>
      <c r="AP92" s="17"/>
      <c r="AQ92" s="17"/>
      <c r="AR92" s="17"/>
      <c r="AS92" s="17"/>
      <c r="AT92" s="17"/>
      <c r="AU92" s="17">
        <v>2</v>
      </c>
      <c r="AV92" s="17"/>
      <c r="AW92" s="17"/>
      <c r="AX92" s="17"/>
      <c r="AY92" s="17"/>
      <c r="AZ92" s="17"/>
      <c r="BA92" s="17"/>
      <c r="BB92" s="17"/>
      <c r="BC92" s="19" cm="1">
        <f t="array" ref="BC92">SUMPRODUCT(--(D92:BB92=INT(D92:BB92)),--(D92:BB92&gt;0))</f>
        <v>4</v>
      </c>
      <c r="BD92" s="19">
        <f t="shared" si="4"/>
        <v>5</v>
      </c>
      <c r="BF92" s="21"/>
      <c r="BG92" s="21"/>
      <c r="BH92" s="21"/>
      <c r="BI92" s="21"/>
      <c r="BJ92" s="21"/>
      <c r="BK92" s="21"/>
      <c r="BL92" s="21"/>
      <c r="BM92" s="21"/>
      <c r="BN92" s="26"/>
      <c r="BO92" s="21">
        <f t="shared" si="5"/>
        <v>0</v>
      </c>
    </row>
    <row r="93" customHeight="1" spans="1:67">
      <c r="A93" s="23"/>
      <c r="B93" s="15"/>
      <c r="C93" s="16">
        <v>26</v>
      </c>
      <c r="D93" s="17"/>
      <c r="E93" s="17">
        <v>1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>
        <v>1</v>
      </c>
      <c r="Z93" s="17"/>
      <c r="AA93" s="17"/>
      <c r="AB93" s="17"/>
      <c r="AC93" s="17">
        <v>1</v>
      </c>
      <c r="AD93" s="17"/>
      <c r="AE93" s="17"/>
      <c r="AF93" s="17">
        <v>1</v>
      </c>
      <c r="AG93" s="17"/>
      <c r="AH93" s="17"/>
      <c r="AI93" s="17"/>
      <c r="AJ93" s="18"/>
      <c r="AK93" s="17"/>
      <c r="AL93" s="17"/>
      <c r="AM93" s="17"/>
      <c r="AN93" s="18"/>
      <c r="AO93" s="17"/>
      <c r="AP93" s="17"/>
      <c r="AQ93" s="17">
        <v>1</v>
      </c>
      <c r="AR93" s="17"/>
      <c r="AS93" s="17">
        <v>1</v>
      </c>
      <c r="AT93" s="17"/>
      <c r="AU93" s="17">
        <v>1</v>
      </c>
      <c r="AV93" s="17"/>
      <c r="AW93" s="17"/>
      <c r="AX93" s="17"/>
      <c r="AY93" s="17"/>
      <c r="AZ93" s="17"/>
      <c r="BA93" s="17"/>
      <c r="BB93" s="17"/>
      <c r="BC93" s="19" cm="1">
        <f t="array" ref="BC93">SUMPRODUCT(--(D93:BB93=INT(D93:BB93)),--(D93:BB93&gt;0))</f>
        <v>7</v>
      </c>
      <c r="BD93" s="19">
        <f t="shared" si="4"/>
        <v>7</v>
      </c>
      <c r="BF93" s="21"/>
      <c r="BG93" s="21"/>
      <c r="BH93" s="21"/>
      <c r="BI93" s="21"/>
      <c r="BJ93" s="21"/>
      <c r="BK93" s="21"/>
      <c r="BL93" s="21"/>
      <c r="BM93" s="21"/>
      <c r="BN93" s="26"/>
      <c r="BO93" s="21">
        <f t="shared" si="5"/>
        <v>0</v>
      </c>
    </row>
    <row r="94" customHeight="1" spans="1:67">
      <c r="A94" s="23"/>
      <c r="B94" s="15"/>
      <c r="C94" s="16">
        <v>27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1</v>
      </c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8"/>
      <c r="AK94" s="17"/>
      <c r="AL94" s="17"/>
      <c r="AM94" s="17"/>
      <c r="AN94" s="18"/>
      <c r="AO94" s="17"/>
      <c r="AP94" s="17"/>
      <c r="AQ94" s="17">
        <v>1</v>
      </c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9" cm="1">
        <f t="array" ref="BC94">SUMPRODUCT(--(D94:BB94=INT(D94:BB94)),--(D94:BB94&gt;0))</f>
        <v>2</v>
      </c>
      <c r="BD94" s="19">
        <f t="shared" si="4"/>
        <v>2</v>
      </c>
      <c r="BF94" s="21"/>
      <c r="BG94" s="21"/>
      <c r="BH94" s="21"/>
      <c r="BI94" s="21"/>
      <c r="BJ94" s="21"/>
      <c r="BK94" s="21"/>
      <c r="BL94" s="21"/>
      <c r="BM94" s="21"/>
      <c r="BN94" s="26"/>
      <c r="BO94" s="21">
        <f t="shared" si="5"/>
        <v>0</v>
      </c>
    </row>
    <row r="95" customHeight="1" spans="1:67">
      <c r="A95" s="23"/>
      <c r="B95" s="15"/>
      <c r="C95" s="16">
        <v>28</v>
      </c>
      <c r="D95" s="17"/>
      <c r="E95" s="17">
        <v>1</v>
      </c>
      <c r="F95" s="17"/>
      <c r="G95" s="17"/>
      <c r="H95" s="17"/>
      <c r="I95" s="17"/>
      <c r="J95" s="17">
        <v>2</v>
      </c>
      <c r="K95" s="17"/>
      <c r="L95" s="17"/>
      <c r="M95" s="17"/>
      <c r="N95" s="17"/>
      <c r="O95" s="17"/>
      <c r="P95" s="17">
        <v>1</v>
      </c>
      <c r="Q95" s="17"/>
      <c r="R95" s="17"/>
      <c r="S95" s="17"/>
      <c r="T95" s="17"/>
      <c r="U95" s="17"/>
      <c r="V95" s="17"/>
      <c r="W95" s="17"/>
      <c r="X95" s="17"/>
      <c r="Y95" s="17">
        <v>1</v>
      </c>
      <c r="Z95" s="17"/>
      <c r="AA95" s="17"/>
      <c r="AB95" s="17"/>
      <c r="AC95" s="17"/>
      <c r="AD95" s="17"/>
      <c r="AE95" s="17"/>
      <c r="AF95" s="17"/>
      <c r="AG95" s="17">
        <v>1</v>
      </c>
      <c r="AH95" s="17"/>
      <c r="AI95" s="17"/>
      <c r="AJ95" s="18"/>
      <c r="AK95" s="17"/>
      <c r="AL95" s="17"/>
      <c r="AM95" s="17">
        <v>1</v>
      </c>
      <c r="AN95" s="18"/>
      <c r="AO95" s="17"/>
      <c r="AP95" s="17">
        <v>1</v>
      </c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9" cm="1">
        <f t="array" ref="BC95">SUMPRODUCT(--(D95:BB95=INT(D95:BB95)),--(D95:BB95&gt;0))</f>
        <v>7</v>
      </c>
      <c r="BD95" s="19">
        <f t="shared" si="4"/>
        <v>8</v>
      </c>
      <c r="BF95" s="21"/>
      <c r="BG95" s="21"/>
      <c r="BH95" s="21"/>
      <c r="BI95" s="21"/>
      <c r="BJ95" s="21"/>
      <c r="BK95" s="21"/>
      <c r="BL95" s="21"/>
      <c r="BM95" s="21"/>
      <c r="BN95" s="26"/>
      <c r="BO95" s="21">
        <f t="shared" si="5"/>
        <v>0</v>
      </c>
    </row>
    <row r="96" customHeight="1" spans="1:67">
      <c r="A96" s="23"/>
      <c r="B96" s="15"/>
      <c r="C96" s="16">
        <v>29</v>
      </c>
      <c r="D96" s="17"/>
      <c r="E96" s="17">
        <v>1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>
        <v>2</v>
      </c>
      <c r="Q96" s="17"/>
      <c r="R96" s="17"/>
      <c r="S96" s="17"/>
      <c r="T96" s="17"/>
      <c r="U96" s="17"/>
      <c r="V96" s="17"/>
      <c r="W96" s="17"/>
      <c r="X96" s="17"/>
      <c r="Y96" s="17">
        <v>1</v>
      </c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8"/>
      <c r="AK96" s="17"/>
      <c r="AL96" s="17"/>
      <c r="AM96" s="17"/>
      <c r="AN96" s="18"/>
      <c r="AO96" s="17"/>
      <c r="AP96" s="17">
        <v>1</v>
      </c>
      <c r="AQ96" s="17"/>
      <c r="AR96" s="17"/>
      <c r="AS96" s="17">
        <v>2</v>
      </c>
      <c r="AT96" s="17"/>
      <c r="AU96" s="17"/>
      <c r="AV96" s="17"/>
      <c r="AW96" s="17"/>
      <c r="AX96" s="17"/>
      <c r="AY96" s="17"/>
      <c r="AZ96" s="17"/>
      <c r="BA96" s="17"/>
      <c r="BB96" s="17"/>
      <c r="BC96" s="19" cm="1">
        <f t="array" ref="BC96">SUMPRODUCT(--(D96:BB96=INT(D96:BB96)),--(D96:BB96&gt;0))</f>
        <v>5</v>
      </c>
      <c r="BD96" s="19">
        <f t="shared" si="4"/>
        <v>7</v>
      </c>
      <c r="BF96" s="27"/>
      <c r="BG96" s="27"/>
      <c r="BH96" s="27"/>
      <c r="BI96" s="27"/>
      <c r="BJ96" s="27"/>
      <c r="BK96" s="27"/>
      <c r="BL96" s="27"/>
      <c r="BM96" s="27"/>
      <c r="BN96" s="28"/>
      <c r="BO96" s="21">
        <f t="shared" si="5"/>
        <v>0</v>
      </c>
    </row>
    <row r="97" customHeight="1" spans="1:67">
      <c r="A97" s="23"/>
      <c r="B97" s="29">
        <v>6</v>
      </c>
      <c r="C97" s="16">
        <v>1</v>
      </c>
      <c r="D97" s="17"/>
      <c r="E97" s="17">
        <v>2</v>
      </c>
      <c r="F97" s="17"/>
      <c r="G97" s="17"/>
      <c r="H97" s="17"/>
      <c r="I97" s="17">
        <v>1</v>
      </c>
      <c r="J97" s="17"/>
      <c r="K97" s="17"/>
      <c r="L97" s="17"/>
      <c r="M97" s="17"/>
      <c r="N97" s="17"/>
      <c r="O97" s="17"/>
      <c r="P97" s="17"/>
      <c r="Q97" s="17"/>
      <c r="R97" s="17">
        <v>1</v>
      </c>
      <c r="S97" s="17"/>
      <c r="T97" s="17"/>
      <c r="U97" s="17"/>
      <c r="V97" s="17"/>
      <c r="W97" s="17"/>
      <c r="X97" s="17"/>
      <c r="Y97" s="17">
        <v>1</v>
      </c>
      <c r="Z97" s="17"/>
      <c r="AA97" s="17"/>
      <c r="AB97" s="17"/>
      <c r="AC97" s="17"/>
      <c r="AD97" s="17">
        <v>1</v>
      </c>
      <c r="AE97" s="17">
        <v>1</v>
      </c>
      <c r="AF97" s="17">
        <v>1</v>
      </c>
      <c r="AG97" s="17"/>
      <c r="AH97" s="17"/>
      <c r="AI97" s="17"/>
      <c r="AJ97" s="18"/>
      <c r="AK97" s="17"/>
      <c r="AL97" s="17"/>
      <c r="AM97" s="17"/>
      <c r="AN97" s="18"/>
      <c r="AO97" s="17"/>
      <c r="AP97" s="17"/>
      <c r="AQ97" s="17">
        <v>1</v>
      </c>
      <c r="AR97" s="17"/>
      <c r="AS97" s="17">
        <v>1</v>
      </c>
      <c r="AT97" s="17"/>
      <c r="AU97" s="17"/>
      <c r="AV97" s="17"/>
      <c r="AW97" s="17">
        <v>1</v>
      </c>
      <c r="AX97" s="17"/>
      <c r="AY97" s="17"/>
      <c r="AZ97" s="17"/>
      <c r="BA97" s="17"/>
      <c r="BB97" s="17"/>
      <c r="BC97" s="19" cm="1">
        <f t="array" ref="BC97">SUMPRODUCT(--(D97:BB97=INT(D97:BB97)),--(D97:BB97&gt;0))</f>
        <v>10</v>
      </c>
      <c r="BD97" s="19">
        <f t="shared" si="4"/>
        <v>11</v>
      </c>
      <c r="BF97" s="27"/>
      <c r="BG97" s="27"/>
      <c r="BH97" s="27"/>
      <c r="BI97" s="27"/>
      <c r="BJ97" s="27"/>
      <c r="BK97" s="27"/>
      <c r="BL97" s="27"/>
      <c r="BM97" s="27"/>
      <c r="BN97" s="28"/>
      <c r="BO97" s="21">
        <f t="shared" si="5"/>
        <v>0</v>
      </c>
    </row>
    <row r="98" customHeight="1" spans="1:67">
      <c r="A98" s="23"/>
      <c r="B98" s="30"/>
      <c r="C98" s="16">
        <v>2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8"/>
      <c r="AK98" s="17"/>
      <c r="AL98" s="17"/>
      <c r="AM98" s="17"/>
      <c r="AN98" s="18"/>
      <c r="AO98" s="17"/>
      <c r="AP98" s="17"/>
      <c r="AQ98" s="17"/>
      <c r="AR98" s="17"/>
      <c r="AS98" s="17">
        <v>1</v>
      </c>
      <c r="AT98" s="17"/>
      <c r="AU98" s="17"/>
      <c r="AV98" s="17"/>
      <c r="AW98" s="17">
        <v>1</v>
      </c>
      <c r="AX98" s="17"/>
      <c r="AY98" s="17"/>
      <c r="AZ98" s="17"/>
      <c r="BA98" s="17"/>
      <c r="BB98" s="17"/>
      <c r="BC98" s="19" cm="1">
        <f t="array" ref="BC98">SUMPRODUCT(--(D98:BB98=INT(D98:BB98)),--(D98:BB98&gt;0))</f>
        <v>2</v>
      </c>
      <c r="BD98" s="19">
        <f t="shared" si="4"/>
        <v>2</v>
      </c>
      <c r="BF98" s="27"/>
      <c r="BG98" s="27"/>
      <c r="BH98" s="27"/>
      <c r="BI98" s="27"/>
      <c r="BJ98" s="27"/>
      <c r="BK98" s="27"/>
      <c r="BL98" s="27"/>
      <c r="BM98" s="27"/>
      <c r="BN98" s="28"/>
      <c r="BO98" s="21">
        <f t="shared" si="5"/>
        <v>0</v>
      </c>
    </row>
    <row r="99" customHeight="1" spans="1:67">
      <c r="A99" s="23"/>
      <c r="B99" s="30"/>
      <c r="C99" s="16">
        <v>3</v>
      </c>
      <c r="D99" s="17"/>
      <c r="E99" s="17">
        <v>1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8"/>
      <c r="AK99" s="17"/>
      <c r="AL99" s="17"/>
      <c r="AM99" s="17"/>
      <c r="AN99" s="18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9" cm="1">
        <f t="array" ref="BC99">SUMPRODUCT(--(D99:BB99=INT(D99:BB99)),--(D99:BB99&gt;0))</f>
        <v>1</v>
      </c>
      <c r="BD99" s="19">
        <f t="shared" si="4"/>
        <v>1</v>
      </c>
      <c r="BF99" s="27"/>
      <c r="BG99" s="27"/>
      <c r="BH99" s="27"/>
      <c r="BI99" s="27"/>
      <c r="BJ99" s="27"/>
      <c r="BK99" s="27"/>
      <c r="BL99" s="27"/>
      <c r="BM99" s="27"/>
      <c r="BN99" s="28"/>
      <c r="BO99" s="21">
        <f t="shared" si="5"/>
        <v>0</v>
      </c>
    </row>
    <row r="100" customHeight="1" spans="1:67">
      <c r="A100" s="23"/>
      <c r="B100" s="30"/>
      <c r="C100" s="16">
        <v>4</v>
      </c>
      <c r="D100" s="17"/>
      <c r="E100" s="17">
        <v>1</v>
      </c>
      <c r="F100" s="17"/>
      <c r="G100" s="17"/>
      <c r="H100" s="17"/>
      <c r="I100" s="17">
        <v>1</v>
      </c>
      <c r="J100" s="17">
        <v>1</v>
      </c>
      <c r="K100" s="17"/>
      <c r="L100" s="17"/>
      <c r="M100" s="17"/>
      <c r="N100" s="17">
        <v>1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>
        <v>1</v>
      </c>
      <c r="Z100" s="17"/>
      <c r="AA100" s="17"/>
      <c r="AB100" s="17"/>
      <c r="AC100" s="17"/>
      <c r="AD100" s="17">
        <v>1</v>
      </c>
      <c r="AE100" s="17"/>
      <c r="AF100" s="17"/>
      <c r="AG100" s="17"/>
      <c r="AH100" s="17"/>
      <c r="AI100" s="17"/>
      <c r="AJ100" s="18"/>
      <c r="AK100" s="17"/>
      <c r="AL100" s="17"/>
      <c r="AM100" s="17"/>
      <c r="AN100" s="18"/>
      <c r="AO100" s="17">
        <v>1</v>
      </c>
      <c r="AP100" s="17">
        <v>1</v>
      </c>
      <c r="AQ100" s="17">
        <v>3</v>
      </c>
      <c r="AR100" s="17"/>
      <c r="AS100" s="17"/>
      <c r="AT100" s="17"/>
      <c r="AU100" s="17"/>
      <c r="AV100" s="17"/>
      <c r="AW100" s="17">
        <v>1</v>
      </c>
      <c r="AX100" s="17"/>
      <c r="AY100" s="17"/>
      <c r="AZ100" s="17"/>
      <c r="BA100" s="17"/>
      <c r="BB100" s="17"/>
      <c r="BC100" s="19" cm="1">
        <f t="array" ref="BC100">SUMPRODUCT(--(D100:BB100=INT(D100:BB100)),--(D100:BB100&gt;0))</f>
        <v>10</v>
      </c>
      <c r="BD100" s="19">
        <f t="shared" si="4"/>
        <v>12</v>
      </c>
      <c r="BF100" s="27"/>
      <c r="BG100" s="27"/>
      <c r="BH100" s="27"/>
      <c r="BI100" s="27"/>
      <c r="BJ100" s="27"/>
      <c r="BK100" s="27"/>
      <c r="BL100" s="27"/>
      <c r="BM100" s="27"/>
      <c r="BN100" s="28"/>
      <c r="BO100" s="21">
        <f t="shared" si="5"/>
        <v>0</v>
      </c>
    </row>
    <row r="101" customHeight="1" spans="1:67">
      <c r="A101" s="23"/>
      <c r="B101" s="30"/>
      <c r="C101" s="16">
        <v>5</v>
      </c>
      <c r="D101" s="17"/>
      <c r="E101" s="17">
        <v>1</v>
      </c>
      <c r="F101" s="17">
        <v>1</v>
      </c>
      <c r="G101" s="17"/>
      <c r="H101" s="17">
        <v>1</v>
      </c>
      <c r="I101" s="17">
        <v>1</v>
      </c>
      <c r="J101" s="17">
        <v>1</v>
      </c>
      <c r="K101" s="17"/>
      <c r="L101" s="17"/>
      <c r="M101" s="17">
        <v>1</v>
      </c>
      <c r="N101" s="17"/>
      <c r="O101" s="17"/>
      <c r="P101" s="17"/>
      <c r="Q101" s="17"/>
      <c r="R101" s="17">
        <v>1</v>
      </c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>
        <v>2</v>
      </c>
      <c r="AE101" s="17"/>
      <c r="AF101" s="17"/>
      <c r="AG101" s="17"/>
      <c r="AH101" s="17">
        <v>1</v>
      </c>
      <c r="AI101" s="17"/>
      <c r="AJ101" s="18"/>
      <c r="AK101" s="17"/>
      <c r="AL101" s="17">
        <v>1</v>
      </c>
      <c r="AM101" s="17"/>
      <c r="AN101" s="18"/>
      <c r="AO101" s="17">
        <v>1</v>
      </c>
      <c r="AP101" s="17"/>
      <c r="AQ101" s="17">
        <v>1</v>
      </c>
      <c r="AR101" s="17"/>
      <c r="AS101" s="17"/>
      <c r="AT101" s="17"/>
      <c r="AU101" s="17">
        <v>2</v>
      </c>
      <c r="AV101" s="17"/>
      <c r="AW101" s="17"/>
      <c r="AX101" s="17"/>
      <c r="AY101" s="17"/>
      <c r="AZ101" s="17"/>
      <c r="BA101" s="17"/>
      <c r="BB101" s="17"/>
      <c r="BC101" s="19" cm="1">
        <f t="array" ref="BC101">SUMPRODUCT(--(D101:BB101=INT(D101:BB101)),--(D101:BB101&gt;0))</f>
        <v>13</v>
      </c>
      <c r="BD101" s="19">
        <f t="shared" si="4"/>
        <v>15</v>
      </c>
      <c r="BF101" s="27"/>
      <c r="BG101" s="27"/>
      <c r="BH101" s="27"/>
      <c r="BI101" s="27" t="s">
        <v>674</v>
      </c>
      <c r="BJ101" s="27"/>
      <c r="BK101" s="27"/>
      <c r="BL101" s="27" t="s">
        <v>675</v>
      </c>
      <c r="BM101" s="27"/>
      <c r="BN101" s="28"/>
      <c r="BO101" s="21">
        <f t="shared" si="5"/>
        <v>2</v>
      </c>
    </row>
    <row r="102" customHeight="1" spans="1:67">
      <c r="A102" s="23"/>
      <c r="B102" s="30"/>
      <c r="C102" s="16">
        <v>10</v>
      </c>
      <c r="D102" s="17"/>
      <c r="E102" s="17">
        <v>1</v>
      </c>
      <c r="F102" s="17">
        <v>1</v>
      </c>
      <c r="G102" s="17"/>
      <c r="H102" s="17">
        <v>1</v>
      </c>
      <c r="I102" s="17"/>
      <c r="J102" s="17">
        <v>2</v>
      </c>
      <c r="K102" s="17"/>
      <c r="L102" s="17"/>
      <c r="M102" s="17">
        <v>1</v>
      </c>
      <c r="N102" s="17">
        <v>1</v>
      </c>
      <c r="O102" s="17"/>
      <c r="P102" s="17">
        <v>1</v>
      </c>
      <c r="Q102" s="17"/>
      <c r="R102" s="17">
        <v>1</v>
      </c>
      <c r="S102" s="17"/>
      <c r="T102" s="17"/>
      <c r="U102" s="17"/>
      <c r="V102" s="17"/>
      <c r="W102" s="17">
        <v>1</v>
      </c>
      <c r="X102" s="17"/>
      <c r="Y102" s="17">
        <v>1</v>
      </c>
      <c r="Z102" s="17"/>
      <c r="AA102" s="17"/>
      <c r="AB102" s="17"/>
      <c r="AC102" s="17"/>
      <c r="AD102" s="17"/>
      <c r="AE102" s="17"/>
      <c r="AF102" s="17"/>
      <c r="AG102" s="17"/>
      <c r="AH102" s="17">
        <v>1</v>
      </c>
      <c r="AI102" s="17"/>
      <c r="AJ102" s="18"/>
      <c r="AK102" s="17"/>
      <c r="AL102" s="17">
        <v>1</v>
      </c>
      <c r="AM102" s="17"/>
      <c r="AN102" s="18"/>
      <c r="AO102" s="17"/>
      <c r="AP102" s="17"/>
      <c r="AQ102" s="17">
        <v>1</v>
      </c>
      <c r="AR102" s="17"/>
      <c r="AS102" s="17">
        <v>1</v>
      </c>
      <c r="AT102" s="17"/>
      <c r="AU102" s="17">
        <v>1</v>
      </c>
      <c r="AV102" s="17"/>
      <c r="AW102" s="17"/>
      <c r="AX102" s="17"/>
      <c r="AY102" s="17"/>
      <c r="AZ102" s="17"/>
      <c r="BA102" s="17"/>
      <c r="BB102" s="17"/>
      <c r="BC102" s="19" cm="1">
        <f t="array" ref="BC102">SUMPRODUCT(--(D102:BB102=INT(D102:BB102)),--(D102:BB102&gt;0))</f>
        <v>15</v>
      </c>
      <c r="BD102" s="19">
        <f t="shared" ref="BD102:BD113" si="6">SUM(D102:BB102)</f>
        <v>16</v>
      </c>
      <c r="BF102" s="27"/>
      <c r="BG102" s="27"/>
      <c r="BH102" s="27"/>
      <c r="BI102" s="27"/>
      <c r="BJ102" s="27"/>
      <c r="BK102" s="27"/>
      <c r="BL102" s="27"/>
      <c r="BM102" s="27"/>
      <c r="BN102" s="28"/>
      <c r="BO102" s="21">
        <f t="shared" ref="BO102:BO113" si="7">COUNTA(BF102:BN102)</f>
        <v>0</v>
      </c>
    </row>
    <row r="103" customHeight="1" spans="1:67">
      <c r="A103" s="23"/>
      <c r="B103" s="30"/>
      <c r="C103" s="16">
        <v>11</v>
      </c>
      <c r="D103" s="17">
        <v>1</v>
      </c>
      <c r="E103" s="17">
        <v>2</v>
      </c>
      <c r="F103" s="17"/>
      <c r="G103" s="17"/>
      <c r="H103" s="17">
        <v>1</v>
      </c>
      <c r="I103" s="17"/>
      <c r="J103" s="17">
        <v>2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>
        <v>1</v>
      </c>
      <c r="X103" s="17"/>
      <c r="Y103" s="17">
        <v>2</v>
      </c>
      <c r="Z103" s="17"/>
      <c r="AA103" s="17"/>
      <c r="AB103" s="17"/>
      <c r="AC103" s="17"/>
      <c r="AD103" s="17">
        <v>1</v>
      </c>
      <c r="AE103" s="17"/>
      <c r="AF103" s="17">
        <v>1</v>
      </c>
      <c r="AG103" s="17">
        <v>2</v>
      </c>
      <c r="AH103" s="17"/>
      <c r="AI103" s="17"/>
      <c r="AJ103" s="18"/>
      <c r="AK103" s="17"/>
      <c r="AL103" s="17">
        <v>1</v>
      </c>
      <c r="AM103" s="17"/>
      <c r="AN103" s="18"/>
      <c r="AO103" s="17">
        <v>1</v>
      </c>
      <c r="AP103" s="17">
        <v>1</v>
      </c>
      <c r="AQ103" s="17"/>
      <c r="AR103" s="17"/>
      <c r="AS103" s="17">
        <v>1</v>
      </c>
      <c r="AT103" s="17"/>
      <c r="AU103" s="17">
        <v>1</v>
      </c>
      <c r="AV103" s="17"/>
      <c r="AW103" s="17">
        <v>1</v>
      </c>
      <c r="AX103" s="17">
        <v>1</v>
      </c>
      <c r="AY103" s="17">
        <v>1</v>
      </c>
      <c r="AZ103" s="17"/>
      <c r="BA103" s="17"/>
      <c r="BB103" s="17"/>
      <c r="BC103" s="19" cm="1">
        <f t="array" ref="BC103">SUMPRODUCT(--(D103:BB103=INT(D103:BB103)),--(D103:BB103&gt;0))</f>
        <v>17</v>
      </c>
      <c r="BD103" s="19">
        <f t="shared" si="6"/>
        <v>21</v>
      </c>
      <c r="BF103" s="27"/>
      <c r="BG103" s="27"/>
      <c r="BH103" s="27"/>
      <c r="BI103" s="27"/>
      <c r="BJ103" s="27"/>
      <c r="BK103" s="27"/>
      <c r="BL103" s="27"/>
      <c r="BM103" s="27"/>
      <c r="BN103" s="28"/>
      <c r="BO103" s="21">
        <f t="shared" si="7"/>
        <v>0</v>
      </c>
    </row>
    <row r="104" customHeight="1" spans="1:67">
      <c r="A104" s="23"/>
      <c r="B104" s="30"/>
      <c r="C104" s="16">
        <v>12</v>
      </c>
      <c r="D104" s="17"/>
      <c r="E104" s="17">
        <v>1</v>
      </c>
      <c r="F104" s="17"/>
      <c r="G104" s="17"/>
      <c r="H104" s="17"/>
      <c r="I104" s="17">
        <v>1</v>
      </c>
      <c r="J104" s="17"/>
      <c r="K104" s="17"/>
      <c r="L104" s="17"/>
      <c r="M104" s="17">
        <v>1</v>
      </c>
      <c r="N104" s="17">
        <v>1</v>
      </c>
      <c r="O104" s="17"/>
      <c r="P104" s="17"/>
      <c r="Q104" s="17"/>
      <c r="R104" s="17"/>
      <c r="S104" s="17"/>
      <c r="T104" s="17"/>
      <c r="U104" s="17"/>
      <c r="V104" s="17">
        <v>1</v>
      </c>
      <c r="W104" s="17"/>
      <c r="X104" s="17"/>
      <c r="Y104" s="17"/>
      <c r="Z104" s="17"/>
      <c r="AA104" s="17"/>
      <c r="AB104" s="17"/>
      <c r="AC104" s="17"/>
      <c r="AD104" s="17"/>
      <c r="AE104" s="17"/>
      <c r="AF104" s="17">
        <v>1</v>
      </c>
      <c r="AG104" s="17"/>
      <c r="AH104" s="17">
        <v>1</v>
      </c>
      <c r="AI104" s="17"/>
      <c r="AJ104" s="18"/>
      <c r="AK104" s="17"/>
      <c r="AL104" s="17"/>
      <c r="AM104" s="17">
        <v>1</v>
      </c>
      <c r="AN104" s="18"/>
      <c r="AO104" s="17"/>
      <c r="AP104" s="17"/>
      <c r="AQ104" s="17"/>
      <c r="AR104" s="17"/>
      <c r="AS104" s="17"/>
      <c r="AT104" s="17"/>
      <c r="AU104" s="17">
        <v>1</v>
      </c>
      <c r="AV104" s="17"/>
      <c r="AW104" s="17"/>
      <c r="AX104" s="17"/>
      <c r="AY104" s="17"/>
      <c r="AZ104" s="17"/>
      <c r="BA104" s="17"/>
      <c r="BB104" s="17"/>
      <c r="BC104" s="19" cm="1">
        <f t="array" ref="BC104">SUMPRODUCT(--(D104:BB104=INT(D104:BB104)),--(D104:BB104&gt;0))</f>
        <v>9</v>
      </c>
      <c r="BD104" s="19">
        <f t="shared" si="6"/>
        <v>9</v>
      </c>
      <c r="BF104" s="27"/>
      <c r="BG104" s="27"/>
      <c r="BH104" s="27"/>
      <c r="BI104" s="27"/>
      <c r="BJ104" s="27"/>
      <c r="BK104" s="27"/>
      <c r="BL104" s="27"/>
      <c r="BM104" s="27"/>
      <c r="BN104" s="28"/>
      <c r="BO104" s="21">
        <f t="shared" si="7"/>
        <v>0</v>
      </c>
    </row>
    <row r="105" customHeight="1" spans="1:67">
      <c r="A105" s="23"/>
      <c r="B105" s="30"/>
      <c r="C105" s="16">
        <v>13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>
        <v>1</v>
      </c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8"/>
      <c r="AK105" s="17"/>
      <c r="AL105" s="17"/>
      <c r="AM105" s="17"/>
      <c r="AN105" s="18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9" cm="1">
        <f t="array" ref="BC105">SUMPRODUCT(--(D105:BB105=INT(D105:BB105)),--(D105:BB105&gt;0))</f>
        <v>1</v>
      </c>
      <c r="BD105" s="19">
        <f t="shared" si="6"/>
        <v>1</v>
      </c>
      <c r="BF105" s="27"/>
      <c r="BG105" s="27"/>
      <c r="BH105" s="27"/>
      <c r="BI105" s="27"/>
      <c r="BJ105" s="27"/>
      <c r="BK105" s="27"/>
      <c r="BL105" s="27"/>
      <c r="BM105" s="27"/>
      <c r="BN105" s="28"/>
      <c r="BO105" s="21">
        <f t="shared" si="7"/>
        <v>0</v>
      </c>
    </row>
    <row r="106" customHeight="1" spans="1:67">
      <c r="A106" s="23"/>
      <c r="B106" s="30"/>
      <c r="C106" s="16">
        <v>16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>
        <v>1</v>
      </c>
      <c r="O106" s="17"/>
      <c r="P106" s="17"/>
      <c r="Q106" s="17"/>
      <c r="R106" s="17"/>
      <c r="S106" s="17"/>
      <c r="T106" s="17"/>
      <c r="U106" s="17"/>
      <c r="V106" s="17"/>
      <c r="W106" s="17">
        <v>1</v>
      </c>
      <c r="X106" s="17"/>
      <c r="Y106" s="17"/>
      <c r="Z106" s="17"/>
      <c r="AA106" s="17"/>
      <c r="AB106" s="17"/>
      <c r="AC106" s="17"/>
      <c r="AD106" s="17"/>
      <c r="AE106" s="17"/>
      <c r="AF106" s="17"/>
      <c r="AG106" s="17">
        <v>1</v>
      </c>
      <c r="AH106" s="17"/>
      <c r="AI106" s="17"/>
      <c r="AJ106" s="18"/>
      <c r="AK106" s="17"/>
      <c r="AL106" s="17"/>
      <c r="AM106" s="17"/>
      <c r="AN106" s="18"/>
      <c r="AO106" s="17"/>
      <c r="AP106" s="17"/>
      <c r="AQ106" s="17">
        <v>2</v>
      </c>
      <c r="AR106" s="17"/>
      <c r="AS106" s="17"/>
      <c r="AT106" s="17"/>
      <c r="AU106" s="17">
        <v>1</v>
      </c>
      <c r="AV106" s="17"/>
      <c r="AW106" s="17"/>
      <c r="AX106" s="17"/>
      <c r="AY106" s="17"/>
      <c r="AZ106" s="17"/>
      <c r="BA106" s="17"/>
      <c r="BB106" s="17"/>
      <c r="BC106" s="19" cm="1">
        <f t="array" ref="BC106">SUMPRODUCT(--(D106:BB106=INT(D106:BB106)),--(D106:BB106&gt;0))</f>
        <v>5</v>
      </c>
      <c r="BD106" s="19">
        <f t="shared" si="6"/>
        <v>6</v>
      </c>
      <c r="BF106" s="27"/>
      <c r="BG106" s="27"/>
      <c r="BH106" s="27"/>
      <c r="BI106" s="27"/>
      <c r="BJ106" s="27" t="s">
        <v>675</v>
      </c>
      <c r="BK106" s="27"/>
      <c r="BL106" s="27"/>
      <c r="BM106" s="27"/>
      <c r="BN106" s="28"/>
      <c r="BO106" s="21">
        <f t="shared" si="7"/>
        <v>1</v>
      </c>
    </row>
    <row r="107" customHeight="1" spans="1:67">
      <c r="A107" s="23"/>
      <c r="B107" s="30"/>
      <c r="C107" s="16">
        <v>17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8"/>
      <c r="AK107" s="17"/>
      <c r="AL107" s="17"/>
      <c r="AM107" s="17"/>
      <c r="AN107" s="18"/>
      <c r="AO107" s="17"/>
      <c r="AP107" s="17"/>
      <c r="AQ107" s="17"/>
      <c r="AR107" s="17"/>
      <c r="AS107" s="17"/>
      <c r="AT107" s="17"/>
      <c r="AU107" s="17">
        <v>1</v>
      </c>
      <c r="AV107" s="17"/>
      <c r="AW107" s="17">
        <v>1</v>
      </c>
      <c r="AX107" s="17"/>
      <c r="AY107" s="17"/>
      <c r="AZ107" s="17"/>
      <c r="BA107" s="17"/>
      <c r="BB107" s="17"/>
      <c r="BC107" s="19" cm="1">
        <f t="array" ref="BC107">SUMPRODUCT(--(D107:BB107=INT(D107:BB107)),--(D107:BB107&gt;0))</f>
        <v>2</v>
      </c>
      <c r="BD107" s="19">
        <f t="shared" si="6"/>
        <v>2</v>
      </c>
      <c r="BF107" s="27"/>
      <c r="BG107" s="27"/>
      <c r="BH107" s="27" t="s">
        <v>674</v>
      </c>
      <c r="BI107" s="27"/>
      <c r="BJ107" s="27"/>
      <c r="BK107" s="27"/>
      <c r="BL107" s="27"/>
      <c r="BM107" s="27"/>
      <c r="BN107" s="28"/>
      <c r="BO107" s="21">
        <f t="shared" si="7"/>
        <v>1</v>
      </c>
    </row>
    <row r="108" customHeight="1" spans="1:67">
      <c r="A108" s="23"/>
      <c r="B108" s="30"/>
      <c r="C108" s="16">
        <v>18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>
        <v>1</v>
      </c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8"/>
      <c r="AK108" s="17"/>
      <c r="AL108" s="17"/>
      <c r="AM108" s="17"/>
      <c r="AN108" s="18"/>
      <c r="AO108" s="17">
        <v>1</v>
      </c>
      <c r="AP108" s="17"/>
      <c r="AQ108" s="17">
        <v>2</v>
      </c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9" cm="1">
        <f t="array" ref="BC108">SUMPRODUCT(--(D108:BB108=INT(D108:BB108)),--(D108:BB108&gt;0))</f>
        <v>3</v>
      </c>
      <c r="BD108" s="19">
        <f t="shared" si="6"/>
        <v>4</v>
      </c>
      <c r="BF108" s="27"/>
      <c r="BG108" s="27" t="s">
        <v>675</v>
      </c>
      <c r="BH108" s="27"/>
      <c r="BI108" s="27"/>
      <c r="BJ108" s="27"/>
      <c r="BK108" s="27"/>
      <c r="BL108" s="27"/>
      <c r="BM108" s="27"/>
      <c r="BN108" s="28"/>
      <c r="BO108" s="21">
        <f t="shared" si="7"/>
        <v>1</v>
      </c>
    </row>
    <row r="109" customHeight="1" spans="1:67">
      <c r="A109" s="23"/>
      <c r="B109" s="30"/>
      <c r="C109" s="16">
        <v>24</v>
      </c>
      <c r="D109" s="17"/>
      <c r="E109" s="17">
        <v>1</v>
      </c>
      <c r="F109" s="17">
        <v>1</v>
      </c>
      <c r="G109" s="17"/>
      <c r="H109" s="17"/>
      <c r="I109" s="17">
        <v>2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>
        <v>1</v>
      </c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8"/>
      <c r="AK109" s="17"/>
      <c r="AL109" s="17"/>
      <c r="AM109" s="17"/>
      <c r="AN109" s="18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9" cm="1">
        <f t="array" ref="BC109">SUMPRODUCT(--(D109:BB109=INT(D109:BB109)),--(D109:BB109&gt;0))</f>
        <v>4</v>
      </c>
      <c r="BD109" s="19">
        <f t="shared" si="6"/>
        <v>5</v>
      </c>
      <c r="BF109" s="27"/>
      <c r="BG109" s="27"/>
      <c r="BH109" s="27"/>
      <c r="BI109" s="27"/>
      <c r="BJ109" s="27"/>
      <c r="BK109" s="27"/>
      <c r="BL109" s="27"/>
      <c r="BM109" s="27"/>
      <c r="BN109" s="28"/>
      <c r="BO109" s="21">
        <f t="shared" si="7"/>
        <v>0</v>
      </c>
    </row>
    <row r="110" customHeight="1" spans="1:67">
      <c r="A110" s="23"/>
      <c r="B110" s="30"/>
      <c r="C110" s="16">
        <v>25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>
        <v>1</v>
      </c>
      <c r="Q110" s="17"/>
      <c r="R110" s="17">
        <v>1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8"/>
      <c r="AK110" s="17"/>
      <c r="AL110" s="17"/>
      <c r="AM110" s="17"/>
      <c r="AN110" s="18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9" cm="1">
        <f t="array" ref="BC110">SUMPRODUCT(--(D110:BB110=INT(D110:BB110)),--(D110:BB110&gt;0))</f>
        <v>2</v>
      </c>
      <c r="BD110" s="19">
        <f t="shared" si="6"/>
        <v>2</v>
      </c>
      <c r="BF110" s="27"/>
      <c r="BG110" s="27"/>
      <c r="BH110" s="27"/>
      <c r="BI110" s="27"/>
      <c r="BJ110" s="27"/>
      <c r="BK110" s="27"/>
      <c r="BL110" s="27"/>
      <c r="BM110" s="27"/>
      <c r="BN110" s="28"/>
      <c r="BO110" s="21">
        <f t="shared" si="7"/>
        <v>0</v>
      </c>
    </row>
    <row r="111" customHeight="1" spans="1:67">
      <c r="A111" s="23"/>
      <c r="B111" s="30"/>
      <c r="C111" s="16">
        <v>26</v>
      </c>
      <c r="D111" s="17"/>
      <c r="E111" s="17"/>
      <c r="F111" s="17"/>
      <c r="G111" s="17"/>
      <c r="H111" s="17"/>
      <c r="I111" s="17"/>
      <c r="J111" s="17"/>
      <c r="K111" s="17"/>
      <c r="L111" s="17">
        <v>1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8"/>
      <c r="AK111" s="17"/>
      <c r="AL111" s="17"/>
      <c r="AM111" s="17"/>
      <c r="AN111" s="18"/>
      <c r="AO111" s="17"/>
      <c r="AP111" s="17"/>
      <c r="AQ111" s="17">
        <v>1</v>
      </c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9" cm="1">
        <f t="array" ref="BC111">SUMPRODUCT(--(D111:BB111=INT(D111:BB111)),--(D111:BB111&gt;0))</f>
        <v>2</v>
      </c>
      <c r="BD111" s="19">
        <f t="shared" si="6"/>
        <v>2</v>
      </c>
      <c r="BF111" s="27"/>
      <c r="BG111" s="27"/>
      <c r="BH111" s="27"/>
      <c r="BI111" s="27"/>
      <c r="BJ111" s="27"/>
      <c r="BK111" s="27"/>
      <c r="BL111" s="27"/>
      <c r="BM111" s="27"/>
      <c r="BN111" s="28"/>
      <c r="BO111" s="21">
        <f t="shared" si="7"/>
        <v>0</v>
      </c>
    </row>
    <row r="112" customHeight="1" spans="1:67">
      <c r="A112" s="31" t="s">
        <v>679</v>
      </c>
      <c r="B112" s="32"/>
      <c r="C112" s="33"/>
      <c r="D112" s="34">
        <f>SUM(D2:D111)</f>
        <v>6</v>
      </c>
      <c r="E112" s="34">
        <f t="shared" ref="E112:AJ112" si="8">SUM(E2:E111)</f>
        <v>55</v>
      </c>
      <c r="F112" s="34">
        <f t="shared" si="8"/>
        <v>18</v>
      </c>
      <c r="G112" s="34">
        <f t="shared" si="8"/>
        <v>9</v>
      </c>
      <c r="H112" s="34">
        <f t="shared" si="8"/>
        <v>17</v>
      </c>
      <c r="I112" s="34">
        <f t="shared" si="8"/>
        <v>52</v>
      </c>
      <c r="J112" s="34">
        <f t="shared" si="8"/>
        <v>47</v>
      </c>
      <c r="K112" s="34">
        <f t="shared" si="8"/>
        <v>4</v>
      </c>
      <c r="L112" s="34">
        <f t="shared" si="8"/>
        <v>26</v>
      </c>
      <c r="M112" s="34">
        <f t="shared" si="8"/>
        <v>7</v>
      </c>
      <c r="N112" s="34">
        <f t="shared" si="8"/>
        <v>29</v>
      </c>
      <c r="O112" s="34">
        <f t="shared" si="8"/>
        <v>8</v>
      </c>
      <c r="P112" s="34">
        <f t="shared" si="8"/>
        <v>47</v>
      </c>
      <c r="Q112" s="34">
        <f t="shared" si="8"/>
        <v>5</v>
      </c>
      <c r="R112" s="34">
        <f t="shared" si="8"/>
        <v>11</v>
      </c>
      <c r="S112" s="34">
        <f t="shared" si="8"/>
        <v>1</v>
      </c>
      <c r="T112" s="34">
        <f t="shared" si="8"/>
        <v>15</v>
      </c>
      <c r="U112" s="34">
        <f t="shared" si="8"/>
        <v>2</v>
      </c>
      <c r="V112" s="34">
        <f t="shared" si="8"/>
        <v>7</v>
      </c>
      <c r="W112" s="34">
        <f t="shared" si="8"/>
        <v>42</v>
      </c>
      <c r="X112" s="34">
        <f t="shared" si="8"/>
        <v>1</v>
      </c>
      <c r="Y112" s="34">
        <f t="shared" si="8"/>
        <v>36</v>
      </c>
      <c r="Z112" s="34">
        <f t="shared" si="8"/>
        <v>1</v>
      </c>
      <c r="AA112" s="34">
        <f t="shared" si="8"/>
        <v>0</v>
      </c>
      <c r="AB112" s="34">
        <f t="shared" si="8"/>
        <v>1</v>
      </c>
      <c r="AC112" s="34">
        <f t="shared" si="8"/>
        <v>32</v>
      </c>
      <c r="AD112" s="34">
        <f t="shared" si="8"/>
        <v>22</v>
      </c>
      <c r="AE112" s="34">
        <f t="shared" si="8"/>
        <v>17</v>
      </c>
      <c r="AF112" s="34">
        <f t="shared" si="8"/>
        <v>28</v>
      </c>
      <c r="AG112" s="34">
        <f t="shared" si="8"/>
        <v>36</v>
      </c>
      <c r="AH112" s="34">
        <f t="shared" si="8"/>
        <v>16</v>
      </c>
      <c r="AI112" s="34">
        <f t="shared" si="8"/>
        <v>0</v>
      </c>
      <c r="AJ112" s="34">
        <f t="shared" si="8"/>
        <v>0</v>
      </c>
      <c r="AK112" s="34">
        <f t="shared" ref="AK112:BB112" si="9">SUM(AK2:AK111)</f>
        <v>2</v>
      </c>
      <c r="AL112" s="34">
        <f t="shared" si="9"/>
        <v>23</v>
      </c>
      <c r="AM112" s="34">
        <f t="shared" si="9"/>
        <v>19</v>
      </c>
      <c r="AN112" s="34">
        <f t="shared" si="9"/>
        <v>0</v>
      </c>
      <c r="AO112" s="34">
        <f t="shared" si="9"/>
        <v>64</v>
      </c>
      <c r="AP112" s="34">
        <f t="shared" si="9"/>
        <v>52</v>
      </c>
      <c r="AQ112" s="34">
        <f t="shared" si="9"/>
        <v>67</v>
      </c>
      <c r="AR112" s="34">
        <f t="shared" si="9"/>
        <v>1</v>
      </c>
      <c r="AS112" s="34">
        <f t="shared" si="9"/>
        <v>53</v>
      </c>
      <c r="AT112" s="34">
        <f t="shared" si="9"/>
        <v>0</v>
      </c>
      <c r="AU112" s="34">
        <f t="shared" si="9"/>
        <v>91</v>
      </c>
      <c r="AV112" s="34">
        <f t="shared" si="9"/>
        <v>0</v>
      </c>
      <c r="AW112" s="34">
        <f t="shared" si="9"/>
        <v>36</v>
      </c>
      <c r="AX112" s="34">
        <f t="shared" si="9"/>
        <v>11</v>
      </c>
      <c r="AY112" s="34">
        <f t="shared" si="9"/>
        <v>8</v>
      </c>
      <c r="AZ112" s="34">
        <f t="shared" si="9"/>
        <v>1</v>
      </c>
      <c r="BA112" s="34">
        <f t="shared" si="9"/>
        <v>0</v>
      </c>
      <c r="BB112" s="34">
        <f t="shared" si="9"/>
        <v>2</v>
      </c>
      <c r="BC112" s="35" t="s">
        <v>680</v>
      </c>
      <c r="BD112" s="36"/>
      <c r="BE112" s="37"/>
      <c r="BF112" s="21">
        <f>COUNTA(BF24:BF111)</f>
        <v>1</v>
      </c>
      <c r="BG112" s="21">
        <f t="shared" ref="BG112:BN112" si="10">COUNTA(BG24:BG111)</f>
        <v>3</v>
      </c>
      <c r="BH112" s="21">
        <f t="shared" si="10"/>
        <v>10</v>
      </c>
      <c r="BI112" s="21">
        <f t="shared" si="10"/>
        <v>11</v>
      </c>
      <c r="BJ112" s="21">
        <f t="shared" si="10"/>
        <v>3</v>
      </c>
      <c r="BK112" s="21">
        <f t="shared" si="10"/>
        <v>5</v>
      </c>
      <c r="BL112" s="21">
        <f t="shared" si="10"/>
        <v>9</v>
      </c>
      <c r="BM112" s="21">
        <f t="shared" si="10"/>
        <v>2</v>
      </c>
      <c r="BN112" s="21">
        <f t="shared" si="10"/>
        <v>0</v>
      </c>
      <c r="BO112" s="38">
        <f>SUM(BF112:BN112)</f>
        <v>44</v>
      </c>
    </row>
    <row r="113" customHeight="1" spans="1:67">
      <c r="A113" s="31" t="s">
        <v>681</v>
      </c>
      <c r="B113" s="32"/>
      <c r="C113" s="33"/>
      <c r="D113" s="34" cm="1">
        <f t="array" ref="D113">SUMPRODUCT(--(D2:D111=INT(D2:D111)),--(D2:D111&gt;0))</f>
        <v>5</v>
      </c>
      <c r="E113" s="34" cm="1">
        <f t="array" ref="E113">SUMPRODUCT(--(E2:E111=INT(E2:E111)),--(E2:E111&gt;0))</f>
        <v>50</v>
      </c>
      <c r="F113" s="34" cm="1">
        <f t="array" ref="F113">SUMPRODUCT(--(F2:F111=INT(F2:F111)),--(F2:F111&gt;0))</f>
        <v>18</v>
      </c>
      <c r="G113" s="34" cm="1">
        <f t="array" ref="G113">SUMPRODUCT(--(G2:G111=INT(G2:G111)),--(G2:G111&gt;0))</f>
        <v>9</v>
      </c>
      <c r="H113" s="34" cm="1">
        <f t="array" ref="H113">SUMPRODUCT(--(H2:H111=INT(H2:H111)),--(H2:H111&gt;0))</f>
        <v>16</v>
      </c>
      <c r="I113" s="34" cm="1">
        <f t="array" ref="I113">SUMPRODUCT(--(I2:I111=INT(I2:I111)),--(I2:I111&gt;0))</f>
        <v>50</v>
      </c>
      <c r="J113" s="34" cm="1">
        <f t="array" ref="J113">SUMPRODUCT(--(J2:J111=INT(J2:J111)),--(J2:J111&gt;0))</f>
        <v>41</v>
      </c>
      <c r="K113" s="34" cm="1">
        <f t="array" ref="K113">SUMPRODUCT(--(K2:K111=INT(K2:K111)),--(K2:K111&gt;0))</f>
        <v>4</v>
      </c>
      <c r="L113" s="34" cm="1">
        <f t="array" ref="L113">SUMPRODUCT(--(L2:L111=INT(L2:L111)),--(L2:L111&gt;0))</f>
        <v>21</v>
      </c>
      <c r="M113" s="34" cm="1">
        <f t="array" ref="M113">SUMPRODUCT(--(M2:M111=INT(M2:M111)),--(M2:M111&gt;0))</f>
        <v>7</v>
      </c>
      <c r="N113" s="34" cm="1">
        <f t="array" ref="N113">SUMPRODUCT(--(N2:N111=INT(N2:N111)),--(N2:N111&gt;0))</f>
        <v>28</v>
      </c>
      <c r="O113" s="34" cm="1">
        <f t="array" ref="O113">SUMPRODUCT(--(O2:O111=INT(O2:O111)),--(O2:O111&gt;0))</f>
        <v>8</v>
      </c>
      <c r="P113" s="34" cm="1">
        <f t="array" ref="P113">SUMPRODUCT(--(P2:P111=INT(P2:P111)),--(P2:P111&gt;0))</f>
        <v>40</v>
      </c>
      <c r="Q113" s="34" cm="1">
        <f t="array" ref="Q113">SUMPRODUCT(--(Q2:Q111=INT(Q2:Q111)),--(Q2:Q111&gt;0))</f>
        <v>5</v>
      </c>
      <c r="R113" s="34" cm="1">
        <f t="array" ref="R113">SUMPRODUCT(--(R2:R111=INT(R2:R111)),--(R2:R111&gt;0))</f>
        <v>11</v>
      </c>
      <c r="S113" s="34" cm="1">
        <f t="array" ref="S113">SUMPRODUCT(--(S2:S111=INT(S2:S111)),--(S2:S111&gt;0))</f>
        <v>1</v>
      </c>
      <c r="T113" s="34" cm="1">
        <f t="array" ref="T113">SUMPRODUCT(--(T2:T111=INT(T2:T111)),--(T2:T111&gt;0))</f>
        <v>14</v>
      </c>
      <c r="U113" s="34" cm="1">
        <f t="array" ref="U113">SUMPRODUCT(--(U2:U111=INT(U2:U111)),--(U2:U111&gt;0))</f>
        <v>2</v>
      </c>
      <c r="V113" s="34" cm="1">
        <f t="array" ref="V113">SUMPRODUCT(--(V2:V111=INT(V2:V111)),--(V2:V111&gt;0))</f>
        <v>6</v>
      </c>
      <c r="W113" s="34" cm="1">
        <f t="array" ref="W113">SUMPRODUCT(--(W2:W111=INT(W2:W111)),--(W2:W111&gt;0))</f>
        <v>36</v>
      </c>
      <c r="X113" s="34" cm="1">
        <f t="array" ref="X113">SUMPRODUCT(--(X2:X111=INT(X2:X111)),--(X2:X111&gt;0))</f>
        <v>1</v>
      </c>
      <c r="Y113" s="34" cm="1">
        <f t="array" ref="Y113">SUMPRODUCT(--(Y2:Y111=INT(Y2:Y111)),--(Y2:Y111&gt;0))</f>
        <v>33</v>
      </c>
      <c r="Z113" s="34" cm="1">
        <f t="array" ref="Z113">SUMPRODUCT(--(Z2:Z111=INT(Z2:Z111)),--(Z2:Z111&gt;0))</f>
        <v>1</v>
      </c>
      <c r="AA113" s="34" cm="1">
        <f t="array" ref="AA113">SUMPRODUCT(--(AA2:AA111=INT(AA2:AA111)),--(AA2:AA111&gt;0))</f>
        <v>0</v>
      </c>
      <c r="AB113" s="34" cm="1">
        <f t="array" ref="AB113">SUMPRODUCT(--(AB2:AB111=INT(AB2:AB111)),--(AB2:AB111&gt;0))</f>
        <v>1</v>
      </c>
      <c r="AC113" s="34" cm="1">
        <f t="array" ref="AC113">SUMPRODUCT(--(AC2:AC111=INT(AC2:AC111)),--(AC2:AC111&gt;0))</f>
        <v>27</v>
      </c>
      <c r="AD113" s="34" cm="1">
        <f t="array" ref="AD113">SUMPRODUCT(--(AD2:AD111=INT(AD2:AD111)),--(AD2:AD111&gt;0))</f>
        <v>21</v>
      </c>
      <c r="AE113" s="34" cm="1">
        <f t="array" ref="AE113">SUMPRODUCT(--(AE2:AE111=INT(AE2:AE111)),--(AE2:AE111&gt;0))</f>
        <v>16</v>
      </c>
      <c r="AF113" s="34" cm="1">
        <f t="array" ref="AF113">SUMPRODUCT(--(AF2:AF111=INT(AF2:AF111)),--(AF2:AF111&gt;0))</f>
        <v>26</v>
      </c>
      <c r="AG113" s="34" cm="1">
        <f t="array" ref="AG113">SUMPRODUCT(--(AG2:AG111=INT(AG2:AG111)),--(AG2:AG111&gt;0))</f>
        <v>31</v>
      </c>
      <c r="AH113" s="34" cm="1">
        <f t="array" ref="AH113">SUMPRODUCT(--(AH2:AH111=INT(AH2:AH111)),--(AH2:AH111&gt;0))</f>
        <v>16</v>
      </c>
      <c r="AI113" s="34" cm="1">
        <f t="array" ref="AI113">SUMPRODUCT(--(AI2:AI111=INT(AI2:AI111)),--(AI2:AI111&gt;0))</f>
        <v>0</v>
      </c>
      <c r="AJ113" s="34" cm="1">
        <f t="array" ref="AJ113">SUMPRODUCT(--(AJ2:AJ111=INT(AJ2:AJ111)),--(AJ2:AJ111&gt;0))</f>
        <v>0</v>
      </c>
      <c r="AK113" s="34" cm="1">
        <f t="array" ref="AK113">SUMPRODUCT(--(AK2:AK111=INT(AK2:AK111)),--(AK2:AK111&gt;0))</f>
        <v>2</v>
      </c>
      <c r="AL113" s="34" cm="1">
        <f t="array" ref="AL113">SUMPRODUCT(--(AL2:AL111=INT(AL2:AL111)),--(AL2:AL111&gt;0))</f>
        <v>22</v>
      </c>
      <c r="AM113" s="34" cm="1">
        <f t="array" ref="AM113">SUMPRODUCT(--(AM2:AM111=INT(AM2:AM111)),--(AM2:AM111&gt;0))</f>
        <v>17</v>
      </c>
      <c r="AN113" s="34" cm="1">
        <f t="array" ref="AN113">SUMPRODUCT(--(AN2:AN111=INT(AN2:AN111)),--(AN2:AN111&gt;0))</f>
        <v>0</v>
      </c>
      <c r="AO113" s="34" cm="1">
        <f t="array" ref="AO113">SUMPRODUCT(--(AO2:AO111=INT(AO2:AO111)),--(AO2:AO111&gt;0))</f>
        <v>53</v>
      </c>
      <c r="AP113" s="34" cm="1">
        <f t="array" ref="AP113">SUMPRODUCT(--(AP2:AP111=INT(AP2:AP111)),--(AP2:AP111&gt;0))</f>
        <v>42</v>
      </c>
      <c r="AQ113" s="34" cm="1">
        <f t="array" ref="AQ113">SUMPRODUCT(--(AQ2:AQ111=INT(AQ2:AQ111)),--(AQ2:AQ111&gt;0))</f>
        <v>51</v>
      </c>
      <c r="AR113" s="34" cm="1">
        <f t="array" ref="AR113">SUMPRODUCT(--(AR2:AR111=INT(AR2:AR111)),--(AR2:AR111&gt;0))</f>
        <v>1</v>
      </c>
      <c r="AS113" s="34" cm="1">
        <f t="array" ref="AS113">SUMPRODUCT(--(AS2:AS111=INT(AS2:AS111)),--(AS2:AS111&gt;0))</f>
        <v>45</v>
      </c>
      <c r="AT113" s="34" cm="1">
        <f t="array" ref="AT113">SUMPRODUCT(--(AT2:AT111=INT(AT2:AT111)),--(AT2:AT111&gt;0))</f>
        <v>0</v>
      </c>
      <c r="AU113" s="34" cm="1">
        <f t="array" ref="AU113">SUMPRODUCT(--(AU2:AU111=INT(AU2:AU111)),--(AU2:AU111&gt;0))</f>
        <v>70</v>
      </c>
      <c r="AV113" s="34" cm="1">
        <f t="array" ref="AV113">SUMPRODUCT(--(AV2:AV111=INT(AV2:AV111)),--(AV2:AV111&gt;0))</f>
        <v>0</v>
      </c>
      <c r="AW113" s="34" cm="1">
        <f t="array" ref="AW113">SUMPRODUCT(--(AW2:AW111=INT(AW2:AW111)),--(AW2:AW111&gt;0))</f>
        <v>32</v>
      </c>
      <c r="AX113" s="34" cm="1">
        <f t="array" ref="AX113">SUMPRODUCT(--(AX2:AX111=INT(AX2:AX111)),--(AX2:AX111&gt;0))</f>
        <v>11</v>
      </c>
      <c r="AY113" s="34" cm="1">
        <f t="array" ref="AY113">SUMPRODUCT(--(AY2:AY111=INT(AY2:AY111)),--(AY2:AY111&gt;0))</f>
        <v>8</v>
      </c>
      <c r="AZ113" s="34" cm="1">
        <f t="array" ref="AZ113">SUMPRODUCT(--(AZ2:AZ111=INT(AZ2:AZ111)),--(AZ2:AZ111&gt;0))</f>
        <v>1</v>
      </c>
      <c r="BA113" s="34" cm="1">
        <f t="array" ref="BA113">SUMPRODUCT(--(BA2:BA111=INT(BA2:BA111)),--(BA2:BA111&gt;0))</f>
        <v>0</v>
      </c>
      <c r="BB113" s="34" cm="1">
        <f t="array" ref="BB113">SUMPRODUCT(--(BB2:BB111=INT(BB2:BB111)),--(BB2:BB111&gt;0))</f>
        <v>2</v>
      </c>
      <c r="BC113" s="36"/>
      <c r="BD113" s="36"/>
      <c r="BF113" s="39" t="s">
        <v>682</v>
      </c>
      <c r="BG113" s="40"/>
      <c r="BH113" s="40"/>
      <c r="BI113" s="40"/>
      <c r="BJ113" s="40"/>
      <c r="BK113" s="40"/>
      <c r="BL113" s="40"/>
      <c r="BM113" s="40"/>
      <c r="BN113" s="40"/>
      <c r="BO113" s="41"/>
    </row>
    <row r="114" customHeight="1" spans="1:67">
      <c r="A114" s="31" t="s">
        <v>683</v>
      </c>
      <c r="B114" s="32"/>
      <c r="C114" s="33"/>
      <c r="D114" s="34" cm="1">
        <f t="array" ref="D114">MAX(FREQUENCY(IF((D2:D111=INT(D2:D111))*(D2:D111&gt;0),ROW(D2:D111)),IF((D2:D111&lt;&gt;INT(D2:D111))+(D2:D111&lt;=0),ROW(D2:D111))))</f>
        <v>1</v>
      </c>
      <c r="E114" s="34" cm="1">
        <f t="array" ref="E114">MAX(FREQUENCY(IF((E2:E111=INT(E2:E111))*(E2:E111&gt;0),ROW(E2:E111)),IF((E2:E111&lt;&gt;INT(E2:E111))+(E2:E111&lt;=0),ROW(E2:E111))))</f>
        <v>6</v>
      </c>
      <c r="F114" s="34" cm="1">
        <f t="array" ref="F114">MAX(FREQUENCY(IF((F2:F111=INT(F2:F111))*(F2:F111&gt;0),ROW(F2:F111)),IF((F2:F111&lt;&gt;INT(F2:F111))+(F2:F111&lt;=0),ROW(F2:F111))))</f>
        <v>3</v>
      </c>
      <c r="G114" s="34" cm="1">
        <f t="array" ref="G114">MAX(FREQUENCY(IF((G2:G111=INT(G2:G111))*(G2:G111&gt;0),ROW(G2:G111)),IF((G2:G111&lt;&gt;INT(G2:G111))+(G2:G111&lt;=0),ROW(G2:G111))))</f>
        <v>3</v>
      </c>
      <c r="H114" s="34" cm="1">
        <f t="array" ref="H114">MAX(FREQUENCY(IF((H2:H111=INT(H2:H111))*(H2:H111&gt;0),ROW(H2:H111)),IF((H2:H111&lt;&gt;INT(H2:H111))+(H2:H111&lt;=0),ROW(H2:H111))))</f>
        <v>4</v>
      </c>
      <c r="I114" s="34" cm="1">
        <f t="array" ref="I114">MAX(FREQUENCY(IF((I2:I111=INT(I2:I111))*(I2:I111&gt;0),ROW(I2:I111)),IF((I2:I111&lt;&gt;INT(I2:I111))+(I2:I111&lt;=0),ROW(I2:I111))))</f>
        <v>5</v>
      </c>
      <c r="J114" s="34" cm="1">
        <f t="array" ref="J114">MAX(FREQUENCY(IF((J2:J111=INT(J2:J111))*(J2:J111&gt;0),ROW(J2:J111)),IF((J2:J111&lt;&gt;INT(J2:J111))+(J2:J111&lt;=0),ROW(J2:J111))))</f>
        <v>6</v>
      </c>
      <c r="K114" s="34" cm="1">
        <f t="array" ref="K114">MAX(FREQUENCY(IF((K2:K111=INT(K2:K111))*(K2:K111&gt;0),ROW(K2:K111)),IF((K2:K111&lt;&gt;INT(K2:K111))+(K2:K111&lt;=0),ROW(K2:K111))))</f>
        <v>2</v>
      </c>
      <c r="L114" s="34" cm="1">
        <f t="array" ref="L114">MAX(FREQUENCY(IF((L2:L111=INT(L2:L111))*(L2:L111&gt;0),ROW(L2:L111)),IF((L2:L111&lt;&gt;INT(L2:L111))+(L2:L111&lt;=0),ROW(L2:L111))))</f>
        <v>2</v>
      </c>
      <c r="M114" s="34" cm="1">
        <f t="array" ref="M114">MAX(FREQUENCY(IF((M2:M111=INT(M2:M111))*(M2:M111&gt;0),ROW(M2:M111)),IF((M2:M111&lt;&gt;INT(M2:M111))+(M2:M111&lt;=0),ROW(M2:M111))))</f>
        <v>2</v>
      </c>
      <c r="N114" s="34" cm="1">
        <f t="array" ref="N114">MAX(FREQUENCY(IF((N2:N111=INT(N2:N111))*(N2:N111&gt;0),ROW(N2:N111)),IF((N2:N111&lt;&gt;INT(N2:N111))+(N2:N111&lt;=0),ROW(N2:N111))))</f>
        <v>4</v>
      </c>
      <c r="O114" s="34" cm="1">
        <f t="array" ref="O114">MAX(FREQUENCY(IF((O2:O111=INT(O2:O111))*(O2:O111&gt;0),ROW(O2:O111)),IF((O2:O111&lt;&gt;INT(O2:O111))+(O2:O111&lt;=0),ROW(O2:O111))))</f>
        <v>1</v>
      </c>
      <c r="P114" s="34" cm="1">
        <f t="array" ref="P114">MAX(FREQUENCY(IF((P2:P111=INT(P2:P111))*(P2:P111&gt;0),ROW(P2:P111)),IF((P2:P111&lt;&gt;INT(P2:P111))+(P2:P111&lt;=0),ROW(P2:P111))))</f>
        <v>4</v>
      </c>
      <c r="Q114" s="34" cm="1">
        <f t="array" ref="Q114">MAX(FREQUENCY(IF((Q2:Q111=INT(Q2:Q111))*(Q2:Q111&gt;0),ROW(Q2:Q111)),IF((Q2:Q111&lt;&gt;INT(Q2:Q111))+(Q2:Q111&lt;=0),ROW(Q2:Q111))))</f>
        <v>1</v>
      </c>
      <c r="R114" s="34" cm="1">
        <f t="array" ref="R114">MAX(FREQUENCY(IF((R2:R111=INT(R2:R111))*(R2:R111&gt;0),ROW(R2:R111)),IF((R2:R111&lt;&gt;INT(R2:R111))+(R2:R111&lt;=0),ROW(R2:R111))))</f>
        <v>2</v>
      </c>
      <c r="S114" s="34" cm="1">
        <f t="array" ref="S114">MAX(FREQUENCY(IF((S2:S111=INT(S2:S111))*(S2:S111&gt;0),ROW(S2:S111)),IF((S2:S111&lt;&gt;INT(S2:S111))+(S2:S111&lt;=0),ROW(S2:S111))))</f>
        <v>1</v>
      </c>
      <c r="T114" s="34" cm="1">
        <f t="array" ref="T114">MAX(FREQUENCY(IF((T2:T111=INT(T2:T111))*(T2:T111&gt;0),ROW(T2:T111)),IF((T2:T111&lt;&gt;INT(T2:T111))+(T2:T111&lt;=0),ROW(T2:T111))))</f>
        <v>2</v>
      </c>
      <c r="U114" s="34" cm="1">
        <f t="array" ref="U114">MAX(FREQUENCY(IF((U2:U111=INT(U2:U111))*(U2:U111&gt;0),ROW(U2:U111)),IF((U2:U111&lt;&gt;INT(U2:U111))+(U2:U111&lt;=0),ROW(U2:U111))))</f>
        <v>1</v>
      </c>
      <c r="V114" s="34" cm="1">
        <f t="array" ref="V114">MAX(FREQUENCY(IF((V2:V111=INT(V2:V111))*(V2:V111&gt;0),ROW(V2:V111)),IF((V2:V111&lt;&gt;INT(V2:V111))+(V2:V111&lt;=0),ROW(V2:V111))))</f>
        <v>1</v>
      </c>
      <c r="W114" s="34" cm="1">
        <f t="array" ref="W114">MAX(FREQUENCY(IF((W2:W111=INT(W2:W111))*(W2:W111&gt;0),ROW(W2:W111)),IF((W2:W111&lt;&gt;INT(W2:W111))+(W2:W111&lt;=0),ROW(W2:W111))))</f>
        <v>5</v>
      </c>
      <c r="X114" s="34" cm="1">
        <f t="array" ref="X114">MAX(FREQUENCY(IF((X2:X111=INT(X2:X111))*(X2:X111&gt;0),ROW(X2:X111)),IF((X2:X111&lt;&gt;INT(X2:X111))+(X2:X111&lt;=0),ROW(X2:X111))))</f>
        <v>1</v>
      </c>
      <c r="Y114" s="34" cm="1">
        <f t="array" ref="Y114">MAX(FREQUENCY(IF((Y2:Y111=INT(Y2:Y111))*(Y2:Y111&gt;0),ROW(Y2:Y111)),IF((Y2:Y111&lt;&gt;INT(Y2:Y111))+(Y2:Y111&lt;=0),ROW(Y2:Y111))))</f>
        <v>4</v>
      </c>
      <c r="Z114" s="34" cm="1">
        <f t="array" ref="Z114">MAX(FREQUENCY(IF((Z2:Z111=INT(Z2:Z111))*(Z2:Z111&gt;0),ROW(Z2:Z111)),IF((Z2:Z111&lt;&gt;INT(Z2:Z111))+(Z2:Z111&lt;=0),ROW(Z2:Z111))))</f>
        <v>1</v>
      </c>
      <c r="AA114" s="34" cm="1">
        <f t="array" ref="AA114">MAX(FREQUENCY(IF((AA2:AA111=INT(AA2:AA111))*(AA2:AA111&gt;0),ROW(AA2:AA111)),IF((AA2:AA111&lt;&gt;INT(AA2:AA111))+(AA2:AA111&lt;=0),ROW(AA2:AA111))))</f>
        <v>0</v>
      </c>
      <c r="AB114" s="34" cm="1">
        <f t="array" ref="AB114">MAX(FREQUENCY(IF((AB2:AB111=INT(AB2:AB111))*(AB2:AB111&gt;0),ROW(AB2:AB111)),IF((AB2:AB111&lt;&gt;INT(AB2:AB111))+(AB2:AB111&lt;=0),ROW(AB2:AB111))))</f>
        <v>1</v>
      </c>
      <c r="AC114" s="34" cm="1">
        <f t="array" ref="AC114">MAX(FREQUENCY(IF((AC2:AC111=INT(AC2:AC111))*(AC2:AC111&gt;0),ROW(AC2:AC111)),IF((AC2:AC111&lt;&gt;INT(AC2:AC111))+(AC2:AC111&lt;=0),ROW(AC2:AC111))))</f>
        <v>5</v>
      </c>
      <c r="AD114" s="34" cm="1">
        <f t="array" ref="AD114">MAX(FREQUENCY(IF((AD2:AD111=INT(AD2:AD111))*(AD2:AD111&gt;0),ROW(AD2:AD111)),IF((AD2:AD111&lt;&gt;INT(AD2:AD111))+(AD2:AD111&lt;=0),ROW(AD2:AD111))))</f>
        <v>5</v>
      </c>
      <c r="AE114" s="34" cm="1">
        <f t="array" ref="AE114">MAX(FREQUENCY(IF((AE2:AE111=INT(AE2:AE111))*(AE2:AE111&gt;0),ROW(AE2:AE111)),IF((AE2:AE111&lt;&gt;INT(AE2:AE111))+(AE2:AE111&lt;=0),ROW(AE2:AE111))))</f>
        <v>4</v>
      </c>
      <c r="AF114" s="34" cm="1">
        <f t="array" ref="AF114">MAX(FREQUENCY(IF((AF2:AF111=INT(AF2:AF111))*(AF2:AF111&gt;0),ROW(AF2:AF111)),IF((AF2:AF111&lt;&gt;INT(AF2:AF111))+(AF2:AF111&lt;=0),ROW(AF2:AF111))))</f>
        <v>3</v>
      </c>
      <c r="AG114" s="34" cm="1">
        <f t="array" ref="AG114">MAX(FREQUENCY(IF((AG2:AG111=INT(AG2:AG111))*(AG2:AG111&gt;0),ROW(AG2:AG111)),IF((AG2:AG111&lt;&gt;INT(AG2:AG111))+(AG2:AG111&lt;=0),ROW(AG2:AG111))))</f>
        <v>7</v>
      </c>
      <c r="AH114" s="34" cm="1">
        <f t="array" ref="AH114">MAX(FREQUENCY(IF((AH2:AH111=INT(AH2:AH111))*(AH2:AH111&gt;0),ROW(AH2:AH111)),IF((AH2:AH111&lt;&gt;INT(AH2:AH111))+(AH2:AH111&lt;=0),ROW(AH2:AH111))))</f>
        <v>2</v>
      </c>
      <c r="AI114" s="34" cm="1">
        <f t="array" ref="AI114">MAX(FREQUENCY(IF((AI2:AI111=INT(AI2:AI111))*(AI2:AI111&gt;0),ROW(AI2:AI111)),IF((AI2:AI111&lt;&gt;INT(AI2:AI111))+(AI2:AI111&lt;=0),ROW(AI2:AI111))))</f>
        <v>0</v>
      </c>
      <c r="AJ114" s="34" cm="1">
        <f t="array" ref="AJ114">MAX(FREQUENCY(IF((AJ2:AJ111=INT(AJ2:AJ111))*(AJ2:AJ111&gt;0),ROW(AJ2:AJ111)),IF((AJ2:AJ111&lt;&gt;INT(AJ2:AJ111))+(AJ2:AJ111&lt;=0),ROW(AJ2:AJ111))))</f>
        <v>0</v>
      </c>
      <c r="AK114" s="34" cm="1">
        <f t="array" ref="AK114">MAX(FREQUENCY(IF((AK2:AK111=INT(AK2:AK111))*(AK2:AK111&gt;0),ROW(AK2:AK111)),IF((AK2:AK111&lt;&gt;INT(AK2:AK111))+(AK2:AK111&lt;=0),ROW(AK2:AK111))))</f>
        <v>1</v>
      </c>
      <c r="AL114" s="34" cm="1">
        <f t="array" ref="AL114">MAX(FREQUENCY(IF((AL2:AL111=INT(AL2:AL111))*(AL2:AL111&gt;0),ROW(AL2:AL111)),IF((AL2:AL111&lt;&gt;INT(AL2:AL111))+(AL2:AL111&lt;=0),ROW(AL2:AL111))))</f>
        <v>3</v>
      </c>
      <c r="AM114" s="34" cm="1">
        <f t="array" ref="AM114">MAX(FREQUENCY(IF((AM2:AM111=INT(AM2:AM111))*(AM2:AM111&gt;0),ROW(AM2:AM111)),IF((AM2:AM111&lt;&gt;INT(AM2:AM111))+(AM2:AM111&lt;=0),ROW(AM2:AM111))))</f>
        <v>3</v>
      </c>
      <c r="AN114" s="34" cm="1">
        <f t="array" ref="AN114">MAX(FREQUENCY(IF((AN2:AN111=INT(AN2:AN111))*(AN2:AN111&gt;0),ROW(AN2:AN111)),IF((AN2:AN111&lt;&gt;INT(AN2:AN111))+(AN2:AN111&lt;=0),ROW(AN2:AN111))))</f>
        <v>0</v>
      </c>
      <c r="AO114" s="34" cm="1">
        <f t="array" ref="AO114">MAX(FREQUENCY(IF((AO2:AO111=INT(AO2:AO111))*(AO2:AO111&gt;0),ROW(AO2:AO111)),IF((AO2:AO111&lt;&gt;INT(AO2:AO111))+(AO2:AO111&lt;=0),ROW(AO2:AO111))))</f>
        <v>12</v>
      </c>
      <c r="AP114" s="34" cm="1">
        <f t="array" ref="AP114">MAX(FREQUENCY(IF((AP2:AP111=INT(AP2:AP111))*(AP2:AP111&gt;0),ROW(AP2:AP111)),IF((AP2:AP111&lt;&gt;INT(AP2:AP111))+(AP2:AP111&lt;=0),ROW(AP2:AP111))))</f>
        <v>6</v>
      </c>
      <c r="AQ114" s="34" cm="1">
        <f t="array" ref="AQ114">MAX(FREQUENCY(IF((AQ2:AQ111=INT(AQ2:AQ111))*(AQ2:AQ111&gt;0),ROW(AQ2:AQ111)),IF((AQ2:AQ111&lt;&gt;INT(AQ2:AQ111))+(AQ2:AQ111&lt;=0),ROW(AQ2:AQ111))))</f>
        <v>6</v>
      </c>
      <c r="AR114" s="34" cm="1">
        <f t="array" ref="AR114">MAX(FREQUENCY(IF((AR2:AR111=INT(AR2:AR111))*(AR2:AR111&gt;0),ROW(AR2:AR111)),IF((AR2:AR111&lt;&gt;INT(AR2:AR111))+(AR2:AR111&lt;=0),ROW(AR2:AR111))))</f>
        <v>1</v>
      </c>
      <c r="AS114" s="34" cm="1">
        <f t="array" ref="AS114">MAX(FREQUENCY(IF((AS2:AS111=INT(AS2:AS111))*(AS2:AS111&gt;0),ROW(AS2:AS111)),IF((AS2:AS111&lt;&gt;INT(AS2:AS111))+(AS2:AS111&lt;=0),ROW(AS2:AS111))))</f>
        <v>6</v>
      </c>
      <c r="AT114" s="34" cm="1">
        <f t="array" ref="AT114">MAX(FREQUENCY(IF((AT2:AT111=INT(AT2:AT111))*(AT2:AT111&gt;0),ROW(AT2:AT111)),IF((AT2:AT111&lt;&gt;INT(AT2:AT111))+(AT2:AT111&lt;=0),ROW(AT2:AT111))))</f>
        <v>0</v>
      </c>
      <c r="AU114" s="34" cm="1">
        <f t="array" ref="AU114">MAX(FREQUENCY(IF((AU2:AU111=INT(AU2:AU111))*(AU2:AU111&gt;0),ROW(AU2:AU111)),IF((AU2:AU111&lt;&gt;INT(AU2:AU111))+(AU2:AU111&lt;=0),ROW(AU2:AU111))))</f>
        <v>17</v>
      </c>
      <c r="AV114" s="34" cm="1">
        <f t="array" ref="AV114">MAX(FREQUENCY(IF((AV2:AV111=INT(AV2:AV111))*(AV2:AV111&gt;0),ROW(AV2:AV111)),IF((AV2:AV111&lt;&gt;INT(AV2:AV111))+(AV2:AV111&lt;=0),ROW(AV2:AV111))))</f>
        <v>0</v>
      </c>
      <c r="AW114" s="34" cm="1">
        <f t="array" ref="AW114">MAX(FREQUENCY(IF((AW2:AW111=INT(AW2:AW111))*(AW2:AW111&gt;0),ROW(AW2:AW111)),IF((AW2:AW111&lt;&gt;INT(AW2:AW111))+(AW2:AW111&lt;=0),ROW(AW2:AW111))))</f>
        <v>3</v>
      </c>
      <c r="AX114" s="34" cm="1">
        <f t="array" ref="AX114">MAX(FREQUENCY(IF((AX2:AX111=INT(AX2:AX111))*(AX2:AX111&gt;0),ROW(AX2:AX111)),IF((AX2:AX111&lt;&gt;INT(AX2:AX111))+(AX2:AX111&lt;=0),ROW(AX2:AX111))))</f>
        <v>4</v>
      </c>
      <c r="AY114" s="34" cm="1">
        <f t="array" ref="AY114">MAX(FREQUENCY(IF((AY2:AY111=INT(AY2:AY111))*(AY2:AY111&gt;0),ROW(AY2:AY111)),IF((AY2:AY111&lt;&gt;INT(AY2:AY111))+(AY2:AY111&lt;=0),ROW(AY2:AY111))))</f>
        <v>1</v>
      </c>
      <c r="AZ114" s="34" cm="1">
        <f t="array" ref="AZ114">MAX(FREQUENCY(IF((AZ2:AZ111=INT(AZ2:AZ111))*(AZ2:AZ111&gt;0),ROW(AZ2:AZ111)),IF((AZ2:AZ111&lt;&gt;INT(AZ2:AZ111))+(AZ2:AZ111&lt;=0),ROW(AZ2:AZ111))))</f>
        <v>1</v>
      </c>
      <c r="BA114" s="34" cm="1">
        <f t="array" ref="BA114">MAX(FREQUENCY(IF((BA2:BA111=INT(BA2:BA111))*(BA2:BA111&gt;0),ROW(BA2:BA111)),IF((BA2:BA111&lt;&gt;INT(BA2:BA111))+(BA2:BA111&lt;=0),ROW(BA2:BA111))))</f>
        <v>0</v>
      </c>
      <c r="BB114" s="34" cm="1">
        <f t="array" ref="BB114">MAX(FREQUENCY(IF((BB2:BB111=INT(BB2:BB111))*(BB2:BB111&gt;0),ROW(BB2:BB111)),IF((BB2:BB111&lt;&gt;INT(BB2:BB111))+(BB2:BB111&lt;=0),ROW(BB2:BB111))))</f>
        <v>1</v>
      </c>
      <c r="BC114" s="36"/>
      <c r="BD114" s="36"/>
      <c r="BF114" s="42"/>
      <c r="BG114" s="43"/>
      <c r="BH114" s="43"/>
      <c r="BI114" s="43"/>
      <c r="BJ114" s="43"/>
      <c r="BK114" s="43"/>
      <c r="BL114" s="43"/>
      <c r="BM114" s="43"/>
      <c r="BN114" s="43"/>
      <c r="BO114" s="44"/>
    </row>
  </sheetData>
  <mergeCells count="15">
    <mergeCell ref="A1:C1"/>
    <mergeCell ref="A112:C112"/>
    <mergeCell ref="A113:C113"/>
    <mergeCell ref="A114:C114"/>
    <mergeCell ref="A2:A19"/>
    <mergeCell ref="A20:A111"/>
    <mergeCell ref="B2:B19"/>
    <mergeCell ref="B20:B35"/>
    <mergeCell ref="B36:B38"/>
    <mergeCell ref="B39:B60"/>
    <mergeCell ref="B61:B78"/>
    <mergeCell ref="B79:B96"/>
    <mergeCell ref="B97:B111"/>
    <mergeCell ref="BC112:BD114"/>
    <mergeCell ref="BF113:BO114"/>
  </mergeCells>
  <conditionalFormatting sqref="BF16:BN16">
    <cfRule type="colorScale" priority="211">
      <colorScale>
        <cfvo type="min"/>
        <cfvo type="max"/>
        <color rgb="FFFFEF9C"/>
        <color rgb="FF63BE7B"/>
      </colorScale>
    </cfRule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17:BN17">
    <cfRule type="colorScale" priority="210">
      <colorScale>
        <cfvo type="min"/>
        <cfvo type="max"/>
        <color rgb="FFFFEF9C"/>
        <color rgb="FF63BE7B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18:BN18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19:BN19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BB20">
    <cfRule type="colorScale" priority="597">
      <colorScale>
        <cfvo type="min"/>
        <cfvo type="max"/>
        <color theme="4" tint="0.8"/>
        <color theme="4" tint="-0.25"/>
      </colorScale>
    </cfRule>
    <cfRule type="colorScale" priority="598">
      <colorScale>
        <cfvo type="min"/>
        <cfvo type="max"/>
        <color theme="4" tint="-0.25"/>
        <color theme="4" tint="0.8"/>
      </colorScale>
    </cfRule>
  </conditionalFormatting>
  <conditionalFormatting sqref="BF20:BN2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:BB21">
    <cfRule type="colorScale" priority="584">
      <colorScale>
        <cfvo type="min"/>
        <cfvo type="max"/>
        <color theme="4" tint="0.8"/>
        <color theme="4" tint="-0.25"/>
      </colorScale>
    </cfRule>
    <cfRule type="colorScale" priority="596">
      <colorScale>
        <cfvo type="min"/>
        <cfvo type="max"/>
        <color theme="4" tint="-0.25"/>
        <color theme="4" tint="0.8"/>
      </colorScale>
    </cfRule>
  </conditionalFormatting>
  <conditionalFormatting sqref="BF21:BN21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:BB22">
    <cfRule type="colorScale" priority="583">
      <colorScale>
        <cfvo type="min"/>
        <cfvo type="max"/>
        <color theme="4" tint="0.8"/>
        <color theme="4" tint="-0.25"/>
      </colorScale>
    </cfRule>
    <cfRule type="colorScale" priority="595">
      <colorScale>
        <cfvo type="min"/>
        <cfvo type="max"/>
        <color theme="4" tint="-0.25"/>
        <color theme="4" tint="0.8"/>
      </colorScale>
    </cfRule>
  </conditionalFormatting>
  <conditionalFormatting sqref="BF22:BN2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:BB23">
    <cfRule type="colorScale" priority="582">
      <colorScale>
        <cfvo type="min"/>
        <cfvo type="max"/>
        <color theme="4" tint="0.8"/>
        <color theme="4" tint="-0.25"/>
      </colorScale>
    </cfRule>
    <cfRule type="colorScale" priority="594">
      <colorScale>
        <cfvo type="min"/>
        <cfvo type="max"/>
        <color theme="4" tint="-0.25"/>
        <color theme="4" tint="0.8"/>
      </colorScale>
    </cfRule>
  </conditionalFormatting>
  <conditionalFormatting sqref="BF23:BN23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:BB24">
    <cfRule type="colorScale" priority="581">
      <colorScale>
        <cfvo type="min"/>
        <cfvo type="max"/>
        <color theme="4" tint="0.8"/>
        <color theme="4" tint="-0.25"/>
      </colorScale>
    </cfRule>
    <cfRule type="colorScale" priority="593">
      <colorScale>
        <cfvo type="min"/>
        <cfvo type="max"/>
        <color theme="4" tint="-0.25"/>
        <color theme="4" tint="0.8"/>
      </colorScale>
    </cfRule>
  </conditionalFormatting>
  <conditionalFormatting sqref="D25:BB25">
    <cfRule type="colorScale" priority="580">
      <colorScale>
        <cfvo type="min"/>
        <cfvo type="max"/>
        <color theme="4" tint="0.8"/>
        <color theme="4" tint="-0.25"/>
      </colorScale>
    </cfRule>
    <cfRule type="colorScale" priority="592">
      <colorScale>
        <cfvo type="min"/>
        <cfvo type="max"/>
        <color theme="4" tint="-0.25"/>
        <color theme="4" tint="0.8"/>
      </colorScale>
    </cfRule>
  </conditionalFormatting>
  <conditionalFormatting sqref="D26:BB26">
    <cfRule type="colorScale" priority="579">
      <colorScale>
        <cfvo type="min"/>
        <cfvo type="max"/>
        <color theme="4" tint="0.8"/>
        <color theme="4" tint="-0.25"/>
      </colorScale>
    </cfRule>
    <cfRule type="colorScale" priority="591">
      <colorScale>
        <cfvo type="min"/>
        <cfvo type="max"/>
        <color theme="4" tint="-0.25"/>
        <color theme="4" tint="0.8"/>
      </colorScale>
    </cfRule>
  </conditionalFormatting>
  <conditionalFormatting sqref="D27:BB27">
    <cfRule type="colorScale" priority="578">
      <colorScale>
        <cfvo type="min"/>
        <cfvo type="max"/>
        <color theme="4" tint="0.8"/>
        <color theme="4" tint="-0.25"/>
      </colorScale>
    </cfRule>
    <cfRule type="colorScale" priority="590">
      <colorScale>
        <cfvo type="min"/>
        <cfvo type="max"/>
        <color theme="4" tint="-0.25"/>
        <color theme="4" tint="0.8"/>
      </colorScale>
    </cfRule>
  </conditionalFormatting>
  <conditionalFormatting sqref="D28:BB28">
    <cfRule type="colorScale" priority="577">
      <colorScale>
        <cfvo type="min"/>
        <cfvo type="max"/>
        <color theme="4" tint="0.8"/>
        <color theme="4" tint="-0.25"/>
      </colorScale>
    </cfRule>
    <cfRule type="colorScale" priority="589">
      <colorScale>
        <cfvo type="min"/>
        <cfvo type="max"/>
        <color theme="4" tint="-0.25"/>
        <color theme="4" tint="0.8"/>
      </colorScale>
    </cfRule>
  </conditionalFormatting>
  <conditionalFormatting sqref="D29:BB29">
    <cfRule type="colorScale" priority="576">
      <colorScale>
        <cfvo type="min"/>
        <cfvo type="max"/>
        <color theme="4" tint="0.8"/>
        <color theme="4" tint="-0.25"/>
      </colorScale>
    </cfRule>
    <cfRule type="colorScale" priority="588">
      <colorScale>
        <cfvo type="min"/>
        <cfvo type="max"/>
        <color theme="4" tint="-0.25"/>
        <color theme="4" tint="0.8"/>
      </colorScale>
    </cfRule>
  </conditionalFormatting>
  <conditionalFormatting sqref="D30:BB30">
    <cfRule type="colorScale" priority="575">
      <colorScale>
        <cfvo type="min"/>
        <cfvo type="max"/>
        <color theme="4" tint="0.8"/>
        <color theme="4" tint="-0.25"/>
      </colorScale>
    </cfRule>
    <cfRule type="colorScale" priority="587">
      <colorScale>
        <cfvo type="min"/>
        <cfvo type="max"/>
        <color theme="4" tint="-0.25"/>
        <color theme="4" tint="0.8"/>
      </colorScale>
    </cfRule>
  </conditionalFormatting>
  <conditionalFormatting sqref="D31:BB31">
    <cfRule type="colorScale" priority="574">
      <colorScale>
        <cfvo type="min"/>
        <cfvo type="max"/>
        <color theme="4" tint="0.8"/>
        <color theme="4" tint="-0.25"/>
      </colorScale>
    </cfRule>
    <cfRule type="colorScale" priority="586">
      <colorScale>
        <cfvo type="min"/>
        <cfvo type="max"/>
        <color theme="4" tint="-0.25"/>
        <color theme="4" tint="0.8"/>
      </colorScale>
    </cfRule>
  </conditionalFormatting>
  <conditionalFormatting sqref="D32:BB32">
    <cfRule type="colorScale" priority="573">
      <colorScale>
        <cfvo type="min"/>
        <cfvo type="max"/>
        <color theme="4" tint="0.8"/>
        <color theme="4" tint="-0.25"/>
      </colorScale>
    </cfRule>
    <cfRule type="colorScale" priority="585">
      <colorScale>
        <cfvo type="min"/>
        <cfvo type="max"/>
        <color theme="4" tint="-0.25"/>
        <color theme="4" tint="0.8"/>
      </colorScale>
    </cfRule>
  </conditionalFormatting>
  <conditionalFormatting sqref="D33:BB33">
    <cfRule type="colorScale" priority="557">
      <colorScale>
        <cfvo type="min"/>
        <cfvo type="max"/>
        <color theme="4" tint="0.8"/>
        <color theme="4"/>
      </colorScale>
    </cfRule>
    <cfRule type="colorScale" priority="560">
      <colorScale>
        <cfvo type="min"/>
        <cfvo type="max"/>
        <color theme="4"/>
        <color theme="4" tint="0.8"/>
      </colorScale>
    </cfRule>
    <cfRule type="colorScale" priority="563">
      <colorScale>
        <cfvo type="min"/>
        <cfvo type="max"/>
        <color theme="4" tint="0.8"/>
        <color theme="4" tint="-0.25"/>
      </colorScale>
    </cfRule>
    <cfRule type="colorScale" priority="566">
      <colorScale>
        <cfvo type="min"/>
        <cfvo type="max"/>
        <color theme="4" tint="-0.25"/>
        <color theme="4" tint="0.8"/>
      </colorScale>
    </cfRule>
  </conditionalFormatting>
  <conditionalFormatting sqref="D34:BB34">
    <cfRule type="colorScale" priority="556">
      <colorScale>
        <cfvo type="min"/>
        <cfvo type="max"/>
        <color theme="4" tint="0.8"/>
        <color theme="4"/>
      </colorScale>
    </cfRule>
    <cfRule type="colorScale" priority="559">
      <colorScale>
        <cfvo type="min"/>
        <cfvo type="max"/>
        <color theme="4"/>
        <color theme="4" tint="0.8"/>
      </colorScale>
    </cfRule>
    <cfRule type="colorScale" priority="562">
      <colorScale>
        <cfvo type="min"/>
        <cfvo type="max"/>
        <color theme="4" tint="0.8"/>
        <color theme="4" tint="-0.25"/>
      </colorScale>
    </cfRule>
    <cfRule type="colorScale" priority="565">
      <colorScale>
        <cfvo type="min"/>
        <cfvo type="max"/>
        <color theme="4" tint="-0.25"/>
        <color theme="4" tint="0.8"/>
      </colorScale>
    </cfRule>
  </conditionalFormatting>
  <conditionalFormatting sqref="D35:BB35">
    <cfRule type="colorScale" priority="555">
      <colorScale>
        <cfvo type="min"/>
        <cfvo type="max"/>
        <color theme="4" tint="0.8"/>
        <color theme="4"/>
      </colorScale>
    </cfRule>
    <cfRule type="colorScale" priority="558">
      <colorScale>
        <cfvo type="min"/>
        <cfvo type="max"/>
        <color theme="4"/>
        <color theme="4" tint="0.8"/>
      </colorScale>
    </cfRule>
    <cfRule type="colorScale" priority="561">
      <colorScale>
        <cfvo type="min"/>
        <cfvo type="max"/>
        <color theme="4" tint="0.8"/>
        <color theme="4" tint="-0.25"/>
      </colorScale>
    </cfRule>
    <cfRule type="colorScale" priority="564">
      <colorScale>
        <cfvo type="min"/>
        <cfvo type="max"/>
        <color theme="4" tint="-0.25"/>
        <color theme="4" tint="0.8"/>
      </colorScale>
    </cfRule>
  </conditionalFormatting>
  <conditionalFormatting sqref="D36:BB36">
    <cfRule type="colorScale" priority="494">
      <colorScale>
        <cfvo type="min"/>
        <cfvo type="max"/>
        <color theme="4" tint="0.8"/>
        <color theme="4"/>
      </colorScale>
    </cfRule>
    <cfRule type="colorScale" priority="514">
      <colorScale>
        <cfvo type="min"/>
        <cfvo type="max"/>
        <color theme="4"/>
        <color theme="4" tint="0.8"/>
      </colorScale>
    </cfRule>
    <cfRule type="colorScale" priority="534">
      <colorScale>
        <cfvo type="min"/>
        <cfvo type="max"/>
        <color theme="4" tint="0.8"/>
        <color theme="4" tint="-0.25"/>
      </colorScale>
    </cfRule>
    <cfRule type="colorScale" priority="554">
      <colorScale>
        <cfvo type="min"/>
        <cfvo type="max"/>
        <color theme="4" tint="-0.25"/>
        <color theme="4" tint="0.8"/>
      </colorScale>
    </cfRule>
  </conditionalFormatting>
  <conditionalFormatting sqref="D37:BB37">
    <cfRule type="colorScale" priority="493">
      <colorScale>
        <cfvo type="min"/>
        <cfvo type="max"/>
        <color theme="4" tint="0.8"/>
        <color theme="4"/>
      </colorScale>
    </cfRule>
    <cfRule type="colorScale" priority="513">
      <colorScale>
        <cfvo type="min"/>
        <cfvo type="max"/>
        <color theme="4"/>
        <color theme="4" tint="0.8"/>
      </colorScale>
    </cfRule>
    <cfRule type="colorScale" priority="533">
      <colorScale>
        <cfvo type="min"/>
        <cfvo type="max"/>
        <color theme="4" tint="0.8"/>
        <color theme="4" tint="-0.25"/>
      </colorScale>
    </cfRule>
    <cfRule type="colorScale" priority="553">
      <colorScale>
        <cfvo type="min"/>
        <cfvo type="max"/>
        <color theme="4" tint="-0.25"/>
        <color theme="4" tint="0.8"/>
      </colorScale>
    </cfRule>
  </conditionalFormatting>
  <conditionalFormatting sqref="D38:BB38">
    <cfRule type="colorScale" priority="492">
      <colorScale>
        <cfvo type="min"/>
        <cfvo type="max"/>
        <color theme="4" tint="0.8"/>
        <color theme="4"/>
      </colorScale>
    </cfRule>
    <cfRule type="colorScale" priority="512">
      <colorScale>
        <cfvo type="min"/>
        <cfvo type="max"/>
        <color theme="4"/>
        <color theme="4" tint="0.8"/>
      </colorScale>
    </cfRule>
    <cfRule type="colorScale" priority="532">
      <colorScale>
        <cfvo type="min"/>
        <cfvo type="max"/>
        <color theme="4" tint="0.8"/>
        <color theme="4" tint="-0.25"/>
      </colorScale>
    </cfRule>
    <cfRule type="colorScale" priority="552">
      <colorScale>
        <cfvo type="min"/>
        <cfvo type="max"/>
        <color theme="4" tint="-0.25"/>
        <color theme="4" tint="0.8"/>
      </colorScale>
    </cfRule>
  </conditionalFormatting>
  <conditionalFormatting sqref="D39:BB39">
    <cfRule type="colorScale" priority="491">
      <colorScale>
        <cfvo type="min"/>
        <cfvo type="max"/>
        <color theme="4" tint="0.8"/>
        <color theme="4"/>
      </colorScale>
    </cfRule>
    <cfRule type="colorScale" priority="511">
      <colorScale>
        <cfvo type="min"/>
        <cfvo type="max"/>
        <color theme="4"/>
        <color theme="4" tint="0.8"/>
      </colorScale>
    </cfRule>
    <cfRule type="colorScale" priority="531">
      <colorScale>
        <cfvo type="min"/>
        <cfvo type="max"/>
        <color theme="4" tint="0.8"/>
        <color theme="4" tint="-0.25"/>
      </colorScale>
    </cfRule>
    <cfRule type="colorScale" priority="551">
      <colorScale>
        <cfvo type="min"/>
        <cfvo type="max"/>
        <color theme="4" tint="-0.25"/>
        <color theme="4" tint="0.8"/>
      </colorScale>
    </cfRule>
  </conditionalFormatting>
  <conditionalFormatting sqref="D40:BB40">
    <cfRule type="colorScale" priority="490">
      <colorScale>
        <cfvo type="min"/>
        <cfvo type="max"/>
        <color theme="4" tint="0.8"/>
        <color theme="4"/>
      </colorScale>
    </cfRule>
    <cfRule type="colorScale" priority="510">
      <colorScale>
        <cfvo type="min"/>
        <cfvo type="max"/>
        <color theme="4"/>
        <color theme="4" tint="0.8"/>
      </colorScale>
    </cfRule>
    <cfRule type="colorScale" priority="530">
      <colorScale>
        <cfvo type="min"/>
        <cfvo type="max"/>
        <color theme="4" tint="0.8"/>
        <color theme="4" tint="-0.25"/>
      </colorScale>
    </cfRule>
    <cfRule type="colorScale" priority="550">
      <colorScale>
        <cfvo type="min"/>
        <cfvo type="max"/>
        <color theme="4" tint="-0.25"/>
        <color theme="4" tint="0.8"/>
      </colorScale>
    </cfRule>
  </conditionalFormatting>
  <conditionalFormatting sqref="D41:BB41">
    <cfRule type="colorScale" priority="489">
      <colorScale>
        <cfvo type="min"/>
        <cfvo type="max"/>
        <color theme="4" tint="0.8"/>
        <color theme="4"/>
      </colorScale>
    </cfRule>
    <cfRule type="colorScale" priority="509">
      <colorScale>
        <cfvo type="min"/>
        <cfvo type="max"/>
        <color theme="4"/>
        <color theme="4" tint="0.8"/>
      </colorScale>
    </cfRule>
    <cfRule type="colorScale" priority="529">
      <colorScale>
        <cfvo type="min"/>
        <cfvo type="max"/>
        <color theme="4" tint="0.8"/>
        <color theme="4" tint="-0.25"/>
      </colorScale>
    </cfRule>
    <cfRule type="colorScale" priority="549">
      <colorScale>
        <cfvo type="min"/>
        <cfvo type="max"/>
        <color theme="4" tint="-0.25"/>
        <color theme="4" tint="0.8"/>
      </colorScale>
    </cfRule>
  </conditionalFormatting>
  <conditionalFormatting sqref="D42:BB42">
    <cfRule type="colorScale" priority="488">
      <colorScale>
        <cfvo type="min"/>
        <cfvo type="max"/>
        <color theme="4" tint="0.8"/>
        <color theme="4"/>
      </colorScale>
    </cfRule>
    <cfRule type="colorScale" priority="508">
      <colorScale>
        <cfvo type="min"/>
        <cfvo type="max"/>
        <color theme="4"/>
        <color theme="4" tint="0.8"/>
      </colorScale>
    </cfRule>
    <cfRule type="colorScale" priority="528">
      <colorScale>
        <cfvo type="min"/>
        <cfvo type="max"/>
        <color theme="4" tint="0.8"/>
        <color theme="4" tint="-0.25"/>
      </colorScale>
    </cfRule>
    <cfRule type="colorScale" priority="548">
      <colorScale>
        <cfvo type="min"/>
        <cfvo type="max"/>
        <color theme="4" tint="-0.25"/>
        <color theme="4" tint="0.8"/>
      </colorScale>
    </cfRule>
  </conditionalFormatting>
  <conditionalFormatting sqref="D43:BB43">
    <cfRule type="colorScale" priority="487">
      <colorScale>
        <cfvo type="min"/>
        <cfvo type="max"/>
        <color theme="4" tint="0.8"/>
        <color theme="4"/>
      </colorScale>
    </cfRule>
    <cfRule type="colorScale" priority="507">
      <colorScale>
        <cfvo type="min"/>
        <cfvo type="max"/>
        <color theme="4"/>
        <color theme="4" tint="0.8"/>
      </colorScale>
    </cfRule>
    <cfRule type="colorScale" priority="527">
      <colorScale>
        <cfvo type="min"/>
        <cfvo type="max"/>
        <color theme="4" tint="0.8"/>
        <color theme="4" tint="-0.25"/>
      </colorScale>
    </cfRule>
    <cfRule type="colorScale" priority="547">
      <colorScale>
        <cfvo type="min"/>
        <cfvo type="max"/>
        <color theme="4" tint="-0.25"/>
        <color theme="4" tint="0.8"/>
      </colorScale>
    </cfRule>
  </conditionalFormatting>
  <conditionalFormatting sqref="D44:BB44">
    <cfRule type="colorScale" priority="486">
      <colorScale>
        <cfvo type="min"/>
        <cfvo type="max"/>
        <color theme="4" tint="0.8"/>
        <color theme="4"/>
      </colorScale>
    </cfRule>
    <cfRule type="colorScale" priority="506">
      <colorScale>
        <cfvo type="min"/>
        <cfvo type="max"/>
        <color theme="4"/>
        <color theme="4" tint="0.8"/>
      </colorScale>
    </cfRule>
    <cfRule type="colorScale" priority="526">
      <colorScale>
        <cfvo type="min"/>
        <cfvo type="max"/>
        <color theme="4" tint="0.8"/>
        <color theme="4" tint="-0.25"/>
      </colorScale>
    </cfRule>
    <cfRule type="colorScale" priority="546">
      <colorScale>
        <cfvo type="min"/>
        <cfvo type="max"/>
        <color theme="4" tint="-0.25"/>
        <color theme="4" tint="0.8"/>
      </colorScale>
    </cfRule>
  </conditionalFormatting>
  <conditionalFormatting sqref="D45:BB45">
    <cfRule type="colorScale" priority="485">
      <colorScale>
        <cfvo type="min"/>
        <cfvo type="max"/>
        <color theme="4" tint="0.8"/>
        <color theme="4"/>
      </colorScale>
    </cfRule>
    <cfRule type="colorScale" priority="505">
      <colorScale>
        <cfvo type="min"/>
        <cfvo type="max"/>
        <color theme="4"/>
        <color theme="4" tint="0.8"/>
      </colorScale>
    </cfRule>
    <cfRule type="colorScale" priority="525">
      <colorScale>
        <cfvo type="min"/>
        <cfvo type="max"/>
        <color theme="4" tint="0.8"/>
        <color theme="4" tint="-0.25"/>
      </colorScale>
    </cfRule>
    <cfRule type="colorScale" priority="545">
      <colorScale>
        <cfvo type="min"/>
        <cfvo type="max"/>
        <color theme="4" tint="-0.25"/>
        <color theme="4" tint="0.8"/>
      </colorScale>
    </cfRule>
  </conditionalFormatting>
  <conditionalFormatting sqref="D46:BB46">
    <cfRule type="colorScale" priority="484">
      <colorScale>
        <cfvo type="min"/>
        <cfvo type="max"/>
        <color theme="4" tint="0.8"/>
        <color theme="4"/>
      </colorScale>
    </cfRule>
    <cfRule type="colorScale" priority="504">
      <colorScale>
        <cfvo type="min"/>
        <cfvo type="max"/>
        <color theme="4"/>
        <color theme="4" tint="0.8"/>
      </colorScale>
    </cfRule>
    <cfRule type="colorScale" priority="524">
      <colorScale>
        <cfvo type="min"/>
        <cfvo type="max"/>
        <color theme="4" tint="0.8"/>
        <color theme="4" tint="-0.25"/>
      </colorScale>
    </cfRule>
    <cfRule type="colorScale" priority="544">
      <colorScale>
        <cfvo type="min"/>
        <cfvo type="max"/>
        <color theme="4" tint="-0.25"/>
        <color theme="4" tint="0.8"/>
      </colorScale>
    </cfRule>
  </conditionalFormatting>
  <conditionalFormatting sqref="D47:BB47">
    <cfRule type="colorScale" priority="483">
      <colorScale>
        <cfvo type="min"/>
        <cfvo type="max"/>
        <color theme="4" tint="0.8"/>
        <color theme="4"/>
      </colorScale>
    </cfRule>
    <cfRule type="colorScale" priority="503">
      <colorScale>
        <cfvo type="min"/>
        <cfvo type="max"/>
        <color theme="4"/>
        <color theme="4" tint="0.8"/>
      </colorScale>
    </cfRule>
    <cfRule type="colorScale" priority="523">
      <colorScale>
        <cfvo type="min"/>
        <cfvo type="max"/>
        <color theme="4" tint="0.8"/>
        <color theme="4" tint="-0.25"/>
      </colorScale>
    </cfRule>
    <cfRule type="colorScale" priority="543">
      <colorScale>
        <cfvo type="min"/>
        <cfvo type="max"/>
        <color theme="4" tint="-0.25"/>
        <color theme="4" tint="0.8"/>
      </colorScale>
    </cfRule>
  </conditionalFormatting>
  <conditionalFormatting sqref="D48:BB48">
    <cfRule type="colorScale" priority="482">
      <colorScale>
        <cfvo type="min"/>
        <cfvo type="max"/>
        <color theme="4" tint="0.8"/>
        <color theme="4"/>
      </colorScale>
    </cfRule>
    <cfRule type="colorScale" priority="502">
      <colorScale>
        <cfvo type="min"/>
        <cfvo type="max"/>
        <color theme="4"/>
        <color theme="4" tint="0.8"/>
      </colorScale>
    </cfRule>
    <cfRule type="colorScale" priority="522">
      <colorScale>
        <cfvo type="min"/>
        <cfvo type="max"/>
        <color theme="4" tint="0.8"/>
        <color theme="4" tint="-0.25"/>
      </colorScale>
    </cfRule>
    <cfRule type="colorScale" priority="542">
      <colorScale>
        <cfvo type="min"/>
        <cfvo type="max"/>
        <color theme="4" tint="-0.25"/>
        <color theme="4" tint="0.8"/>
      </colorScale>
    </cfRule>
  </conditionalFormatting>
  <conditionalFormatting sqref="D49:BB49">
    <cfRule type="colorScale" priority="481">
      <colorScale>
        <cfvo type="min"/>
        <cfvo type="max"/>
        <color theme="4" tint="0.8"/>
        <color theme="4"/>
      </colorScale>
    </cfRule>
    <cfRule type="colorScale" priority="501">
      <colorScale>
        <cfvo type="min"/>
        <cfvo type="max"/>
        <color theme="4"/>
        <color theme="4" tint="0.8"/>
      </colorScale>
    </cfRule>
    <cfRule type="colorScale" priority="521">
      <colorScale>
        <cfvo type="min"/>
        <cfvo type="max"/>
        <color theme="4" tint="0.8"/>
        <color theme="4" tint="-0.25"/>
      </colorScale>
    </cfRule>
    <cfRule type="colorScale" priority="541">
      <colorScale>
        <cfvo type="min"/>
        <cfvo type="max"/>
        <color theme="4" tint="-0.25"/>
        <color theme="4" tint="0.8"/>
      </colorScale>
    </cfRule>
  </conditionalFormatting>
  <conditionalFormatting sqref="D50:BB50">
    <cfRule type="colorScale" priority="480">
      <colorScale>
        <cfvo type="min"/>
        <cfvo type="max"/>
        <color theme="4" tint="0.8"/>
        <color theme="4"/>
      </colorScale>
    </cfRule>
    <cfRule type="colorScale" priority="500">
      <colorScale>
        <cfvo type="min"/>
        <cfvo type="max"/>
        <color theme="4"/>
        <color theme="4" tint="0.8"/>
      </colorScale>
    </cfRule>
    <cfRule type="colorScale" priority="520">
      <colorScale>
        <cfvo type="min"/>
        <cfvo type="max"/>
        <color theme="4" tint="0.8"/>
        <color theme="4" tint="-0.25"/>
      </colorScale>
    </cfRule>
    <cfRule type="colorScale" priority="540">
      <colorScale>
        <cfvo type="min"/>
        <cfvo type="max"/>
        <color theme="4" tint="-0.25"/>
        <color theme="4" tint="0.8"/>
      </colorScale>
    </cfRule>
  </conditionalFormatting>
  <conditionalFormatting sqref="D51:BB51">
    <cfRule type="colorScale" priority="479">
      <colorScale>
        <cfvo type="min"/>
        <cfvo type="max"/>
        <color theme="4" tint="0.8"/>
        <color theme="4"/>
      </colorScale>
    </cfRule>
    <cfRule type="colorScale" priority="499">
      <colorScale>
        <cfvo type="min"/>
        <cfvo type="max"/>
        <color theme="4"/>
        <color theme="4" tint="0.8"/>
      </colorScale>
    </cfRule>
    <cfRule type="colorScale" priority="519">
      <colorScale>
        <cfvo type="min"/>
        <cfvo type="max"/>
        <color theme="4" tint="0.8"/>
        <color theme="4" tint="-0.25"/>
      </colorScale>
    </cfRule>
    <cfRule type="colorScale" priority="539">
      <colorScale>
        <cfvo type="min"/>
        <cfvo type="max"/>
        <color theme="4" tint="-0.25"/>
        <color theme="4" tint="0.8"/>
      </colorScale>
    </cfRule>
  </conditionalFormatting>
  <conditionalFormatting sqref="D52:BB52">
    <cfRule type="colorScale" priority="478">
      <colorScale>
        <cfvo type="min"/>
        <cfvo type="max"/>
        <color theme="4" tint="0.8"/>
        <color theme="4"/>
      </colorScale>
    </cfRule>
    <cfRule type="colorScale" priority="498">
      <colorScale>
        <cfvo type="min"/>
        <cfvo type="max"/>
        <color theme="4"/>
        <color theme="4" tint="0.8"/>
      </colorScale>
    </cfRule>
    <cfRule type="colorScale" priority="518">
      <colorScale>
        <cfvo type="min"/>
        <cfvo type="max"/>
        <color theme="4" tint="0.8"/>
        <color theme="4" tint="-0.25"/>
      </colorScale>
    </cfRule>
    <cfRule type="colorScale" priority="538">
      <colorScale>
        <cfvo type="min"/>
        <cfvo type="max"/>
        <color theme="4" tint="-0.25"/>
        <color theme="4" tint="0.8"/>
      </colorScale>
    </cfRule>
  </conditionalFormatting>
  <conditionalFormatting sqref="D53:BB53">
    <cfRule type="colorScale" priority="477">
      <colorScale>
        <cfvo type="min"/>
        <cfvo type="max"/>
        <color theme="4" tint="0.8"/>
        <color theme="4"/>
      </colorScale>
    </cfRule>
    <cfRule type="colorScale" priority="497">
      <colorScale>
        <cfvo type="min"/>
        <cfvo type="max"/>
        <color theme="4"/>
        <color theme="4" tint="0.8"/>
      </colorScale>
    </cfRule>
    <cfRule type="colorScale" priority="517">
      <colorScale>
        <cfvo type="min"/>
        <cfvo type="max"/>
        <color theme="4" tint="0.8"/>
        <color theme="4" tint="-0.25"/>
      </colorScale>
    </cfRule>
    <cfRule type="colorScale" priority="537">
      <colorScale>
        <cfvo type="min"/>
        <cfvo type="max"/>
        <color theme="4" tint="-0.25"/>
        <color theme="4" tint="0.8"/>
      </colorScale>
    </cfRule>
  </conditionalFormatting>
  <conditionalFormatting sqref="D54:BB54">
    <cfRule type="colorScale" priority="476">
      <colorScale>
        <cfvo type="min"/>
        <cfvo type="max"/>
        <color theme="4" tint="0.8"/>
        <color theme="4"/>
      </colorScale>
    </cfRule>
    <cfRule type="colorScale" priority="496">
      <colorScale>
        <cfvo type="min"/>
        <cfvo type="max"/>
        <color theme="4"/>
        <color theme="4" tint="0.8"/>
      </colorScale>
    </cfRule>
    <cfRule type="colorScale" priority="516">
      <colorScale>
        <cfvo type="min"/>
        <cfvo type="max"/>
        <color theme="4" tint="0.8"/>
        <color theme="4" tint="-0.25"/>
      </colorScale>
    </cfRule>
    <cfRule type="colorScale" priority="536">
      <colorScale>
        <cfvo type="min"/>
        <cfvo type="max"/>
        <color theme="4" tint="-0.25"/>
        <color theme="4" tint="0.8"/>
      </colorScale>
    </cfRule>
  </conditionalFormatting>
  <conditionalFormatting sqref="D55:BB55">
    <cfRule type="colorScale" priority="475">
      <colorScale>
        <cfvo type="min"/>
        <cfvo type="max"/>
        <color theme="4" tint="0.8"/>
        <color theme="4"/>
      </colorScale>
    </cfRule>
    <cfRule type="colorScale" priority="495">
      <colorScale>
        <cfvo type="min"/>
        <cfvo type="max"/>
        <color theme="4"/>
        <color theme="4" tint="0.8"/>
      </colorScale>
    </cfRule>
    <cfRule type="colorScale" priority="515">
      <colorScale>
        <cfvo type="min"/>
        <cfvo type="max"/>
        <color theme="4" tint="0.8"/>
        <color theme="4" tint="-0.25"/>
      </colorScale>
    </cfRule>
    <cfRule type="colorScale" priority="535">
      <colorScale>
        <cfvo type="min"/>
        <cfvo type="max"/>
        <color theme="4" tint="-0.25"/>
        <color theme="4" tint="0.8"/>
      </colorScale>
    </cfRule>
  </conditionalFormatting>
  <conditionalFormatting sqref="D56:BB56">
    <cfRule type="colorScale" priority="455">
      <colorScale>
        <cfvo type="min"/>
        <cfvo type="max"/>
        <color theme="4" tint="0.8"/>
        <color theme="4"/>
      </colorScale>
    </cfRule>
    <cfRule type="colorScale" priority="460">
      <colorScale>
        <cfvo type="min"/>
        <cfvo type="max"/>
        <color theme="4"/>
        <color theme="4" tint="0.8"/>
      </colorScale>
    </cfRule>
    <cfRule type="colorScale" priority="465">
      <colorScale>
        <cfvo type="min"/>
        <cfvo type="max"/>
        <color theme="4" tint="0.8"/>
        <color theme="4" tint="-0.25"/>
      </colorScale>
    </cfRule>
    <cfRule type="colorScale" priority="470">
      <colorScale>
        <cfvo type="min"/>
        <cfvo type="max"/>
        <color theme="4" tint="-0.25"/>
        <color theme="4" tint="0.8"/>
      </colorScale>
    </cfRule>
  </conditionalFormatting>
  <conditionalFormatting sqref="D57:BB57">
    <cfRule type="colorScale" priority="452">
      <colorScale>
        <cfvo type="min"/>
        <cfvo type="max"/>
        <color theme="4" tint="0.8"/>
        <color theme="4"/>
      </colorScale>
    </cfRule>
    <cfRule type="colorScale" priority="457">
      <colorScale>
        <cfvo type="min"/>
        <cfvo type="max"/>
        <color theme="4"/>
        <color theme="4" tint="0.8"/>
      </colorScale>
    </cfRule>
    <cfRule type="colorScale" priority="462">
      <colorScale>
        <cfvo type="min"/>
        <cfvo type="max"/>
        <color theme="4" tint="0.8"/>
        <color theme="4" tint="-0.25"/>
      </colorScale>
    </cfRule>
    <cfRule type="colorScale" priority="467">
      <colorScale>
        <cfvo type="min"/>
        <cfvo type="max"/>
        <color theme="4" tint="-0.25"/>
        <color theme="4" tint="0.8"/>
      </colorScale>
    </cfRule>
  </conditionalFormatting>
  <conditionalFormatting sqref="D58:BB58">
    <cfRule type="colorScale" priority="454">
      <colorScale>
        <cfvo type="min"/>
        <cfvo type="max"/>
        <color theme="4" tint="0.8"/>
        <color theme="4"/>
      </colorScale>
    </cfRule>
    <cfRule type="colorScale" priority="459">
      <colorScale>
        <cfvo type="min"/>
        <cfvo type="max"/>
        <color theme="4"/>
        <color theme="4" tint="0.8"/>
      </colorScale>
    </cfRule>
    <cfRule type="colorScale" priority="464">
      <colorScale>
        <cfvo type="min"/>
        <cfvo type="max"/>
        <color theme="4" tint="0.8"/>
        <color theme="4" tint="-0.25"/>
      </colorScale>
    </cfRule>
    <cfRule type="colorScale" priority="469">
      <colorScale>
        <cfvo type="min"/>
        <cfvo type="max"/>
        <color theme="4" tint="-0.25"/>
        <color theme="4" tint="0.8"/>
      </colorScale>
    </cfRule>
  </conditionalFormatting>
  <conditionalFormatting sqref="D59:BB59">
    <cfRule type="colorScale" priority="451">
      <colorScale>
        <cfvo type="min"/>
        <cfvo type="max"/>
        <color theme="4" tint="0.8"/>
        <color theme="4"/>
      </colorScale>
    </cfRule>
    <cfRule type="colorScale" priority="456">
      <colorScale>
        <cfvo type="min"/>
        <cfvo type="max"/>
        <color theme="4"/>
        <color theme="4" tint="0.8"/>
      </colorScale>
    </cfRule>
    <cfRule type="colorScale" priority="461">
      <colorScale>
        <cfvo type="min"/>
        <cfvo type="max"/>
        <color theme="4" tint="0.8"/>
        <color theme="4" tint="-0.25"/>
      </colorScale>
    </cfRule>
    <cfRule type="colorScale" priority="466">
      <colorScale>
        <cfvo type="min"/>
        <cfvo type="max"/>
        <color theme="4" tint="-0.25"/>
        <color theme="4" tint="0.8"/>
      </colorScale>
    </cfRule>
  </conditionalFormatting>
  <conditionalFormatting sqref="D60:BB60">
    <cfRule type="colorScale" priority="445">
      <colorScale>
        <cfvo type="num" val="1"/>
        <cfvo type="num" val="3"/>
        <color theme="4" tint="0.8"/>
        <color theme="4" tint="-0.25"/>
      </colorScale>
    </cfRule>
    <cfRule type="colorScale" priority="453">
      <colorScale>
        <cfvo type="min"/>
        <cfvo type="max"/>
        <color theme="4" tint="0.8"/>
        <color theme="4"/>
      </colorScale>
    </cfRule>
    <cfRule type="colorScale" priority="458">
      <colorScale>
        <cfvo type="min"/>
        <cfvo type="max"/>
        <color theme="4"/>
        <color theme="4" tint="0.8"/>
      </colorScale>
    </cfRule>
    <cfRule type="colorScale" priority="463">
      <colorScale>
        <cfvo type="min"/>
        <cfvo type="max"/>
        <color theme="4" tint="0.8"/>
        <color theme="4" tint="-0.25"/>
      </colorScale>
    </cfRule>
    <cfRule type="colorScale" priority="468">
      <colorScale>
        <cfvo type="min"/>
        <cfvo type="max"/>
        <color theme="4" tint="-0.25"/>
        <color theme="4" tint="0.8"/>
      </colorScale>
    </cfRule>
  </conditionalFormatting>
  <conditionalFormatting sqref="AA60:BB60">
    <cfRule type="colorScale" priority="448">
      <colorScale>
        <cfvo type="min"/>
        <cfvo type="max"/>
        <color theme="4" tint="0.8"/>
        <color theme="4"/>
      </colorScale>
    </cfRule>
  </conditionalFormatting>
  <conditionalFormatting sqref="D61:BB61">
    <cfRule type="colorScale" priority="353">
      <colorScale>
        <cfvo type="num" val="1"/>
        <cfvo type="num" val="3"/>
        <color theme="4" tint="0.8"/>
        <color theme="4" tint="-0.25"/>
      </colorScale>
    </cfRule>
    <cfRule type="colorScale" priority="389">
      <colorScale>
        <cfvo type="min"/>
        <cfvo type="max"/>
        <color theme="4" tint="0.8"/>
        <color theme="4"/>
      </colorScale>
    </cfRule>
    <cfRule type="colorScale" priority="407">
      <colorScale>
        <cfvo type="min"/>
        <cfvo type="max"/>
        <color theme="4"/>
        <color theme="4" tint="0.8"/>
      </colorScale>
    </cfRule>
    <cfRule type="colorScale" priority="425">
      <colorScale>
        <cfvo type="min"/>
        <cfvo type="max"/>
        <color theme="4" tint="0.8"/>
        <color theme="4" tint="-0.25"/>
      </colorScale>
    </cfRule>
    <cfRule type="colorScale" priority="443">
      <colorScale>
        <cfvo type="min"/>
        <cfvo type="max"/>
        <color theme="4" tint="-0.25"/>
        <color theme="4" tint="0.8"/>
      </colorScale>
    </cfRule>
  </conditionalFormatting>
  <conditionalFormatting sqref="AA61:BB61">
    <cfRule type="colorScale" priority="371">
      <colorScale>
        <cfvo type="min"/>
        <cfvo type="max"/>
        <color theme="4" tint="0.8"/>
        <color theme="4"/>
      </colorScale>
    </cfRule>
  </conditionalFormatting>
  <conditionalFormatting sqref="D62:BB62">
    <cfRule type="colorScale" priority="352">
      <colorScale>
        <cfvo type="num" val="1"/>
        <cfvo type="num" val="3"/>
        <color theme="4" tint="0.8"/>
        <color theme="4" tint="-0.25"/>
      </colorScale>
    </cfRule>
    <cfRule type="colorScale" priority="388">
      <colorScale>
        <cfvo type="min"/>
        <cfvo type="max"/>
        <color theme="4" tint="0.8"/>
        <color theme="4"/>
      </colorScale>
    </cfRule>
    <cfRule type="colorScale" priority="406">
      <colorScale>
        <cfvo type="min"/>
        <cfvo type="max"/>
        <color theme="4"/>
        <color theme="4" tint="0.8"/>
      </colorScale>
    </cfRule>
    <cfRule type="colorScale" priority="424">
      <colorScale>
        <cfvo type="min"/>
        <cfvo type="max"/>
        <color theme="4" tint="0.8"/>
        <color theme="4" tint="-0.25"/>
      </colorScale>
    </cfRule>
    <cfRule type="colorScale" priority="442">
      <colorScale>
        <cfvo type="min"/>
        <cfvo type="max"/>
        <color theme="4" tint="-0.25"/>
        <color theme="4" tint="0.8"/>
      </colorScale>
    </cfRule>
  </conditionalFormatting>
  <conditionalFormatting sqref="AA62:BB62">
    <cfRule type="colorScale" priority="370">
      <colorScale>
        <cfvo type="min"/>
        <cfvo type="max"/>
        <color theme="4" tint="0.8"/>
        <color theme="4"/>
      </colorScale>
    </cfRule>
  </conditionalFormatting>
  <conditionalFormatting sqref="D63:BB63">
    <cfRule type="colorScale" priority="351">
      <colorScale>
        <cfvo type="num" val="1"/>
        <cfvo type="num" val="3"/>
        <color theme="4" tint="0.8"/>
        <color theme="4" tint="-0.25"/>
      </colorScale>
    </cfRule>
    <cfRule type="colorScale" priority="387">
      <colorScale>
        <cfvo type="min"/>
        <cfvo type="max"/>
        <color theme="4" tint="0.8"/>
        <color theme="4"/>
      </colorScale>
    </cfRule>
    <cfRule type="colorScale" priority="405">
      <colorScale>
        <cfvo type="min"/>
        <cfvo type="max"/>
        <color theme="4"/>
        <color theme="4" tint="0.8"/>
      </colorScale>
    </cfRule>
    <cfRule type="colorScale" priority="423">
      <colorScale>
        <cfvo type="min"/>
        <cfvo type="max"/>
        <color theme="4" tint="0.8"/>
        <color theme="4" tint="-0.25"/>
      </colorScale>
    </cfRule>
    <cfRule type="colorScale" priority="441">
      <colorScale>
        <cfvo type="min"/>
        <cfvo type="max"/>
        <color theme="4" tint="-0.25"/>
        <color theme="4" tint="0.8"/>
      </colorScale>
    </cfRule>
  </conditionalFormatting>
  <conditionalFormatting sqref="AA63:BB63">
    <cfRule type="colorScale" priority="369">
      <colorScale>
        <cfvo type="min"/>
        <cfvo type="max"/>
        <color theme="4" tint="0.8"/>
        <color theme="4"/>
      </colorScale>
    </cfRule>
  </conditionalFormatting>
  <conditionalFormatting sqref="D64:BB64">
    <cfRule type="colorScale" priority="350">
      <colorScale>
        <cfvo type="num" val="1"/>
        <cfvo type="num" val="3"/>
        <color theme="4" tint="0.8"/>
        <color theme="4" tint="-0.25"/>
      </colorScale>
    </cfRule>
    <cfRule type="colorScale" priority="386">
      <colorScale>
        <cfvo type="min"/>
        <cfvo type="max"/>
        <color theme="4" tint="0.8"/>
        <color theme="4"/>
      </colorScale>
    </cfRule>
    <cfRule type="colorScale" priority="404">
      <colorScale>
        <cfvo type="min"/>
        <cfvo type="max"/>
        <color theme="4"/>
        <color theme="4" tint="0.8"/>
      </colorScale>
    </cfRule>
    <cfRule type="colorScale" priority="422">
      <colorScale>
        <cfvo type="min"/>
        <cfvo type="max"/>
        <color theme="4" tint="0.8"/>
        <color theme="4" tint="-0.25"/>
      </colorScale>
    </cfRule>
    <cfRule type="colorScale" priority="440">
      <colorScale>
        <cfvo type="min"/>
        <cfvo type="max"/>
        <color theme="4" tint="-0.25"/>
        <color theme="4" tint="0.8"/>
      </colorScale>
    </cfRule>
  </conditionalFormatting>
  <conditionalFormatting sqref="AA64:BB64">
    <cfRule type="colorScale" priority="368">
      <colorScale>
        <cfvo type="min"/>
        <cfvo type="max"/>
        <color theme="4" tint="0.8"/>
        <color theme="4"/>
      </colorScale>
    </cfRule>
  </conditionalFormatting>
  <conditionalFormatting sqref="D65:BB65">
    <cfRule type="colorScale" priority="349">
      <colorScale>
        <cfvo type="num" val="1"/>
        <cfvo type="num" val="3"/>
        <color theme="4" tint="0.8"/>
        <color theme="4" tint="-0.25"/>
      </colorScale>
    </cfRule>
    <cfRule type="colorScale" priority="385">
      <colorScale>
        <cfvo type="min"/>
        <cfvo type="max"/>
        <color theme="4" tint="0.8"/>
        <color theme="4"/>
      </colorScale>
    </cfRule>
    <cfRule type="colorScale" priority="403">
      <colorScale>
        <cfvo type="min"/>
        <cfvo type="max"/>
        <color theme="4"/>
        <color theme="4" tint="0.8"/>
      </colorScale>
    </cfRule>
    <cfRule type="colorScale" priority="421">
      <colorScale>
        <cfvo type="min"/>
        <cfvo type="max"/>
        <color theme="4" tint="0.8"/>
        <color theme="4" tint="-0.25"/>
      </colorScale>
    </cfRule>
    <cfRule type="colorScale" priority="439">
      <colorScale>
        <cfvo type="min"/>
        <cfvo type="max"/>
        <color theme="4" tint="-0.25"/>
        <color theme="4" tint="0.8"/>
      </colorScale>
    </cfRule>
  </conditionalFormatting>
  <conditionalFormatting sqref="AA65:BB65">
    <cfRule type="colorScale" priority="367">
      <colorScale>
        <cfvo type="min"/>
        <cfvo type="max"/>
        <color theme="4" tint="0.8"/>
        <color theme="4"/>
      </colorScale>
    </cfRule>
  </conditionalFormatting>
  <conditionalFormatting sqref="D66:BB66">
    <cfRule type="colorScale" priority="348">
      <colorScale>
        <cfvo type="num" val="1"/>
        <cfvo type="num" val="3"/>
        <color theme="4" tint="0.8"/>
        <color theme="4" tint="-0.25"/>
      </colorScale>
    </cfRule>
    <cfRule type="colorScale" priority="384">
      <colorScale>
        <cfvo type="min"/>
        <cfvo type="max"/>
        <color theme="4" tint="0.8"/>
        <color theme="4"/>
      </colorScale>
    </cfRule>
    <cfRule type="colorScale" priority="402">
      <colorScale>
        <cfvo type="min"/>
        <cfvo type="max"/>
        <color theme="4"/>
        <color theme="4" tint="0.8"/>
      </colorScale>
    </cfRule>
    <cfRule type="colorScale" priority="420">
      <colorScale>
        <cfvo type="min"/>
        <cfvo type="max"/>
        <color theme="4" tint="0.8"/>
        <color theme="4" tint="-0.25"/>
      </colorScale>
    </cfRule>
    <cfRule type="colorScale" priority="438">
      <colorScale>
        <cfvo type="min"/>
        <cfvo type="max"/>
        <color theme="4" tint="-0.25"/>
        <color theme="4" tint="0.8"/>
      </colorScale>
    </cfRule>
  </conditionalFormatting>
  <conditionalFormatting sqref="AA66:BB66">
    <cfRule type="colorScale" priority="366">
      <colorScale>
        <cfvo type="min"/>
        <cfvo type="max"/>
        <color theme="4" tint="0.8"/>
        <color theme="4"/>
      </colorScale>
    </cfRule>
  </conditionalFormatting>
  <conditionalFormatting sqref="D67:BB67">
    <cfRule type="colorScale" priority="347">
      <colorScale>
        <cfvo type="num" val="1"/>
        <cfvo type="num" val="3"/>
        <color theme="4" tint="0.8"/>
        <color theme="4" tint="-0.25"/>
      </colorScale>
    </cfRule>
    <cfRule type="colorScale" priority="383">
      <colorScale>
        <cfvo type="min"/>
        <cfvo type="max"/>
        <color theme="4" tint="0.8"/>
        <color theme="4"/>
      </colorScale>
    </cfRule>
    <cfRule type="colorScale" priority="401">
      <colorScale>
        <cfvo type="min"/>
        <cfvo type="max"/>
        <color theme="4"/>
        <color theme="4" tint="0.8"/>
      </colorScale>
    </cfRule>
    <cfRule type="colorScale" priority="419">
      <colorScale>
        <cfvo type="min"/>
        <cfvo type="max"/>
        <color theme="4" tint="0.8"/>
        <color theme="4" tint="-0.25"/>
      </colorScale>
    </cfRule>
    <cfRule type="colorScale" priority="437">
      <colorScale>
        <cfvo type="min"/>
        <cfvo type="max"/>
        <color theme="4" tint="-0.25"/>
        <color theme="4" tint="0.8"/>
      </colorScale>
    </cfRule>
  </conditionalFormatting>
  <conditionalFormatting sqref="AA67:BB67">
    <cfRule type="colorScale" priority="365">
      <colorScale>
        <cfvo type="min"/>
        <cfvo type="max"/>
        <color theme="4" tint="0.8"/>
        <color theme="4"/>
      </colorScale>
    </cfRule>
  </conditionalFormatting>
  <conditionalFormatting sqref="D68:BB68">
    <cfRule type="colorScale" priority="346">
      <colorScale>
        <cfvo type="num" val="1"/>
        <cfvo type="num" val="3"/>
        <color theme="4" tint="0.8"/>
        <color theme="4" tint="-0.25"/>
      </colorScale>
    </cfRule>
    <cfRule type="colorScale" priority="382">
      <colorScale>
        <cfvo type="min"/>
        <cfvo type="max"/>
        <color theme="4" tint="0.8"/>
        <color theme="4"/>
      </colorScale>
    </cfRule>
    <cfRule type="colorScale" priority="400">
      <colorScale>
        <cfvo type="min"/>
        <cfvo type="max"/>
        <color theme="4"/>
        <color theme="4" tint="0.8"/>
      </colorScale>
    </cfRule>
    <cfRule type="colorScale" priority="418">
      <colorScale>
        <cfvo type="min"/>
        <cfvo type="max"/>
        <color theme="4" tint="0.8"/>
        <color theme="4" tint="-0.25"/>
      </colorScale>
    </cfRule>
    <cfRule type="colorScale" priority="436">
      <colorScale>
        <cfvo type="min"/>
        <cfvo type="max"/>
        <color theme="4" tint="-0.25"/>
        <color theme="4" tint="0.8"/>
      </colorScale>
    </cfRule>
  </conditionalFormatting>
  <conditionalFormatting sqref="AA68:BB68">
    <cfRule type="colorScale" priority="364">
      <colorScale>
        <cfvo type="min"/>
        <cfvo type="max"/>
        <color theme="4" tint="0.8"/>
        <color theme="4"/>
      </colorScale>
    </cfRule>
  </conditionalFormatting>
  <conditionalFormatting sqref="D69:BB69">
    <cfRule type="colorScale" priority="345">
      <colorScale>
        <cfvo type="num" val="1"/>
        <cfvo type="num" val="3"/>
        <color theme="4" tint="0.8"/>
        <color theme="4" tint="-0.25"/>
      </colorScale>
    </cfRule>
    <cfRule type="colorScale" priority="381">
      <colorScale>
        <cfvo type="min"/>
        <cfvo type="max"/>
        <color theme="4" tint="0.8"/>
        <color theme="4"/>
      </colorScale>
    </cfRule>
    <cfRule type="colorScale" priority="399">
      <colorScale>
        <cfvo type="min"/>
        <cfvo type="max"/>
        <color theme="4"/>
        <color theme="4" tint="0.8"/>
      </colorScale>
    </cfRule>
    <cfRule type="colorScale" priority="417">
      <colorScale>
        <cfvo type="min"/>
        <cfvo type="max"/>
        <color theme="4" tint="0.8"/>
        <color theme="4" tint="-0.25"/>
      </colorScale>
    </cfRule>
    <cfRule type="colorScale" priority="435">
      <colorScale>
        <cfvo type="min"/>
        <cfvo type="max"/>
        <color theme="4" tint="-0.25"/>
        <color theme="4" tint="0.8"/>
      </colorScale>
    </cfRule>
  </conditionalFormatting>
  <conditionalFormatting sqref="AA69:BB69">
    <cfRule type="colorScale" priority="363">
      <colorScale>
        <cfvo type="min"/>
        <cfvo type="max"/>
        <color theme="4" tint="0.8"/>
        <color theme="4"/>
      </colorScale>
    </cfRule>
  </conditionalFormatting>
  <conditionalFormatting sqref="D70:BB70">
    <cfRule type="colorScale" priority="344">
      <colorScale>
        <cfvo type="num" val="1"/>
        <cfvo type="num" val="3"/>
        <color theme="4" tint="0.8"/>
        <color theme="4" tint="-0.25"/>
      </colorScale>
    </cfRule>
    <cfRule type="colorScale" priority="380">
      <colorScale>
        <cfvo type="min"/>
        <cfvo type="max"/>
        <color theme="4" tint="0.8"/>
        <color theme="4"/>
      </colorScale>
    </cfRule>
    <cfRule type="colorScale" priority="398">
      <colorScale>
        <cfvo type="min"/>
        <cfvo type="max"/>
        <color theme="4"/>
        <color theme="4" tint="0.8"/>
      </colorScale>
    </cfRule>
    <cfRule type="colorScale" priority="416">
      <colorScale>
        <cfvo type="min"/>
        <cfvo type="max"/>
        <color theme="4" tint="0.8"/>
        <color theme="4" tint="-0.25"/>
      </colorScale>
    </cfRule>
    <cfRule type="colorScale" priority="434">
      <colorScale>
        <cfvo type="min"/>
        <cfvo type="max"/>
        <color theme="4" tint="-0.25"/>
        <color theme="4" tint="0.8"/>
      </colorScale>
    </cfRule>
  </conditionalFormatting>
  <conditionalFormatting sqref="AA70:BB70">
    <cfRule type="colorScale" priority="362">
      <colorScale>
        <cfvo type="min"/>
        <cfvo type="max"/>
        <color theme="4" tint="0.8"/>
        <color theme="4"/>
      </colorScale>
    </cfRule>
  </conditionalFormatting>
  <conditionalFormatting sqref="D71:BB71">
    <cfRule type="colorScale" priority="343">
      <colorScale>
        <cfvo type="num" val="1"/>
        <cfvo type="num" val="3"/>
        <color theme="4" tint="0.8"/>
        <color theme="4" tint="-0.25"/>
      </colorScale>
    </cfRule>
    <cfRule type="colorScale" priority="379">
      <colorScale>
        <cfvo type="min"/>
        <cfvo type="max"/>
        <color theme="4" tint="0.8"/>
        <color theme="4"/>
      </colorScale>
    </cfRule>
    <cfRule type="colorScale" priority="397">
      <colorScale>
        <cfvo type="min"/>
        <cfvo type="max"/>
        <color theme="4"/>
        <color theme="4" tint="0.8"/>
      </colorScale>
    </cfRule>
    <cfRule type="colorScale" priority="415">
      <colorScale>
        <cfvo type="min"/>
        <cfvo type="max"/>
        <color theme="4" tint="0.8"/>
        <color theme="4" tint="-0.25"/>
      </colorScale>
    </cfRule>
    <cfRule type="colorScale" priority="433">
      <colorScale>
        <cfvo type="min"/>
        <cfvo type="max"/>
        <color theme="4" tint="-0.25"/>
        <color theme="4" tint="0.8"/>
      </colorScale>
    </cfRule>
  </conditionalFormatting>
  <conditionalFormatting sqref="AA71:BB71">
    <cfRule type="colorScale" priority="361">
      <colorScale>
        <cfvo type="min"/>
        <cfvo type="max"/>
        <color theme="4" tint="0.8"/>
        <color theme="4"/>
      </colorScale>
    </cfRule>
  </conditionalFormatting>
  <conditionalFormatting sqref="D72:BB72">
    <cfRule type="colorScale" priority="342">
      <colorScale>
        <cfvo type="num" val="1"/>
        <cfvo type="num" val="3"/>
        <color theme="4" tint="0.8"/>
        <color theme="4" tint="-0.25"/>
      </colorScale>
    </cfRule>
    <cfRule type="colorScale" priority="378">
      <colorScale>
        <cfvo type="min"/>
        <cfvo type="max"/>
        <color theme="4" tint="0.8"/>
        <color theme="4"/>
      </colorScale>
    </cfRule>
    <cfRule type="colorScale" priority="396">
      <colorScale>
        <cfvo type="min"/>
        <cfvo type="max"/>
        <color theme="4"/>
        <color theme="4" tint="0.8"/>
      </colorScale>
    </cfRule>
    <cfRule type="colorScale" priority="414">
      <colorScale>
        <cfvo type="min"/>
        <cfvo type="max"/>
        <color theme="4" tint="0.8"/>
        <color theme="4" tint="-0.25"/>
      </colorScale>
    </cfRule>
    <cfRule type="colorScale" priority="432">
      <colorScale>
        <cfvo type="min"/>
        <cfvo type="max"/>
        <color theme="4" tint="-0.25"/>
        <color theme="4" tint="0.8"/>
      </colorScale>
    </cfRule>
  </conditionalFormatting>
  <conditionalFormatting sqref="AA72:BB72">
    <cfRule type="colorScale" priority="360">
      <colorScale>
        <cfvo type="min"/>
        <cfvo type="max"/>
        <color theme="4" tint="0.8"/>
        <color theme="4"/>
      </colorScale>
    </cfRule>
  </conditionalFormatting>
  <conditionalFormatting sqref="D73:BB73">
    <cfRule type="colorScale" priority="341">
      <colorScale>
        <cfvo type="num" val="1"/>
        <cfvo type="num" val="3"/>
        <color theme="4" tint="0.8"/>
        <color theme="4" tint="-0.25"/>
      </colorScale>
    </cfRule>
    <cfRule type="colorScale" priority="377">
      <colorScale>
        <cfvo type="min"/>
        <cfvo type="max"/>
        <color theme="4" tint="0.8"/>
        <color theme="4"/>
      </colorScale>
    </cfRule>
    <cfRule type="colorScale" priority="395">
      <colorScale>
        <cfvo type="min"/>
        <cfvo type="max"/>
        <color theme="4"/>
        <color theme="4" tint="0.8"/>
      </colorScale>
    </cfRule>
    <cfRule type="colorScale" priority="413">
      <colorScale>
        <cfvo type="min"/>
        <cfvo type="max"/>
        <color theme="4" tint="0.8"/>
        <color theme="4" tint="-0.25"/>
      </colorScale>
    </cfRule>
    <cfRule type="colorScale" priority="431">
      <colorScale>
        <cfvo type="min"/>
        <cfvo type="max"/>
        <color theme="4" tint="-0.25"/>
        <color theme="4" tint="0.8"/>
      </colorScale>
    </cfRule>
  </conditionalFormatting>
  <conditionalFormatting sqref="AA73:BB73">
    <cfRule type="colorScale" priority="359">
      <colorScale>
        <cfvo type="min"/>
        <cfvo type="max"/>
        <color theme="4" tint="0.8"/>
        <color theme="4"/>
      </colorScale>
    </cfRule>
  </conditionalFormatting>
  <conditionalFormatting sqref="D74:BB74">
    <cfRule type="colorScale" priority="340">
      <colorScale>
        <cfvo type="num" val="1"/>
        <cfvo type="num" val="3"/>
        <color theme="4" tint="0.8"/>
        <color theme="4" tint="-0.25"/>
      </colorScale>
    </cfRule>
    <cfRule type="colorScale" priority="376">
      <colorScale>
        <cfvo type="min"/>
        <cfvo type="max"/>
        <color theme="4" tint="0.8"/>
        <color theme="4"/>
      </colorScale>
    </cfRule>
    <cfRule type="colorScale" priority="394">
      <colorScale>
        <cfvo type="min"/>
        <cfvo type="max"/>
        <color theme="4"/>
        <color theme="4" tint="0.8"/>
      </colorScale>
    </cfRule>
    <cfRule type="colorScale" priority="412">
      <colorScale>
        <cfvo type="min"/>
        <cfvo type="max"/>
        <color theme="4" tint="0.8"/>
        <color theme="4" tint="-0.25"/>
      </colorScale>
    </cfRule>
    <cfRule type="colorScale" priority="430">
      <colorScale>
        <cfvo type="min"/>
        <cfvo type="max"/>
        <color theme="4" tint="-0.25"/>
        <color theme="4" tint="0.8"/>
      </colorScale>
    </cfRule>
  </conditionalFormatting>
  <conditionalFormatting sqref="AA74:BB74">
    <cfRule type="colorScale" priority="358">
      <colorScale>
        <cfvo type="min"/>
        <cfvo type="max"/>
        <color theme="4" tint="0.8"/>
        <color theme="4"/>
      </colorScale>
    </cfRule>
  </conditionalFormatting>
  <conditionalFormatting sqref="D75:BB75">
    <cfRule type="colorScale" priority="339">
      <colorScale>
        <cfvo type="num" val="1"/>
        <cfvo type="num" val="3"/>
        <color theme="4" tint="0.8"/>
        <color theme="4" tint="-0.25"/>
      </colorScale>
    </cfRule>
    <cfRule type="colorScale" priority="375">
      <colorScale>
        <cfvo type="min"/>
        <cfvo type="max"/>
        <color theme="4" tint="0.8"/>
        <color theme="4"/>
      </colorScale>
    </cfRule>
    <cfRule type="colorScale" priority="393">
      <colorScale>
        <cfvo type="min"/>
        <cfvo type="max"/>
        <color theme="4"/>
        <color theme="4" tint="0.8"/>
      </colorScale>
    </cfRule>
    <cfRule type="colorScale" priority="411">
      <colorScale>
        <cfvo type="min"/>
        <cfvo type="max"/>
        <color theme="4" tint="0.8"/>
        <color theme="4" tint="-0.25"/>
      </colorScale>
    </cfRule>
    <cfRule type="colorScale" priority="429">
      <colorScale>
        <cfvo type="min"/>
        <cfvo type="max"/>
        <color theme="4" tint="-0.25"/>
        <color theme="4" tint="0.8"/>
      </colorScale>
    </cfRule>
  </conditionalFormatting>
  <conditionalFormatting sqref="AA75:BB75">
    <cfRule type="colorScale" priority="357">
      <colorScale>
        <cfvo type="min"/>
        <cfvo type="max"/>
        <color theme="4" tint="0.8"/>
        <color theme="4"/>
      </colorScale>
    </cfRule>
  </conditionalFormatting>
  <conditionalFormatting sqref="D76:BB76">
    <cfRule type="colorScale" priority="338">
      <colorScale>
        <cfvo type="num" val="1"/>
        <cfvo type="num" val="3"/>
        <color theme="4" tint="0.8"/>
        <color theme="4" tint="-0.25"/>
      </colorScale>
    </cfRule>
    <cfRule type="colorScale" priority="374">
      <colorScale>
        <cfvo type="min"/>
        <cfvo type="max"/>
        <color theme="4" tint="0.8"/>
        <color theme="4"/>
      </colorScale>
    </cfRule>
    <cfRule type="colorScale" priority="392">
      <colorScale>
        <cfvo type="min"/>
        <cfvo type="max"/>
        <color theme="4"/>
        <color theme="4" tint="0.8"/>
      </colorScale>
    </cfRule>
    <cfRule type="colorScale" priority="410">
      <colorScale>
        <cfvo type="min"/>
        <cfvo type="max"/>
        <color theme="4" tint="0.8"/>
        <color theme="4" tint="-0.25"/>
      </colorScale>
    </cfRule>
    <cfRule type="colorScale" priority="428">
      <colorScale>
        <cfvo type="min"/>
        <cfvo type="max"/>
        <color theme="4" tint="-0.25"/>
        <color theme="4" tint="0.8"/>
      </colorScale>
    </cfRule>
  </conditionalFormatting>
  <conditionalFormatting sqref="AA76:BB76">
    <cfRule type="colorScale" priority="356">
      <colorScale>
        <cfvo type="min"/>
        <cfvo type="max"/>
        <color theme="4" tint="0.8"/>
        <color theme="4"/>
      </colorScale>
    </cfRule>
  </conditionalFormatting>
  <conditionalFormatting sqref="D77:BB77">
    <cfRule type="colorScale" priority="337">
      <colorScale>
        <cfvo type="num" val="1"/>
        <cfvo type="num" val="3"/>
        <color theme="4" tint="0.8"/>
        <color theme="4" tint="-0.25"/>
      </colorScale>
    </cfRule>
    <cfRule type="colorScale" priority="373">
      <colorScale>
        <cfvo type="min"/>
        <cfvo type="max"/>
        <color theme="4" tint="0.8"/>
        <color theme="4"/>
      </colorScale>
    </cfRule>
    <cfRule type="colorScale" priority="391">
      <colorScale>
        <cfvo type="min"/>
        <cfvo type="max"/>
        <color theme="4"/>
        <color theme="4" tint="0.8"/>
      </colorScale>
    </cfRule>
    <cfRule type="colorScale" priority="409">
      <colorScale>
        <cfvo type="min"/>
        <cfvo type="max"/>
        <color theme="4" tint="0.8"/>
        <color theme="4" tint="-0.25"/>
      </colorScale>
    </cfRule>
    <cfRule type="colorScale" priority="427">
      <colorScale>
        <cfvo type="min"/>
        <cfvo type="max"/>
        <color theme="4" tint="-0.25"/>
        <color theme="4" tint="0.8"/>
      </colorScale>
    </cfRule>
  </conditionalFormatting>
  <conditionalFormatting sqref="AA77:BB77">
    <cfRule type="colorScale" priority="355">
      <colorScale>
        <cfvo type="min"/>
        <cfvo type="max"/>
        <color theme="4" tint="0.8"/>
        <color theme="4"/>
      </colorScale>
    </cfRule>
  </conditionalFormatting>
  <conditionalFormatting sqref="D78:BB78">
    <cfRule type="colorScale" priority="336">
      <colorScale>
        <cfvo type="num" val="1"/>
        <cfvo type="num" val="3"/>
        <color theme="4" tint="0.8"/>
        <color theme="4" tint="-0.25"/>
      </colorScale>
    </cfRule>
    <cfRule type="colorScale" priority="372">
      <colorScale>
        <cfvo type="min"/>
        <cfvo type="max"/>
        <color theme="4" tint="0.8"/>
        <color theme="4"/>
      </colorScale>
    </cfRule>
    <cfRule type="colorScale" priority="390">
      <colorScale>
        <cfvo type="min"/>
        <cfvo type="max"/>
        <color theme="4"/>
        <color theme="4" tint="0.8"/>
      </colorScale>
    </cfRule>
    <cfRule type="colorScale" priority="408">
      <colorScale>
        <cfvo type="min"/>
        <cfvo type="max"/>
        <color theme="4" tint="0.8"/>
        <color theme="4" tint="-0.25"/>
      </colorScale>
    </cfRule>
    <cfRule type="colorScale" priority="426">
      <colorScale>
        <cfvo type="min"/>
        <cfvo type="max"/>
        <color theme="4" tint="-0.25"/>
        <color theme="4" tint="0.8"/>
      </colorScale>
    </cfRule>
  </conditionalFormatting>
  <conditionalFormatting sqref="AA78:BB78">
    <cfRule type="colorScale" priority="354">
      <colorScale>
        <cfvo type="min"/>
        <cfvo type="max"/>
        <color theme="4" tint="0.8"/>
        <color theme="4"/>
      </colorScale>
    </cfRule>
  </conditionalFormatting>
  <conditionalFormatting sqref="D79:BB79">
    <cfRule type="colorScale" priority="243">
      <colorScale>
        <cfvo type="num" val="1"/>
        <cfvo type="num" val="3"/>
        <color theme="4" tint="0.8"/>
        <color theme="4" tint="-0.25"/>
      </colorScale>
    </cfRule>
    <cfRule type="colorScale" priority="279">
      <colorScale>
        <cfvo type="min"/>
        <cfvo type="max"/>
        <color theme="4" tint="0.8"/>
        <color theme="4"/>
      </colorScale>
    </cfRule>
    <cfRule type="colorScale" priority="297">
      <colorScale>
        <cfvo type="min"/>
        <cfvo type="max"/>
        <color theme="4"/>
        <color theme="4" tint="0.8"/>
      </colorScale>
    </cfRule>
    <cfRule type="colorScale" priority="315">
      <colorScale>
        <cfvo type="min"/>
        <cfvo type="max"/>
        <color theme="4" tint="0.8"/>
        <color theme="4" tint="-0.25"/>
      </colorScale>
    </cfRule>
    <cfRule type="colorScale" priority="333">
      <colorScale>
        <cfvo type="min"/>
        <cfvo type="max"/>
        <color theme="4" tint="-0.25"/>
        <color theme="4" tint="0.8"/>
      </colorScale>
    </cfRule>
  </conditionalFormatting>
  <conditionalFormatting sqref="AA79:BB79">
    <cfRule type="colorScale" priority="261">
      <colorScale>
        <cfvo type="min"/>
        <cfvo type="max"/>
        <color theme="4" tint="0.8"/>
        <color theme="4"/>
      </colorScale>
    </cfRule>
  </conditionalFormatting>
  <conditionalFormatting sqref="D80:BB80">
    <cfRule type="colorScale" priority="242">
      <colorScale>
        <cfvo type="num" val="1"/>
        <cfvo type="num" val="3"/>
        <color theme="4" tint="0.8"/>
        <color theme="4" tint="-0.25"/>
      </colorScale>
    </cfRule>
    <cfRule type="colorScale" priority="278">
      <colorScale>
        <cfvo type="min"/>
        <cfvo type="max"/>
        <color theme="4" tint="0.8"/>
        <color theme="4"/>
      </colorScale>
    </cfRule>
    <cfRule type="colorScale" priority="296">
      <colorScale>
        <cfvo type="min"/>
        <cfvo type="max"/>
        <color theme="4"/>
        <color theme="4" tint="0.8"/>
      </colorScale>
    </cfRule>
    <cfRule type="colorScale" priority="314">
      <colorScale>
        <cfvo type="min"/>
        <cfvo type="max"/>
        <color theme="4" tint="0.8"/>
        <color theme="4" tint="-0.25"/>
      </colorScale>
    </cfRule>
    <cfRule type="colorScale" priority="332">
      <colorScale>
        <cfvo type="min"/>
        <cfvo type="max"/>
        <color theme="4" tint="-0.25"/>
        <color theme="4" tint="0.8"/>
      </colorScale>
    </cfRule>
  </conditionalFormatting>
  <conditionalFormatting sqref="AA80:BB80">
    <cfRule type="colorScale" priority="260">
      <colorScale>
        <cfvo type="min"/>
        <cfvo type="max"/>
        <color theme="4" tint="0.8"/>
        <color theme="4"/>
      </colorScale>
    </cfRule>
  </conditionalFormatting>
  <conditionalFormatting sqref="D81:BB81">
    <cfRule type="colorScale" priority="241">
      <colorScale>
        <cfvo type="num" val="1"/>
        <cfvo type="num" val="3"/>
        <color theme="4" tint="0.8"/>
        <color theme="4" tint="-0.25"/>
      </colorScale>
    </cfRule>
    <cfRule type="colorScale" priority="277">
      <colorScale>
        <cfvo type="min"/>
        <cfvo type="max"/>
        <color theme="4" tint="0.8"/>
        <color theme="4"/>
      </colorScale>
    </cfRule>
    <cfRule type="colorScale" priority="295">
      <colorScale>
        <cfvo type="min"/>
        <cfvo type="max"/>
        <color theme="4"/>
        <color theme="4" tint="0.8"/>
      </colorScale>
    </cfRule>
    <cfRule type="colorScale" priority="313">
      <colorScale>
        <cfvo type="min"/>
        <cfvo type="max"/>
        <color theme="4" tint="0.8"/>
        <color theme="4" tint="-0.25"/>
      </colorScale>
    </cfRule>
    <cfRule type="colorScale" priority="331">
      <colorScale>
        <cfvo type="min"/>
        <cfvo type="max"/>
        <color theme="4" tint="-0.25"/>
        <color theme="4" tint="0.8"/>
      </colorScale>
    </cfRule>
  </conditionalFormatting>
  <conditionalFormatting sqref="AA81:BB81">
    <cfRule type="colorScale" priority="259">
      <colorScale>
        <cfvo type="min"/>
        <cfvo type="max"/>
        <color theme="4" tint="0.8"/>
        <color theme="4"/>
      </colorScale>
    </cfRule>
  </conditionalFormatting>
  <conditionalFormatting sqref="D82:BB82">
    <cfRule type="colorScale" priority="240">
      <colorScale>
        <cfvo type="num" val="1"/>
        <cfvo type="num" val="3"/>
        <color theme="4" tint="0.8"/>
        <color theme="4" tint="-0.25"/>
      </colorScale>
    </cfRule>
    <cfRule type="colorScale" priority="276">
      <colorScale>
        <cfvo type="min"/>
        <cfvo type="max"/>
        <color theme="4" tint="0.8"/>
        <color theme="4"/>
      </colorScale>
    </cfRule>
    <cfRule type="colorScale" priority="294">
      <colorScale>
        <cfvo type="min"/>
        <cfvo type="max"/>
        <color theme="4"/>
        <color theme="4" tint="0.8"/>
      </colorScale>
    </cfRule>
    <cfRule type="colorScale" priority="312">
      <colorScale>
        <cfvo type="min"/>
        <cfvo type="max"/>
        <color theme="4" tint="0.8"/>
        <color theme="4" tint="-0.25"/>
      </colorScale>
    </cfRule>
    <cfRule type="colorScale" priority="330">
      <colorScale>
        <cfvo type="min"/>
        <cfvo type="max"/>
        <color theme="4" tint="-0.25"/>
        <color theme="4" tint="0.8"/>
      </colorScale>
    </cfRule>
  </conditionalFormatting>
  <conditionalFormatting sqref="AA82:BB82">
    <cfRule type="colorScale" priority="258">
      <colorScale>
        <cfvo type="min"/>
        <cfvo type="max"/>
        <color theme="4" tint="0.8"/>
        <color theme="4"/>
      </colorScale>
    </cfRule>
  </conditionalFormatting>
  <conditionalFormatting sqref="D83:BB83">
    <cfRule type="colorScale" priority="239">
      <colorScale>
        <cfvo type="num" val="1"/>
        <cfvo type="num" val="3"/>
        <color theme="4" tint="0.8"/>
        <color theme="4" tint="-0.25"/>
      </colorScale>
    </cfRule>
    <cfRule type="colorScale" priority="275">
      <colorScale>
        <cfvo type="min"/>
        <cfvo type="max"/>
        <color theme="4" tint="0.8"/>
        <color theme="4"/>
      </colorScale>
    </cfRule>
    <cfRule type="colorScale" priority="293">
      <colorScale>
        <cfvo type="min"/>
        <cfvo type="max"/>
        <color theme="4"/>
        <color theme="4" tint="0.8"/>
      </colorScale>
    </cfRule>
    <cfRule type="colorScale" priority="311">
      <colorScale>
        <cfvo type="min"/>
        <cfvo type="max"/>
        <color theme="4" tint="0.8"/>
        <color theme="4" tint="-0.25"/>
      </colorScale>
    </cfRule>
    <cfRule type="colorScale" priority="329">
      <colorScale>
        <cfvo type="min"/>
        <cfvo type="max"/>
        <color theme="4" tint="-0.25"/>
        <color theme="4" tint="0.8"/>
      </colorScale>
    </cfRule>
  </conditionalFormatting>
  <conditionalFormatting sqref="AA83:BB83">
    <cfRule type="colorScale" priority="257">
      <colorScale>
        <cfvo type="min"/>
        <cfvo type="max"/>
        <color theme="4" tint="0.8"/>
        <color theme="4"/>
      </colorScale>
    </cfRule>
  </conditionalFormatting>
  <conditionalFormatting sqref="D84:BB84">
    <cfRule type="colorScale" priority="238">
      <colorScale>
        <cfvo type="num" val="1"/>
        <cfvo type="num" val="3"/>
        <color theme="4" tint="0.8"/>
        <color theme="4" tint="-0.25"/>
      </colorScale>
    </cfRule>
    <cfRule type="colorScale" priority="274">
      <colorScale>
        <cfvo type="min"/>
        <cfvo type="max"/>
        <color theme="4" tint="0.8"/>
        <color theme="4"/>
      </colorScale>
    </cfRule>
    <cfRule type="colorScale" priority="292">
      <colorScale>
        <cfvo type="min"/>
        <cfvo type="max"/>
        <color theme="4"/>
        <color theme="4" tint="0.8"/>
      </colorScale>
    </cfRule>
    <cfRule type="colorScale" priority="310">
      <colorScale>
        <cfvo type="min"/>
        <cfvo type="max"/>
        <color theme="4" tint="0.8"/>
        <color theme="4" tint="-0.25"/>
      </colorScale>
    </cfRule>
    <cfRule type="colorScale" priority="328">
      <colorScale>
        <cfvo type="min"/>
        <cfvo type="max"/>
        <color theme="4" tint="-0.25"/>
        <color theme="4" tint="0.8"/>
      </colorScale>
    </cfRule>
  </conditionalFormatting>
  <conditionalFormatting sqref="AA84:BB84">
    <cfRule type="colorScale" priority="256">
      <colorScale>
        <cfvo type="min"/>
        <cfvo type="max"/>
        <color theme="4" tint="0.8"/>
        <color theme="4"/>
      </colorScale>
    </cfRule>
  </conditionalFormatting>
  <conditionalFormatting sqref="D85:BB85">
    <cfRule type="colorScale" priority="237">
      <colorScale>
        <cfvo type="num" val="1"/>
        <cfvo type="num" val="3"/>
        <color theme="4" tint="0.8"/>
        <color theme="4" tint="-0.25"/>
      </colorScale>
    </cfRule>
    <cfRule type="colorScale" priority="273">
      <colorScale>
        <cfvo type="min"/>
        <cfvo type="max"/>
        <color theme="4" tint="0.8"/>
        <color theme="4"/>
      </colorScale>
    </cfRule>
    <cfRule type="colorScale" priority="291">
      <colorScale>
        <cfvo type="min"/>
        <cfvo type="max"/>
        <color theme="4"/>
        <color theme="4" tint="0.8"/>
      </colorScale>
    </cfRule>
    <cfRule type="colorScale" priority="309">
      <colorScale>
        <cfvo type="min"/>
        <cfvo type="max"/>
        <color theme="4" tint="0.8"/>
        <color theme="4" tint="-0.25"/>
      </colorScale>
    </cfRule>
    <cfRule type="colorScale" priority="327">
      <colorScale>
        <cfvo type="min"/>
        <cfvo type="max"/>
        <color theme="4" tint="-0.25"/>
        <color theme="4" tint="0.8"/>
      </colorScale>
    </cfRule>
  </conditionalFormatting>
  <conditionalFormatting sqref="AA85:BB85">
    <cfRule type="colorScale" priority="255">
      <colorScale>
        <cfvo type="min"/>
        <cfvo type="max"/>
        <color theme="4" tint="0.8"/>
        <color theme="4"/>
      </colorScale>
    </cfRule>
  </conditionalFormatting>
  <conditionalFormatting sqref="D86:BB86">
    <cfRule type="colorScale" priority="236">
      <colorScale>
        <cfvo type="num" val="1"/>
        <cfvo type="num" val="3"/>
        <color theme="4" tint="0.8"/>
        <color theme="4" tint="-0.25"/>
      </colorScale>
    </cfRule>
    <cfRule type="colorScale" priority="272">
      <colorScale>
        <cfvo type="min"/>
        <cfvo type="max"/>
        <color theme="4" tint="0.8"/>
        <color theme="4"/>
      </colorScale>
    </cfRule>
    <cfRule type="colorScale" priority="290">
      <colorScale>
        <cfvo type="min"/>
        <cfvo type="max"/>
        <color theme="4"/>
        <color theme="4" tint="0.8"/>
      </colorScale>
    </cfRule>
    <cfRule type="colorScale" priority="308">
      <colorScale>
        <cfvo type="min"/>
        <cfvo type="max"/>
        <color theme="4" tint="0.8"/>
        <color theme="4" tint="-0.25"/>
      </colorScale>
    </cfRule>
    <cfRule type="colorScale" priority="326">
      <colorScale>
        <cfvo type="min"/>
        <cfvo type="max"/>
        <color theme="4" tint="-0.25"/>
        <color theme="4" tint="0.8"/>
      </colorScale>
    </cfRule>
  </conditionalFormatting>
  <conditionalFormatting sqref="AA86:BB86">
    <cfRule type="colorScale" priority="254">
      <colorScale>
        <cfvo type="min"/>
        <cfvo type="max"/>
        <color theme="4" tint="0.8"/>
        <color theme="4"/>
      </colorScale>
    </cfRule>
  </conditionalFormatting>
  <conditionalFormatting sqref="D87:BB87">
    <cfRule type="colorScale" priority="235">
      <colorScale>
        <cfvo type="num" val="1"/>
        <cfvo type="num" val="3"/>
        <color theme="4" tint="0.8"/>
        <color theme="4" tint="-0.25"/>
      </colorScale>
    </cfRule>
    <cfRule type="colorScale" priority="271">
      <colorScale>
        <cfvo type="min"/>
        <cfvo type="max"/>
        <color theme="4" tint="0.8"/>
        <color theme="4"/>
      </colorScale>
    </cfRule>
    <cfRule type="colorScale" priority="289">
      <colorScale>
        <cfvo type="min"/>
        <cfvo type="max"/>
        <color theme="4"/>
        <color theme="4" tint="0.8"/>
      </colorScale>
    </cfRule>
    <cfRule type="colorScale" priority="307">
      <colorScale>
        <cfvo type="min"/>
        <cfvo type="max"/>
        <color theme="4" tint="0.8"/>
        <color theme="4" tint="-0.25"/>
      </colorScale>
    </cfRule>
    <cfRule type="colorScale" priority="325">
      <colorScale>
        <cfvo type="min"/>
        <cfvo type="max"/>
        <color theme="4" tint="-0.25"/>
        <color theme="4" tint="0.8"/>
      </colorScale>
    </cfRule>
  </conditionalFormatting>
  <conditionalFormatting sqref="AA87:BB87">
    <cfRule type="colorScale" priority="253">
      <colorScale>
        <cfvo type="min"/>
        <cfvo type="max"/>
        <color theme="4" tint="0.8"/>
        <color theme="4"/>
      </colorScale>
    </cfRule>
  </conditionalFormatting>
  <conditionalFormatting sqref="D88:BB88">
    <cfRule type="colorScale" priority="234">
      <colorScale>
        <cfvo type="num" val="1"/>
        <cfvo type="num" val="3"/>
        <color theme="4" tint="0.8"/>
        <color theme="4" tint="-0.25"/>
      </colorScale>
    </cfRule>
    <cfRule type="colorScale" priority="270">
      <colorScale>
        <cfvo type="min"/>
        <cfvo type="max"/>
        <color theme="4" tint="0.8"/>
        <color theme="4"/>
      </colorScale>
    </cfRule>
    <cfRule type="colorScale" priority="288">
      <colorScale>
        <cfvo type="min"/>
        <cfvo type="max"/>
        <color theme="4"/>
        <color theme="4" tint="0.8"/>
      </colorScale>
    </cfRule>
    <cfRule type="colorScale" priority="306">
      <colorScale>
        <cfvo type="min"/>
        <cfvo type="max"/>
        <color theme="4" tint="0.8"/>
        <color theme="4" tint="-0.25"/>
      </colorScale>
    </cfRule>
    <cfRule type="colorScale" priority="324">
      <colorScale>
        <cfvo type="min"/>
        <cfvo type="max"/>
        <color theme="4" tint="-0.25"/>
        <color theme="4" tint="0.8"/>
      </colorScale>
    </cfRule>
  </conditionalFormatting>
  <conditionalFormatting sqref="AA88:BB88">
    <cfRule type="colorScale" priority="252">
      <colorScale>
        <cfvo type="min"/>
        <cfvo type="max"/>
        <color theme="4" tint="0.8"/>
        <color theme="4"/>
      </colorScale>
    </cfRule>
  </conditionalFormatting>
  <conditionalFormatting sqref="D89:BB89">
    <cfRule type="colorScale" priority="233">
      <colorScale>
        <cfvo type="num" val="1"/>
        <cfvo type="num" val="3"/>
        <color theme="4" tint="0.8"/>
        <color theme="4" tint="-0.25"/>
      </colorScale>
    </cfRule>
    <cfRule type="colorScale" priority="269">
      <colorScale>
        <cfvo type="min"/>
        <cfvo type="max"/>
        <color theme="4" tint="0.8"/>
        <color theme="4"/>
      </colorScale>
    </cfRule>
    <cfRule type="colorScale" priority="287">
      <colorScale>
        <cfvo type="min"/>
        <cfvo type="max"/>
        <color theme="4"/>
        <color theme="4" tint="0.8"/>
      </colorScale>
    </cfRule>
    <cfRule type="colorScale" priority="305">
      <colorScale>
        <cfvo type="min"/>
        <cfvo type="max"/>
        <color theme="4" tint="0.8"/>
        <color theme="4" tint="-0.25"/>
      </colorScale>
    </cfRule>
    <cfRule type="colorScale" priority="323">
      <colorScale>
        <cfvo type="min"/>
        <cfvo type="max"/>
        <color theme="4" tint="-0.25"/>
        <color theme="4" tint="0.8"/>
      </colorScale>
    </cfRule>
  </conditionalFormatting>
  <conditionalFormatting sqref="AA89:BB89">
    <cfRule type="colorScale" priority="251">
      <colorScale>
        <cfvo type="min"/>
        <cfvo type="max"/>
        <color theme="4" tint="0.8"/>
        <color theme="4"/>
      </colorScale>
    </cfRule>
  </conditionalFormatting>
  <conditionalFormatting sqref="D90:BB90">
    <cfRule type="colorScale" priority="232">
      <colorScale>
        <cfvo type="num" val="1"/>
        <cfvo type="num" val="3"/>
        <color theme="4" tint="0.8"/>
        <color theme="4" tint="-0.25"/>
      </colorScale>
    </cfRule>
    <cfRule type="colorScale" priority="268">
      <colorScale>
        <cfvo type="min"/>
        <cfvo type="max"/>
        <color theme="4" tint="0.8"/>
        <color theme="4"/>
      </colorScale>
    </cfRule>
    <cfRule type="colorScale" priority="286">
      <colorScale>
        <cfvo type="min"/>
        <cfvo type="max"/>
        <color theme="4"/>
        <color theme="4" tint="0.8"/>
      </colorScale>
    </cfRule>
    <cfRule type="colorScale" priority="304">
      <colorScale>
        <cfvo type="min"/>
        <cfvo type="max"/>
        <color theme="4" tint="0.8"/>
        <color theme="4" tint="-0.25"/>
      </colorScale>
    </cfRule>
    <cfRule type="colorScale" priority="322">
      <colorScale>
        <cfvo type="min"/>
        <cfvo type="max"/>
        <color theme="4" tint="-0.25"/>
        <color theme="4" tint="0.8"/>
      </colorScale>
    </cfRule>
  </conditionalFormatting>
  <conditionalFormatting sqref="AA90:BB90">
    <cfRule type="colorScale" priority="250">
      <colorScale>
        <cfvo type="min"/>
        <cfvo type="max"/>
        <color theme="4" tint="0.8"/>
        <color theme="4"/>
      </colorScale>
    </cfRule>
  </conditionalFormatting>
  <conditionalFormatting sqref="D91:BB91">
    <cfRule type="colorScale" priority="231">
      <colorScale>
        <cfvo type="num" val="1"/>
        <cfvo type="num" val="3"/>
        <color theme="4" tint="0.8"/>
        <color theme="4" tint="-0.25"/>
      </colorScale>
    </cfRule>
    <cfRule type="colorScale" priority="267">
      <colorScale>
        <cfvo type="min"/>
        <cfvo type="max"/>
        <color theme="4" tint="0.8"/>
        <color theme="4"/>
      </colorScale>
    </cfRule>
    <cfRule type="colorScale" priority="285">
      <colorScale>
        <cfvo type="min"/>
        <cfvo type="max"/>
        <color theme="4"/>
        <color theme="4" tint="0.8"/>
      </colorScale>
    </cfRule>
    <cfRule type="colorScale" priority="303">
      <colorScale>
        <cfvo type="min"/>
        <cfvo type="max"/>
        <color theme="4" tint="0.8"/>
        <color theme="4" tint="-0.25"/>
      </colorScale>
    </cfRule>
    <cfRule type="colorScale" priority="321">
      <colorScale>
        <cfvo type="min"/>
        <cfvo type="max"/>
        <color theme="4" tint="-0.25"/>
        <color theme="4" tint="0.8"/>
      </colorScale>
    </cfRule>
  </conditionalFormatting>
  <conditionalFormatting sqref="AA91:BB91">
    <cfRule type="colorScale" priority="249">
      <colorScale>
        <cfvo type="min"/>
        <cfvo type="max"/>
        <color theme="4" tint="0.8"/>
        <color theme="4"/>
      </colorScale>
    </cfRule>
  </conditionalFormatting>
  <conditionalFormatting sqref="D92:BB92">
    <cfRule type="colorScale" priority="230">
      <colorScale>
        <cfvo type="num" val="1"/>
        <cfvo type="num" val="3"/>
        <color theme="4" tint="0.8"/>
        <color theme="4" tint="-0.25"/>
      </colorScale>
    </cfRule>
    <cfRule type="colorScale" priority="266">
      <colorScale>
        <cfvo type="min"/>
        <cfvo type="max"/>
        <color theme="4" tint="0.8"/>
        <color theme="4"/>
      </colorScale>
    </cfRule>
    <cfRule type="colorScale" priority="284">
      <colorScale>
        <cfvo type="min"/>
        <cfvo type="max"/>
        <color theme="4"/>
        <color theme="4" tint="0.8"/>
      </colorScale>
    </cfRule>
    <cfRule type="colorScale" priority="302">
      <colorScale>
        <cfvo type="min"/>
        <cfvo type="max"/>
        <color theme="4" tint="0.8"/>
        <color theme="4" tint="-0.25"/>
      </colorScale>
    </cfRule>
    <cfRule type="colorScale" priority="320">
      <colorScale>
        <cfvo type="min"/>
        <cfvo type="max"/>
        <color theme="4" tint="-0.25"/>
        <color theme="4" tint="0.8"/>
      </colorScale>
    </cfRule>
  </conditionalFormatting>
  <conditionalFormatting sqref="AA92:BB92">
    <cfRule type="colorScale" priority="248">
      <colorScale>
        <cfvo type="min"/>
        <cfvo type="max"/>
        <color theme="4" tint="0.8"/>
        <color theme="4"/>
      </colorScale>
    </cfRule>
  </conditionalFormatting>
  <conditionalFormatting sqref="D93:BB93">
    <cfRule type="colorScale" priority="229">
      <colorScale>
        <cfvo type="num" val="1"/>
        <cfvo type="num" val="3"/>
        <color theme="4" tint="0.8"/>
        <color theme="4" tint="-0.25"/>
      </colorScale>
    </cfRule>
    <cfRule type="colorScale" priority="265">
      <colorScale>
        <cfvo type="min"/>
        <cfvo type="max"/>
        <color theme="4" tint="0.8"/>
        <color theme="4"/>
      </colorScale>
    </cfRule>
    <cfRule type="colorScale" priority="283">
      <colorScale>
        <cfvo type="min"/>
        <cfvo type="max"/>
        <color theme="4"/>
        <color theme="4" tint="0.8"/>
      </colorScale>
    </cfRule>
    <cfRule type="colorScale" priority="301">
      <colorScale>
        <cfvo type="min"/>
        <cfvo type="max"/>
        <color theme="4" tint="0.8"/>
        <color theme="4" tint="-0.25"/>
      </colorScale>
    </cfRule>
    <cfRule type="colorScale" priority="319">
      <colorScale>
        <cfvo type="min"/>
        <cfvo type="max"/>
        <color theme="4" tint="-0.25"/>
        <color theme="4" tint="0.8"/>
      </colorScale>
    </cfRule>
  </conditionalFormatting>
  <conditionalFormatting sqref="AA93:BB93">
    <cfRule type="colorScale" priority="247">
      <colorScale>
        <cfvo type="min"/>
        <cfvo type="max"/>
        <color theme="4" tint="0.8"/>
        <color theme="4"/>
      </colorScale>
    </cfRule>
  </conditionalFormatting>
  <conditionalFormatting sqref="D94:BB94">
    <cfRule type="colorScale" priority="228">
      <colorScale>
        <cfvo type="num" val="1"/>
        <cfvo type="num" val="3"/>
        <color theme="4" tint="0.8"/>
        <color theme="4" tint="-0.25"/>
      </colorScale>
    </cfRule>
    <cfRule type="colorScale" priority="264">
      <colorScale>
        <cfvo type="min"/>
        <cfvo type="max"/>
        <color theme="4" tint="0.8"/>
        <color theme="4"/>
      </colorScale>
    </cfRule>
    <cfRule type="colorScale" priority="282">
      <colorScale>
        <cfvo type="min"/>
        <cfvo type="max"/>
        <color theme="4"/>
        <color theme="4" tint="0.8"/>
      </colorScale>
    </cfRule>
    <cfRule type="colorScale" priority="300">
      <colorScale>
        <cfvo type="min"/>
        <cfvo type="max"/>
        <color theme="4" tint="0.8"/>
        <color theme="4" tint="-0.25"/>
      </colorScale>
    </cfRule>
    <cfRule type="colorScale" priority="318">
      <colorScale>
        <cfvo type="min"/>
        <cfvo type="max"/>
        <color theme="4" tint="-0.25"/>
        <color theme="4" tint="0.8"/>
      </colorScale>
    </cfRule>
  </conditionalFormatting>
  <conditionalFormatting sqref="AA94:BB94">
    <cfRule type="colorScale" priority="246">
      <colorScale>
        <cfvo type="min"/>
        <cfvo type="max"/>
        <color theme="4" tint="0.8"/>
        <color theme="4"/>
      </colorScale>
    </cfRule>
  </conditionalFormatting>
  <conditionalFormatting sqref="D95:BB95">
    <cfRule type="colorScale" priority="227">
      <colorScale>
        <cfvo type="num" val="1"/>
        <cfvo type="num" val="3"/>
        <color theme="4" tint="0.8"/>
        <color theme="4" tint="-0.25"/>
      </colorScale>
    </cfRule>
    <cfRule type="colorScale" priority="263">
      <colorScale>
        <cfvo type="min"/>
        <cfvo type="max"/>
        <color theme="4" tint="0.8"/>
        <color theme="4"/>
      </colorScale>
    </cfRule>
    <cfRule type="colorScale" priority="281">
      <colorScale>
        <cfvo type="min"/>
        <cfvo type="max"/>
        <color theme="4"/>
        <color theme="4" tint="0.8"/>
      </colorScale>
    </cfRule>
    <cfRule type="colorScale" priority="299">
      <colorScale>
        <cfvo type="min"/>
        <cfvo type="max"/>
        <color theme="4" tint="0.8"/>
        <color theme="4" tint="-0.25"/>
      </colorScale>
    </cfRule>
    <cfRule type="colorScale" priority="317">
      <colorScale>
        <cfvo type="min"/>
        <cfvo type="max"/>
        <color theme="4" tint="-0.25"/>
        <color theme="4" tint="0.8"/>
      </colorScale>
    </cfRule>
  </conditionalFormatting>
  <conditionalFormatting sqref="AA95:BB95">
    <cfRule type="colorScale" priority="245">
      <colorScale>
        <cfvo type="min"/>
        <cfvo type="max"/>
        <color theme="4" tint="0.8"/>
        <color theme="4"/>
      </colorScale>
    </cfRule>
  </conditionalFormatting>
  <conditionalFormatting sqref="D96:BB96">
    <cfRule type="colorScale" priority="226">
      <colorScale>
        <cfvo type="num" val="1"/>
        <cfvo type="num" val="3"/>
        <color theme="4" tint="0.8"/>
        <color theme="4" tint="-0.25"/>
      </colorScale>
    </cfRule>
    <cfRule type="colorScale" priority="262">
      <colorScale>
        <cfvo type="min"/>
        <cfvo type="max"/>
        <color theme="4" tint="0.8"/>
        <color theme="4"/>
      </colorScale>
    </cfRule>
    <cfRule type="colorScale" priority="280">
      <colorScale>
        <cfvo type="min"/>
        <cfvo type="max"/>
        <color theme="4"/>
        <color theme="4" tint="0.8"/>
      </colorScale>
    </cfRule>
    <cfRule type="colorScale" priority="298">
      <colorScale>
        <cfvo type="min"/>
        <cfvo type="max"/>
        <color theme="4" tint="0.8"/>
        <color theme="4" tint="-0.25"/>
      </colorScale>
    </cfRule>
    <cfRule type="colorScale" priority="316">
      <colorScale>
        <cfvo type="min"/>
        <cfvo type="max"/>
        <color theme="4" tint="-0.25"/>
        <color theme="4" tint="0.8"/>
      </colorScale>
    </cfRule>
  </conditionalFormatting>
  <conditionalFormatting sqref="AA96:BB96">
    <cfRule type="colorScale" priority="244">
      <colorScale>
        <cfvo type="min"/>
        <cfvo type="max"/>
        <color theme="4" tint="0.8"/>
        <color theme="4"/>
      </colorScale>
    </cfRule>
  </conditionalFormatting>
  <conditionalFormatting sqref="D97:BB97">
    <cfRule type="colorScale" priority="161">
      <colorScale>
        <cfvo type="min"/>
        <cfvo type="max"/>
        <color theme="4" tint="-0.25"/>
        <color theme="4" tint="0.8"/>
      </colorScale>
    </cfRule>
    <cfRule type="colorScale" priority="141">
      <colorScale>
        <cfvo type="min"/>
        <cfvo type="max"/>
        <color theme="4" tint="0.8"/>
        <color theme="4" tint="-0.25"/>
      </colorScale>
    </cfRule>
    <cfRule type="colorScale" priority="121">
      <colorScale>
        <cfvo type="min"/>
        <cfvo type="max"/>
        <color theme="4"/>
        <color theme="4" tint="0.8"/>
      </colorScale>
    </cfRule>
    <cfRule type="colorScale" priority="101">
      <colorScale>
        <cfvo type="min"/>
        <cfvo type="max"/>
        <color theme="4" tint="0.8"/>
        <color theme="4"/>
      </colorScale>
    </cfRule>
    <cfRule type="colorScale" priority="61">
      <colorScale>
        <cfvo type="num" val="1"/>
        <cfvo type="num" val="3"/>
        <color theme="4" tint="0.8"/>
        <color theme="4" tint="-0.25"/>
      </colorScale>
    </cfRule>
  </conditionalFormatting>
  <conditionalFormatting sqref="AA97:BB97">
    <cfRule type="colorScale" priority="81">
      <colorScale>
        <cfvo type="min"/>
        <cfvo type="max"/>
        <color theme="4" tint="0.8"/>
        <color theme="4"/>
      </colorScale>
    </cfRule>
  </conditionalFormatting>
  <conditionalFormatting sqref="D98:BB98">
    <cfRule type="colorScale" priority="160">
      <colorScale>
        <cfvo type="min"/>
        <cfvo type="max"/>
        <color theme="4" tint="-0.25"/>
        <color theme="4" tint="0.8"/>
      </colorScale>
    </cfRule>
    <cfRule type="colorScale" priority="140">
      <colorScale>
        <cfvo type="min"/>
        <cfvo type="max"/>
        <color theme="4" tint="0.8"/>
        <color theme="4" tint="-0.25"/>
      </colorScale>
    </cfRule>
    <cfRule type="colorScale" priority="120">
      <colorScale>
        <cfvo type="min"/>
        <cfvo type="max"/>
        <color theme="4"/>
        <color theme="4" tint="0.8"/>
      </colorScale>
    </cfRule>
    <cfRule type="colorScale" priority="100">
      <colorScale>
        <cfvo type="min"/>
        <cfvo type="max"/>
        <color theme="4" tint="0.8"/>
        <color theme="4"/>
      </colorScale>
    </cfRule>
    <cfRule type="colorScale" priority="60">
      <colorScale>
        <cfvo type="num" val="1"/>
        <cfvo type="num" val="3"/>
        <color theme="4" tint="0.8"/>
        <color theme="4" tint="-0.25"/>
      </colorScale>
    </cfRule>
  </conditionalFormatting>
  <conditionalFormatting sqref="AA98:BB98">
    <cfRule type="colorScale" priority="80">
      <colorScale>
        <cfvo type="min"/>
        <cfvo type="max"/>
        <color theme="4" tint="0.8"/>
        <color theme="4"/>
      </colorScale>
    </cfRule>
  </conditionalFormatting>
  <conditionalFormatting sqref="D99:BB99">
    <cfRule type="colorScale" priority="159">
      <colorScale>
        <cfvo type="min"/>
        <cfvo type="max"/>
        <color theme="4" tint="-0.25"/>
        <color theme="4" tint="0.8"/>
      </colorScale>
    </cfRule>
    <cfRule type="colorScale" priority="139">
      <colorScale>
        <cfvo type="min"/>
        <cfvo type="max"/>
        <color theme="4" tint="0.8"/>
        <color theme="4" tint="-0.25"/>
      </colorScale>
    </cfRule>
    <cfRule type="colorScale" priority="119">
      <colorScale>
        <cfvo type="min"/>
        <cfvo type="max"/>
        <color theme="4"/>
        <color theme="4" tint="0.8"/>
      </colorScale>
    </cfRule>
    <cfRule type="colorScale" priority="99">
      <colorScale>
        <cfvo type="min"/>
        <cfvo type="max"/>
        <color theme="4" tint="0.8"/>
        <color theme="4"/>
      </colorScale>
    </cfRule>
    <cfRule type="colorScale" priority="59">
      <colorScale>
        <cfvo type="num" val="1"/>
        <cfvo type="num" val="3"/>
        <color theme="4" tint="0.8"/>
        <color theme="4" tint="-0.25"/>
      </colorScale>
    </cfRule>
  </conditionalFormatting>
  <conditionalFormatting sqref="AA99:BB99">
    <cfRule type="colorScale" priority="79">
      <colorScale>
        <cfvo type="min"/>
        <cfvo type="max"/>
        <color theme="4" tint="0.8"/>
        <color theme="4"/>
      </colorScale>
    </cfRule>
  </conditionalFormatting>
  <conditionalFormatting sqref="D100:BB100">
    <cfRule type="colorScale" priority="158">
      <colorScale>
        <cfvo type="min"/>
        <cfvo type="max"/>
        <color theme="4" tint="-0.25"/>
        <color theme="4" tint="0.8"/>
      </colorScale>
    </cfRule>
    <cfRule type="colorScale" priority="138">
      <colorScale>
        <cfvo type="min"/>
        <cfvo type="max"/>
        <color theme="4" tint="0.8"/>
        <color theme="4" tint="-0.25"/>
      </colorScale>
    </cfRule>
    <cfRule type="colorScale" priority="118">
      <colorScale>
        <cfvo type="min"/>
        <cfvo type="max"/>
        <color theme="4"/>
        <color theme="4" tint="0.8"/>
      </colorScale>
    </cfRule>
    <cfRule type="colorScale" priority="98">
      <colorScale>
        <cfvo type="min"/>
        <cfvo type="max"/>
        <color theme="4" tint="0.8"/>
        <color theme="4"/>
      </colorScale>
    </cfRule>
    <cfRule type="colorScale" priority="58">
      <colorScale>
        <cfvo type="num" val="1"/>
        <cfvo type="num" val="3"/>
        <color theme="4" tint="0.8"/>
        <color theme="4" tint="-0.25"/>
      </colorScale>
    </cfRule>
  </conditionalFormatting>
  <conditionalFormatting sqref="AA100:BB100">
    <cfRule type="colorScale" priority="78">
      <colorScale>
        <cfvo type="min"/>
        <cfvo type="max"/>
        <color theme="4" tint="0.8"/>
        <color theme="4"/>
      </colorScale>
    </cfRule>
  </conditionalFormatting>
  <conditionalFormatting sqref="D101:BB101">
    <cfRule type="colorScale" priority="157">
      <colorScale>
        <cfvo type="min"/>
        <cfvo type="max"/>
        <color theme="4" tint="-0.25"/>
        <color theme="4" tint="0.8"/>
      </colorScale>
    </cfRule>
    <cfRule type="colorScale" priority="137">
      <colorScale>
        <cfvo type="min"/>
        <cfvo type="max"/>
        <color theme="4" tint="0.8"/>
        <color theme="4" tint="-0.25"/>
      </colorScale>
    </cfRule>
    <cfRule type="colorScale" priority="117">
      <colorScale>
        <cfvo type="min"/>
        <cfvo type="max"/>
        <color theme="4"/>
        <color theme="4" tint="0.8"/>
      </colorScale>
    </cfRule>
    <cfRule type="colorScale" priority="97">
      <colorScale>
        <cfvo type="min"/>
        <cfvo type="max"/>
        <color theme="4" tint="0.8"/>
        <color theme="4"/>
      </colorScale>
    </cfRule>
    <cfRule type="colorScale" priority="57">
      <colorScale>
        <cfvo type="num" val="1"/>
        <cfvo type="num" val="3"/>
        <color theme="4" tint="0.8"/>
        <color theme="4" tint="-0.25"/>
      </colorScale>
    </cfRule>
  </conditionalFormatting>
  <conditionalFormatting sqref="AA101:BB101">
    <cfRule type="colorScale" priority="77">
      <colorScale>
        <cfvo type="min"/>
        <cfvo type="max"/>
        <color theme="4" tint="0.8"/>
        <color theme="4"/>
      </colorScale>
    </cfRule>
  </conditionalFormatting>
  <conditionalFormatting sqref="D102:BB102">
    <cfRule type="colorScale" priority="54">
      <colorScale>
        <cfvo type="num" val="1"/>
        <cfvo type="num" val="3"/>
        <color theme="4" tint="0.8"/>
        <color theme="4" tint="-0.25"/>
      </colorScale>
    </cfRule>
    <cfRule type="colorScale" priority="94">
      <colorScale>
        <cfvo type="min"/>
        <cfvo type="max"/>
        <color theme="4" tint="0.8"/>
        <color theme="4"/>
      </colorScale>
    </cfRule>
    <cfRule type="colorScale" priority="114">
      <colorScale>
        <cfvo type="min"/>
        <cfvo type="max"/>
        <color theme="4"/>
        <color theme="4" tint="0.8"/>
      </colorScale>
    </cfRule>
    <cfRule type="colorScale" priority="134">
      <colorScale>
        <cfvo type="min"/>
        <cfvo type="max"/>
        <color theme="4" tint="0.8"/>
        <color theme="4" tint="-0.25"/>
      </colorScale>
    </cfRule>
    <cfRule type="colorScale" priority="154">
      <colorScale>
        <cfvo type="min"/>
        <cfvo type="max"/>
        <color theme="4" tint="-0.25"/>
        <color theme="4" tint="0.8"/>
      </colorScale>
    </cfRule>
  </conditionalFormatting>
  <conditionalFormatting sqref="AA102:BB102">
    <cfRule type="colorScale" priority="74">
      <colorScale>
        <cfvo type="min"/>
        <cfvo type="max"/>
        <color theme="4" tint="0.8"/>
        <color theme="4"/>
      </colorScale>
    </cfRule>
  </conditionalFormatting>
  <conditionalFormatting sqref="D103:BB103">
    <cfRule type="colorScale" priority="53">
      <colorScale>
        <cfvo type="num" val="1"/>
        <cfvo type="num" val="3"/>
        <color theme="4" tint="0.8"/>
        <color theme="4" tint="-0.25"/>
      </colorScale>
    </cfRule>
    <cfRule type="colorScale" priority="93">
      <colorScale>
        <cfvo type="min"/>
        <cfvo type="max"/>
        <color theme="4" tint="0.8"/>
        <color theme="4"/>
      </colorScale>
    </cfRule>
    <cfRule type="colorScale" priority="113">
      <colorScale>
        <cfvo type="min"/>
        <cfvo type="max"/>
        <color theme="4"/>
        <color theme="4" tint="0.8"/>
      </colorScale>
    </cfRule>
    <cfRule type="colorScale" priority="133">
      <colorScale>
        <cfvo type="min"/>
        <cfvo type="max"/>
        <color theme="4" tint="0.8"/>
        <color theme="4" tint="-0.25"/>
      </colorScale>
    </cfRule>
    <cfRule type="colorScale" priority="153">
      <colorScale>
        <cfvo type="min"/>
        <cfvo type="max"/>
        <color theme="4" tint="-0.25"/>
        <color theme="4" tint="0.8"/>
      </colorScale>
    </cfRule>
  </conditionalFormatting>
  <conditionalFormatting sqref="AA103:BB103">
    <cfRule type="colorScale" priority="73">
      <colorScale>
        <cfvo type="min"/>
        <cfvo type="max"/>
        <color theme="4" tint="0.8"/>
        <color theme="4"/>
      </colorScale>
    </cfRule>
  </conditionalFormatting>
  <conditionalFormatting sqref="D104:BB104">
    <cfRule type="colorScale" priority="52">
      <colorScale>
        <cfvo type="num" val="1"/>
        <cfvo type="num" val="3"/>
        <color theme="4" tint="0.8"/>
        <color theme="4" tint="-0.25"/>
      </colorScale>
    </cfRule>
    <cfRule type="colorScale" priority="92">
      <colorScale>
        <cfvo type="min"/>
        <cfvo type="max"/>
        <color theme="4" tint="0.8"/>
        <color theme="4"/>
      </colorScale>
    </cfRule>
    <cfRule type="colorScale" priority="112">
      <colorScale>
        <cfvo type="min"/>
        <cfvo type="max"/>
        <color theme="4"/>
        <color theme="4" tint="0.8"/>
      </colorScale>
    </cfRule>
    <cfRule type="colorScale" priority="132">
      <colorScale>
        <cfvo type="min"/>
        <cfvo type="max"/>
        <color theme="4" tint="0.8"/>
        <color theme="4" tint="-0.25"/>
      </colorScale>
    </cfRule>
    <cfRule type="colorScale" priority="152">
      <colorScale>
        <cfvo type="min"/>
        <cfvo type="max"/>
        <color theme="4" tint="-0.25"/>
        <color theme="4" tint="0.8"/>
      </colorScale>
    </cfRule>
  </conditionalFormatting>
  <conditionalFormatting sqref="AA104:BB104">
    <cfRule type="colorScale" priority="72">
      <colorScale>
        <cfvo type="min"/>
        <cfvo type="max"/>
        <color theme="4" tint="0.8"/>
        <color theme="4"/>
      </colorScale>
    </cfRule>
  </conditionalFormatting>
  <conditionalFormatting sqref="D105:BB105">
    <cfRule type="colorScale" priority="51">
      <colorScale>
        <cfvo type="num" val="1"/>
        <cfvo type="num" val="3"/>
        <color theme="4" tint="0.8"/>
        <color theme="4" tint="-0.25"/>
      </colorScale>
    </cfRule>
    <cfRule type="colorScale" priority="91">
      <colorScale>
        <cfvo type="min"/>
        <cfvo type="max"/>
        <color theme="4" tint="0.8"/>
        <color theme="4"/>
      </colorScale>
    </cfRule>
    <cfRule type="colorScale" priority="111">
      <colorScale>
        <cfvo type="min"/>
        <cfvo type="max"/>
        <color theme="4"/>
        <color theme="4" tint="0.8"/>
      </colorScale>
    </cfRule>
    <cfRule type="colorScale" priority="131">
      <colorScale>
        <cfvo type="min"/>
        <cfvo type="max"/>
        <color theme="4" tint="0.8"/>
        <color theme="4" tint="-0.25"/>
      </colorScale>
    </cfRule>
    <cfRule type="colorScale" priority="151">
      <colorScale>
        <cfvo type="min"/>
        <cfvo type="max"/>
        <color theme="4" tint="-0.25"/>
        <color theme="4" tint="0.8"/>
      </colorScale>
    </cfRule>
  </conditionalFormatting>
  <conditionalFormatting sqref="AA105:BB105">
    <cfRule type="colorScale" priority="71">
      <colorScale>
        <cfvo type="min"/>
        <cfvo type="max"/>
        <color theme="4" tint="0.8"/>
        <color theme="4"/>
      </colorScale>
    </cfRule>
  </conditionalFormatting>
  <conditionalFormatting sqref="D106:BB106">
    <cfRule type="colorScale" priority="50">
      <colorScale>
        <cfvo type="num" val="1"/>
        <cfvo type="num" val="3"/>
        <color theme="4" tint="0.8"/>
        <color theme="4" tint="-0.25"/>
      </colorScale>
    </cfRule>
    <cfRule type="colorScale" priority="90">
      <colorScale>
        <cfvo type="min"/>
        <cfvo type="max"/>
        <color theme="4" tint="0.8"/>
        <color theme="4"/>
      </colorScale>
    </cfRule>
    <cfRule type="colorScale" priority="110">
      <colorScale>
        <cfvo type="min"/>
        <cfvo type="max"/>
        <color theme="4"/>
        <color theme="4" tint="0.8"/>
      </colorScale>
    </cfRule>
    <cfRule type="colorScale" priority="130">
      <colorScale>
        <cfvo type="min"/>
        <cfvo type="max"/>
        <color theme="4" tint="0.8"/>
        <color theme="4" tint="-0.25"/>
      </colorScale>
    </cfRule>
    <cfRule type="colorScale" priority="150">
      <colorScale>
        <cfvo type="min"/>
        <cfvo type="max"/>
        <color theme="4" tint="-0.25"/>
        <color theme="4" tint="0.8"/>
      </colorScale>
    </cfRule>
  </conditionalFormatting>
  <conditionalFormatting sqref="AA106:BB106">
    <cfRule type="colorScale" priority="70">
      <colorScale>
        <cfvo type="min"/>
        <cfvo type="max"/>
        <color theme="4" tint="0.8"/>
        <color theme="4"/>
      </colorScale>
    </cfRule>
  </conditionalFormatting>
  <conditionalFormatting sqref="D107:BB107">
    <cfRule type="colorScale" priority="49">
      <colorScale>
        <cfvo type="num" val="1"/>
        <cfvo type="num" val="3"/>
        <color theme="4" tint="0.8"/>
        <color theme="4" tint="-0.25"/>
      </colorScale>
    </cfRule>
    <cfRule type="colorScale" priority="89">
      <colorScale>
        <cfvo type="min"/>
        <cfvo type="max"/>
        <color theme="4" tint="0.8"/>
        <color theme="4"/>
      </colorScale>
    </cfRule>
    <cfRule type="colorScale" priority="109">
      <colorScale>
        <cfvo type="min"/>
        <cfvo type="max"/>
        <color theme="4"/>
        <color theme="4" tint="0.8"/>
      </colorScale>
    </cfRule>
    <cfRule type="colorScale" priority="129">
      <colorScale>
        <cfvo type="min"/>
        <cfvo type="max"/>
        <color theme="4" tint="0.8"/>
        <color theme="4" tint="-0.25"/>
      </colorScale>
    </cfRule>
    <cfRule type="colorScale" priority="149">
      <colorScale>
        <cfvo type="min"/>
        <cfvo type="max"/>
        <color theme="4" tint="-0.25"/>
        <color theme="4" tint="0.8"/>
      </colorScale>
    </cfRule>
  </conditionalFormatting>
  <conditionalFormatting sqref="AA107:BB107">
    <cfRule type="colorScale" priority="69">
      <colorScale>
        <cfvo type="min"/>
        <cfvo type="max"/>
        <color theme="4" tint="0.8"/>
        <color theme="4"/>
      </colorScale>
    </cfRule>
  </conditionalFormatting>
  <conditionalFormatting sqref="D108:BB108">
    <cfRule type="colorScale" priority="48">
      <colorScale>
        <cfvo type="num" val="1"/>
        <cfvo type="num" val="3"/>
        <color theme="4" tint="0.8"/>
        <color theme="4" tint="-0.25"/>
      </colorScale>
    </cfRule>
    <cfRule type="colorScale" priority="88">
      <colorScale>
        <cfvo type="min"/>
        <cfvo type="max"/>
        <color theme="4" tint="0.8"/>
        <color theme="4"/>
      </colorScale>
    </cfRule>
    <cfRule type="colorScale" priority="108">
      <colorScale>
        <cfvo type="min"/>
        <cfvo type="max"/>
        <color theme="4"/>
        <color theme="4" tint="0.8"/>
      </colorScale>
    </cfRule>
    <cfRule type="colorScale" priority="128">
      <colorScale>
        <cfvo type="min"/>
        <cfvo type="max"/>
        <color theme="4" tint="0.8"/>
        <color theme="4" tint="-0.25"/>
      </colorScale>
    </cfRule>
    <cfRule type="colorScale" priority="148">
      <colorScale>
        <cfvo type="min"/>
        <cfvo type="max"/>
        <color theme="4" tint="-0.25"/>
        <color theme="4" tint="0.8"/>
      </colorScale>
    </cfRule>
  </conditionalFormatting>
  <conditionalFormatting sqref="AA108:BB108">
    <cfRule type="colorScale" priority="68">
      <colorScale>
        <cfvo type="min"/>
        <cfvo type="max"/>
        <color theme="4" tint="0.8"/>
        <color theme="4"/>
      </colorScale>
    </cfRule>
  </conditionalFormatting>
  <conditionalFormatting sqref="D109:BB109">
    <cfRule type="colorScale" priority="47">
      <colorScale>
        <cfvo type="num" val="1"/>
        <cfvo type="num" val="3"/>
        <color theme="4" tint="0.8"/>
        <color theme="4" tint="-0.25"/>
      </colorScale>
    </cfRule>
    <cfRule type="colorScale" priority="87">
      <colorScale>
        <cfvo type="min"/>
        <cfvo type="max"/>
        <color theme="4" tint="0.8"/>
        <color theme="4"/>
      </colorScale>
    </cfRule>
    <cfRule type="colorScale" priority="107">
      <colorScale>
        <cfvo type="min"/>
        <cfvo type="max"/>
        <color theme="4"/>
        <color theme="4" tint="0.8"/>
      </colorScale>
    </cfRule>
    <cfRule type="colorScale" priority="127">
      <colorScale>
        <cfvo type="min"/>
        <cfvo type="max"/>
        <color theme="4" tint="0.8"/>
        <color theme="4" tint="-0.25"/>
      </colorScale>
    </cfRule>
    <cfRule type="colorScale" priority="147">
      <colorScale>
        <cfvo type="min"/>
        <cfvo type="max"/>
        <color theme="4" tint="-0.25"/>
        <color theme="4" tint="0.8"/>
      </colorScale>
    </cfRule>
  </conditionalFormatting>
  <conditionalFormatting sqref="AA109:BB109">
    <cfRule type="colorScale" priority="67">
      <colorScale>
        <cfvo type="min"/>
        <cfvo type="max"/>
        <color theme="4" tint="0.8"/>
        <color theme="4"/>
      </colorScale>
    </cfRule>
  </conditionalFormatting>
  <conditionalFormatting sqref="D110:BB110">
    <cfRule type="colorScale" priority="46">
      <colorScale>
        <cfvo type="num" val="1"/>
        <cfvo type="num" val="3"/>
        <color theme="4" tint="0.8"/>
        <color theme="4" tint="-0.25"/>
      </colorScale>
    </cfRule>
    <cfRule type="colorScale" priority="86">
      <colorScale>
        <cfvo type="min"/>
        <cfvo type="max"/>
        <color theme="4" tint="0.8"/>
        <color theme="4"/>
      </colorScale>
    </cfRule>
    <cfRule type="colorScale" priority="106">
      <colorScale>
        <cfvo type="min"/>
        <cfvo type="max"/>
        <color theme="4"/>
        <color theme="4" tint="0.8"/>
      </colorScale>
    </cfRule>
    <cfRule type="colorScale" priority="126">
      <colorScale>
        <cfvo type="min"/>
        <cfvo type="max"/>
        <color theme="4" tint="0.8"/>
        <color theme="4" tint="-0.25"/>
      </colorScale>
    </cfRule>
    <cfRule type="colorScale" priority="146">
      <colorScale>
        <cfvo type="min"/>
        <cfvo type="max"/>
        <color theme="4" tint="-0.25"/>
        <color theme="4" tint="0.8"/>
      </colorScale>
    </cfRule>
  </conditionalFormatting>
  <conditionalFormatting sqref="AA110:BB110">
    <cfRule type="colorScale" priority="66">
      <colorScale>
        <cfvo type="min"/>
        <cfvo type="max"/>
        <color theme="4" tint="0.8"/>
        <color theme="4"/>
      </colorScale>
    </cfRule>
  </conditionalFormatting>
  <conditionalFormatting sqref="D111:BB111">
    <cfRule type="colorScale" priority="45">
      <colorScale>
        <cfvo type="num" val="1"/>
        <cfvo type="num" val="3"/>
        <color theme="4" tint="0.8"/>
        <color theme="4" tint="-0.25"/>
      </colorScale>
    </cfRule>
    <cfRule type="colorScale" priority="85">
      <colorScale>
        <cfvo type="min"/>
        <cfvo type="max"/>
        <color theme="4" tint="0.8"/>
        <color theme="4"/>
      </colorScale>
    </cfRule>
    <cfRule type="colorScale" priority="105">
      <colorScale>
        <cfvo type="min"/>
        <cfvo type="max"/>
        <color theme="4"/>
        <color theme="4" tint="0.8"/>
      </colorScale>
    </cfRule>
    <cfRule type="colorScale" priority="125">
      <colorScale>
        <cfvo type="min"/>
        <cfvo type="max"/>
        <color theme="4" tint="0.8"/>
        <color theme="4" tint="-0.25"/>
      </colorScale>
    </cfRule>
    <cfRule type="colorScale" priority="145">
      <colorScale>
        <cfvo type="min"/>
        <cfvo type="max"/>
        <color theme="4" tint="-0.25"/>
        <color theme="4" tint="0.8"/>
      </colorScale>
    </cfRule>
  </conditionalFormatting>
  <conditionalFormatting sqref="AA111:BB111">
    <cfRule type="colorScale" priority="65">
      <colorScale>
        <cfvo type="min"/>
        <cfvo type="max"/>
        <color theme="4" tint="0.8"/>
        <color theme="4"/>
      </colorScale>
    </cfRule>
  </conditionalFormatting>
  <conditionalFormatting sqref="D112:BB112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112:BN112">
    <cfRule type="colorScale" priority="215">
      <colorScale>
        <cfvo type="min"/>
        <cfvo type="max"/>
        <color rgb="FFFFEF9C"/>
        <color rgb="FF63BE7B"/>
      </colorScale>
    </cfRule>
  </conditionalFormatting>
  <conditionalFormatting sqref="D113:BB113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4:BB114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:BC111">
    <cfRule type="colorScale" priority="472">
      <colorScale>
        <cfvo type="min"/>
        <cfvo type="max"/>
        <color theme="6" tint="0.8"/>
        <color theme="6" tint="-0.25"/>
      </colorScale>
    </cfRule>
  </conditionalFormatting>
  <conditionalFormatting sqref="BD2:BD111">
    <cfRule type="colorScale" priority="471">
      <colorScale>
        <cfvo type="min"/>
        <cfvo type="max"/>
        <color theme="6" tint="0.8"/>
        <color theme="6" tint="-0.25"/>
      </colorScale>
    </cfRule>
  </conditionalFormatting>
  <conditionalFormatting sqref="BO16:BO23">
    <cfRule type="colorScale" priority="213">
      <colorScale>
        <cfvo type="min"/>
        <cfvo type="max"/>
        <color rgb="FFFCFCFF"/>
        <color rgb="FFF8696B"/>
      </colorScale>
    </cfRule>
  </conditionalFormatting>
  <conditionalFormatting sqref="BO24:BO111">
    <cfRule type="colorScale" priority="212">
      <colorScale>
        <cfvo type="min"/>
        <cfvo type="max"/>
        <color rgb="FFFCFCFF"/>
        <color rgb="FF63BE7B"/>
      </colorScale>
    </cfRule>
  </conditionalFormatting>
  <conditionalFormatting sqref="D2:BB19">
    <cfRule type="colorScale" priority="599">
      <colorScale>
        <cfvo type="min"/>
        <cfvo type="max"/>
        <color theme="4" tint="0.8"/>
        <color theme="4" tint="-0.25"/>
      </colorScale>
    </cfRule>
    <cfRule type="colorScale" priority="600">
      <colorScale>
        <cfvo type="min"/>
        <cfvo type="max"/>
        <color theme="4" tint="-0.25"/>
        <color theme="4" tint="0.8"/>
      </colorScale>
    </cfRule>
  </conditionalFormatting>
  <conditionalFormatting sqref="D2:BB32">
    <cfRule type="colorScale" priority="567">
      <colorScale>
        <cfvo type="min"/>
        <cfvo type="max"/>
        <color theme="4" tint="0.8"/>
        <color theme="4"/>
      </colorScale>
    </cfRule>
    <cfRule type="colorScale" priority="568">
      <colorScale>
        <cfvo type="min"/>
        <cfvo type="max"/>
        <color theme="4"/>
        <color theme="4" tint="0.8"/>
      </colorScale>
    </cfRule>
  </conditionalFormatting>
  <conditionalFormatting sqref="D2:BB55">
    <cfRule type="colorScale" priority="473">
      <colorScale>
        <cfvo type="num" val="1"/>
        <cfvo type="num" val="3"/>
        <color theme="4" tint="0.8"/>
        <color theme="4" tint="-0.25"/>
      </colorScale>
    </cfRule>
  </conditionalFormatting>
  <conditionalFormatting sqref="D2:BB60">
    <cfRule type="colorScale" priority="444">
      <colorScale>
        <cfvo type="min"/>
        <cfvo type="max"/>
        <color theme="4" tint="0.8"/>
        <color theme="4"/>
      </colorScale>
    </cfRule>
  </conditionalFormatting>
  <conditionalFormatting sqref="D2:BB78">
    <cfRule type="colorScale" priority="334">
      <colorScale>
        <cfvo type="min"/>
        <cfvo type="max"/>
        <color theme="4" tint="0.8"/>
        <color theme="4"/>
      </colorScale>
    </cfRule>
    <cfRule type="colorScale" priority="335">
      <colorScale>
        <cfvo type="min"/>
        <cfvo type="max"/>
        <color theme="4" tint="0.8"/>
        <color theme="4" tint="-0.25"/>
      </colorScale>
    </cfRule>
  </conditionalFormatting>
  <conditionalFormatting sqref="D2:BB96">
    <cfRule type="colorScale" priority="225">
      <colorScale>
        <cfvo type="min"/>
        <cfvo type="max"/>
        <color theme="4" tint="0.8"/>
        <color theme="4"/>
      </colorScale>
    </cfRule>
  </conditionalFormatting>
  <conditionalFormatting sqref="D2:BB111">
    <cfRule type="colorScale" priority="1">
      <colorScale>
        <cfvo type="min"/>
        <cfvo type="max"/>
        <color theme="4" tint="0.8"/>
        <color theme="4"/>
      </colorScale>
    </cfRule>
  </conditionalFormatting>
  <conditionalFormatting sqref="AA2:BB55">
    <cfRule type="colorScale" priority="474">
      <colorScale>
        <cfvo type="min"/>
        <cfvo type="max"/>
        <color theme="4" tint="0.8"/>
        <color theme="4"/>
      </colorScale>
    </cfRule>
  </conditionalFormatting>
  <conditionalFormatting sqref="D56:BB57">
    <cfRule type="colorScale" priority="447">
      <colorScale>
        <cfvo type="num" val="1"/>
        <cfvo type="num" val="3"/>
        <color theme="4" tint="0.8"/>
        <color theme="4" tint="-0.25"/>
      </colorScale>
    </cfRule>
  </conditionalFormatting>
  <conditionalFormatting sqref="AA56:BB57">
    <cfRule type="colorScale" priority="450">
      <colorScale>
        <cfvo type="min"/>
        <cfvo type="max"/>
        <color theme="4" tint="0.8"/>
        <color theme="4"/>
      </colorScale>
    </cfRule>
  </conditionalFormatting>
  <conditionalFormatting sqref="D58:BB59">
    <cfRule type="colorScale" priority="446">
      <colorScale>
        <cfvo type="num" val="1"/>
        <cfvo type="num" val="3"/>
        <color theme="4" tint="0.8"/>
        <color theme="4" tint="-0.25"/>
      </colorScale>
    </cfRule>
  </conditionalFormatting>
  <conditionalFormatting sqref="AA58:BB59">
    <cfRule type="colorScale" priority="449">
      <colorScale>
        <cfvo type="min"/>
        <cfvo type="max"/>
        <color theme="4" tint="0.8"/>
        <color theme="4"/>
      </colorScale>
    </cfRule>
  </conditionalFormatting>
  <pageMargins left="0.75" right="0.75" top="1" bottom="1" header="0.5" footer="0.5"/>
  <headerFooter/>
  <ignoredErrors>
    <ignoredError sqref="A92:D93 F92:X93 Z92:AB93 AD93:AE93 AG93:AP93 AR93 AT93 AV92:BD93 A95:D96 F96:O96 Q95:X96 Z96:AO96 AQ96:AR96 AT96:BB96 A112:C114 BC112:BD114 AQ95:BD95 AN95:AO95 AH95:AL95 Z95:AF95 K95:O95 F95:I95 AR94:BD94 Q94:AP94 A94:O94 AD92:AT92 A2:BD91 B1:BD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师生</vt:lpstr>
      <vt:lpstr>集体</vt:lpstr>
      <vt:lpstr>事例</vt:lpstr>
      <vt:lpstr>老师</vt:lpstr>
      <vt:lpstr>职务</vt:lpstr>
      <vt:lpstr>座位</vt:lpstr>
      <vt:lpstr>大事</vt:lpstr>
      <vt:lpstr>外号</vt:lpstr>
      <vt:lpstr>老（旧）</vt:lpstr>
      <vt:lpstr>生（旧）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游木元</dc:creator>
  <cp:lastModifiedBy>ET</cp:lastModifiedBy>
  <dcterms:created xsi:type="dcterms:W3CDTF">2023-05-11T11:15:00Z</dcterms:created>
  <dcterms:modified xsi:type="dcterms:W3CDTF">2026-08-02T03:42:26Z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BCD2C38D4CBB43E094D95C47AB1C8C70_12</vt:lpwstr>
  </property>
  <property fmtid="{D5CDD505-2E9C-101B-9397-08002B2CF9AE}" pid="4" name="CalculationRule">
    <vt:i4>0</vt:i4>
  </property>
</Properties>
</file>