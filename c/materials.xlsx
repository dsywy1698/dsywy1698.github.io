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110" windowHeight="10480" tabRatio="724" activeTab="7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<sst xmlns="http://schemas.openxmlformats.org/spreadsheetml/2006/main" count="1201" uniqueCount="700">
  <si>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</si>
  <si>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</si>
  <si>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</si>
  <si>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</si>
  <si>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</si>
  <si>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</si>
  <si>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</si>
  <si>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</si>
  <si>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</si>
  <si>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</si>
  <si>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</si>
  <si>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</si>
  <si>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</si>
  <si>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</si>
  <si>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</si>
  <si>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</si>
  <si>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</si>
  <si>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</si>
  <si>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</si>
  <si>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</si>
  <si>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</si>
  <si>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</si>
  <si>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</si>
  <si>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</si>
  <si>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</si>
  <si>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</si>
  <si>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</si>
  <si>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</si>
  <si>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</si>
  <si>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</si>
  <si>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</si>
  <si>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</si>
  <si>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</si>
  <si>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</si>
  <si>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</si>
  <si>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</si>
  <si>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</si>
  <si>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</si>
  <si>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</si>
  <si>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</si>
  <si>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</si>
  <si>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</si>
  <si>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</si>
  <si>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</si>
  <si>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</si>
  <si>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</si>
  <si>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</si>
  <si>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</si>
  <si>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</si>
  <si>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</si>
  <si>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</si>
  <si>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</si>
  <si>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</si>
  <si>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</si>
  <si>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爱国有方讲出陈梦玲的事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</si>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</sst>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28" workbookViewId="0">
      <selection activeCell="F7" sqref="F7"/>
    </sheetView>
  </sheetViews>
  <sheetFormatPr defaultColWidth="8.72727272727273" defaultRowHeight="14"/>
  <cols>
    <col min="1" max="1" width="7.59090909090909" style="225" customWidth="1"/>
    <col min="2" max="7" width="25.8727272727273" style="226" customWidth="1"/>
    <col min="8" max="10" width="16.6818181818182" style="227" customWidth="1"/>
    <col min="11" max="16384" width="8.72727272727273" style="228"/>
  </cols>
  <sheetData>
    <row r="1" s="224" customFormat="1" spans="1:10">
      <c r="A1" s="229" t="s">
        <v>0</v>
      </c>
      <c r="B1" s="230" t="s">
        <v>1</v>
      </c>
      <c r="C1" s="230" t="s">
        <v>2</v>
      </c>
      <c r="D1" s="230" t="s">
        <v>3</v>
      </c>
      <c r="E1" s="230" t="s">
        <v>4</v>
      </c>
      <c r="F1" s="230" t="s">
        <v>5</v>
      </c>
      <c r="G1" s="230" t="s">
        <v>6</v>
      </c>
      <c r="H1" s="231"/>
      <c r="I1" s="231"/>
      <c r="J1" s="231"/>
    </row>
    <row r="2" spans="1:10">
      <c r="A2" s="232" t="s">
        <v>7</v>
      </c>
      <c r="B2" s="226" t="s">
        <v>8</v>
      </c>
      <c r="C2" s="226" t="s">
        <v>9</v>
      </c>
    </row>
    <row r="3" ht="52" spans="1:10">
      <c r="A3" s="232" t="s">
        <v>10</v>
      </c>
      <c r="C3" s="226" t="s">
        <v>11</v>
      </c>
      <c r="D3" s="226" t="s">
        <v>12</v>
      </c>
    </row>
    <row r="4" ht="26" spans="1:10">
      <c r="A4" s="232" t="s">
        <v>13</v>
      </c>
      <c r="D4" s="226" t="s">
        <v>14</v>
      </c>
    </row>
    <row r="5" spans="1:10">
      <c r="A5" s="232" t="s">
        <v>15</v>
      </c>
      <c r="C5" s="226" t="s">
        <v>16</v>
      </c>
      <c r="D5" s="226" t="s">
        <v>17</v>
      </c>
    </row>
    <row r="6" spans="1:10">
      <c r="A6" s="232" t="s">
        <v>18</v>
      </c>
      <c r="C6" s="226" t="s">
        <v>19</v>
      </c>
    </row>
    <row r="7" ht="221" spans="1:10">
      <c r="A7" s="232" t="s">
        <v>20</v>
      </c>
      <c r="B7" s="226" t="s">
        <v>21</v>
      </c>
      <c r="C7" s="226" t="s">
        <v>22</v>
      </c>
      <c r="D7" s="226" t="s">
        <v>23</v>
      </c>
    </row>
    <row r="8" ht="26" spans="1:10">
      <c r="A8" s="232" t="s">
        <v>24</v>
      </c>
      <c r="D8" s="226" t="s">
        <v>25</v>
      </c>
    </row>
    <row r="9" spans="1:10">
      <c r="A9" s="232" t="s">
        <v>26</v>
      </c>
    </row>
    <row r="10" spans="1:10">
      <c r="A10" s="232" t="s">
        <v>27</v>
      </c>
      <c r="B10" s="226" t="s">
        <v>28</v>
      </c>
    </row>
    <row r="11" spans="1:10">
      <c r="A11" s="232" t="s">
        <v>29</v>
      </c>
    </row>
    <row r="12" spans="1:10">
      <c r="A12" s="232" t="s">
        <v>30</v>
      </c>
    </row>
    <row r="13" ht="39" spans="1:10">
      <c r="A13" s="232" t="s">
        <v>31</v>
      </c>
      <c r="D13" s="226" t="s">
        <v>32</v>
      </c>
    </row>
    <row r="14" spans="1:10">
      <c r="A14" s="232" t="s">
        <v>33</v>
      </c>
      <c r="B14" s="226" t="s">
        <v>34</v>
      </c>
    </row>
    <row r="15" spans="1:10">
      <c r="A15" s="232" t="s">
        <v>35</v>
      </c>
    </row>
    <row r="16" spans="1:10">
      <c r="A16" s="232" t="s">
        <v>36</v>
      </c>
      <c r="C16" s="226" t="s">
        <v>37</v>
      </c>
    </row>
    <row r="17" ht="26" spans="1:8">
      <c r="A17" s="232" t="s">
        <v>38</v>
      </c>
      <c r="C17" s="226" t="s">
        <v>39</v>
      </c>
    </row>
    <row r="18" spans="1:8">
      <c r="A18" s="232" t="s">
        <v>40</v>
      </c>
      <c r="D18" s="226" t="s">
        <v>41</v>
      </c>
    </row>
    <row r="19" ht="26" spans="1:8">
      <c r="A19" s="232" t="s">
        <v>42</v>
      </c>
      <c r="D19" s="226" t="s">
        <v>43</v>
      </c>
    </row>
    <row r="20" ht="26" spans="1:8">
      <c r="A20" s="232" t="s">
        <v>44</v>
      </c>
      <c r="B20" s="226" t="s">
        <v>45</v>
      </c>
      <c r="C20" s="226" t="s">
        <v>46</v>
      </c>
    </row>
    <row r="21" ht="52" spans="1:8">
      <c r="A21" s="232" t="s">
        <v>47</v>
      </c>
      <c r="B21" s="226" t="s">
        <v>48</v>
      </c>
      <c r="C21" s="226" t="s">
        <v>49</v>
      </c>
      <c r="D21" s="226" t="s">
        <v>50</v>
      </c>
    </row>
    <row r="22" spans="1:8">
      <c r="A22" s="232" t="s">
        <v>51</v>
      </c>
    </row>
    <row r="23" ht="28" spans="1:8">
      <c r="A23" s="232" t="s">
        <v>52</v>
      </c>
      <c r="B23" s="226" t="s">
        <v>53</v>
      </c>
      <c r="H23" s="227" t="s">
        <v>54</v>
      </c>
    </row>
    <row r="24" ht="52" spans="1:8">
      <c r="A24" s="232" t="s">
        <v>55</v>
      </c>
      <c r="B24" s="226" t="s">
        <v>56</v>
      </c>
      <c r="C24" s="226" t="s">
        <v>57</v>
      </c>
      <c r="D24" s="226" t="s">
        <v>58</v>
      </c>
    </row>
    <row r="25" spans="1:8">
      <c r="A25" s="232" t="s">
        <v>59</v>
      </c>
    </row>
    <row r="26" spans="1:8">
      <c r="A26" s="232" t="s">
        <v>60</v>
      </c>
    </row>
    <row r="27" spans="1:8">
      <c r="A27" s="232" t="s">
        <v>61</v>
      </c>
      <c r="B27" s="226" t="s">
        <v>62</v>
      </c>
      <c r="C27" s="226" t="s">
        <v>63</v>
      </c>
    </row>
    <row r="28" ht="91" spans="1:8">
      <c r="A28" s="232" t="s">
        <v>64</v>
      </c>
      <c r="B28" s="226" t="s">
        <v>65</v>
      </c>
      <c r="C28" s="226" t="s">
        <v>66</v>
      </c>
      <c r="D28" s="226" t="s">
        <v>67</v>
      </c>
      <c r="E28" s="226" t="s">
        <v>68</v>
      </c>
    </row>
    <row r="29" spans="1:8">
      <c r="A29" s="232" t="s">
        <v>69</v>
      </c>
    </row>
    <row r="30" spans="1:8">
      <c r="A30" s="232" t="s">
        <v>70</v>
      </c>
      <c r="B30" s="226" t="s">
        <v>71</v>
      </c>
      <c r="C30" s="226" t="s">
        <v>72</v>
      </c>
    </row>
    <row r="31" spans="1:8">
      <c r="A31" s="232" t="s">
        <v>73</v>
      </c>
    </row>
    <row r="32" spans="1:8">
      <c r="A32" s="232" t="s">
        <v>74</v>
      </c>
    </row>
    <row r="33" spans="1:10">
      <c r="A33" s="232" t="s">
        <v>75</v>
      </c>
    </row>
    <row r="34" spans="1:10">
      <c r="A34" s="232" t="s">
        <v>76</v>
      </c>
    </row>
    <row r="35" spans="1:10">
      <c r="A35" s="232" t="s">
        <v>77</v>
      </c>
    </row>
    <row r="36" spans="1:10">
      <c r="A36" s="232" t="s">
        <v>78</v>
      </c>
      <c r="B36" s="226" t="s">
        <v>79</v>
      </c>
    </row>
    <row r="37" ht="26" spans="1:10">
      <c r="A37" s="232" t="s">
        <v>80</v>
      </c>
      <c r="C37" s="226" t="s">
        <v>81</v>
      </c>
      <c r="D37" s="226" t="s">
        <v>82</v>
      </c>
    </row>
    <row r="38" spans="1:10">
      <c r="A38" s="232" t="s">
        <v>83</v>
      </c>
      <c r="B38" s="226" t="s">
        <v>84</v>
      </c>
      <c r="C38" s="233"/>
      <c r="D38" s="233"/>
      <c r="E38" s="233"/>
      <c r="F38" s="233"/>
      <c r="G38" s="233"/>
    </row>
    <row r="39" ht="26" spans="1:10">
      <c r="A39" s="232" t="s">
        <v>85</v>
      </c>
      <c r="C39" s="226" t="s">
        <v>86</v>
      </c>
      <c r="D39" s="226" t="s">
        <v>87</v>
      </c>
    </row>
    <row r="40" spans="1:10">
      <c r="A40" s="232" t="s">
        <v>88</v>
      </c>
      <c r="B40" s="226" t="s">
        <v>89</v>
      </c>
      <c r="C40" s="226" t="s">
        <v>90</v>
      </c>
      <c r="D40" s="226" t="s">
        <v>91</v>
      </c>
    </row>
    <row r="41" ht="208" spans="1:10">
      <c r="A41" s="232" t="s">
        <v>92</v>
      </c>
      <c r="C41" s="226" t="s">
        <v>93</v>
      </c>
      <c r="D41" s="226" t="s">
        <v>94</v>
      </c>
      <c r="E41" s="226" t="s">
        <v>95</v>
      </c>
      <c r="H41" s="227" t="s">
        <v>96</v>
      </c>
      <c r="I41" s="227" t="s">
        <v>97</v>
      </c>
      <c r="J41" s="227" t="s">
        <v>98</v>
      </c>
    </row>
    <row r="42" spans="1:10">
      <c r="A42" s="232" t="s">
        <v>99</v>
      </c>
    </row>
    <row r="43" ht="28" spans="1:10">
      <c r="A43" s="232" t="s">
        <v>100</v>
      </c>
      <c r="B43" s="226" t="s">
        <v>101</v>
      </c>
      <c r="H43" s="227" t="s">
        <v>102</v>
      </c>
    </row>
    <row r="44" ht="26" spans="1:10">
      <c r="A44" s="232" t="s">
        <v>103</v>
      </c>
      <c r="B44" s="226" t="s">
        <v>104</v>
      </c>
    </row>
    <row r="45" ht="26" spans="1:10">
      <c r="A45" s="232" t="s">
        <v>105</v>
      </c>
      <c r="C45" s="226" t="s">
        <v>106</v>
      </c>
      <c r="D45" s="226" t="s">
        <v>107</v>
      </c>
      <c r="E45" s="226" t="s">
        <v>108</v>
      </c>
    </row>
    <row r="46" spans="1:10">
      <c r="A46" s="232" t="s">
        <v>109</v>
      </c>
    </row>
    <row r="47" spans="1:10">
      <c r="A47" s="232" t="s">
        <v>110</v>
      </c>
      <c r="D47" s="226" t="s">
        <v>111</v>
      </c>
    </row>
    <row r="48" ht="42" spans="1:10">
      <c r="A48" s="232" t="s">
        <v>112</v>
      </c>
      <c r="C48" s="226" t="s">
        <v>113</v>
      </c>
      <c r="D48" s="226" t="s">
        <v>114</v>
      </c>
      <c r="H48" s="227" t="s">
        <v>115</v>
      </c>
    </row>
    <row r="49" spans="1:7">
      <c r="A49" s="232" t="s">
        <v>116</v>
      </c>
    </row>
    <row r="50" ht="78" spans="1:7">
      <c r="A50" s="232" t="s">
        <v>117</v>
      </c>
      <c r="C50" s="226" t="s">
        <v>118</v>
      </c>
    </row>
    <row r="51" spans="1:7">
      <c r="A51" s="232" t="s">
        <v>119</v>
      </c>
    </row>
    <row r="52" ht="26" spans="1:7">
      <c r="A52" s="232" t="s">
        <v>120</v>
      </c>
      <c r="B52" s="226" t="s">
        <v>121</v>
      </c>
      <c r="C52" s="226" t="s">
        <v>122</v>
      </c>
      <c r="E52" s="226" t="s">
        <v>123</v>
      </c>
    </row>
    <row r="53" ht="26" spans="1:7">
      <c r="A53" s="225" t="s">
        <v>124</v>
      </c>
      <c r="B53" s="226" t="s">
        <v>125</v>
      </c>
      <c r="D53" s="233"/>
      <c r="E53" s="233"/>
      <c r="F53" s="233"/>
      <c r="G53" s="233"/>
    </row>
    <row r="54" spans="1:7">
      <c r="A54" s="225" t="s">
        <v>126</v>
      </c>
      <c r="B54" s="226" t="s">
        <v>127</v>
      </c>
      <c r="C54" s="226" t="s">
        <v>128</v>
      </c>
      <c r="D54" s="233"/>
      <c r="E54" s="233"/>
      <c r="F54" s="233"/>
      <c r="G54" s="233"/>
    </row>
    <row r="55" ht="65" spans="1:7">
      <c r="A55" s="225" t="s">
        <v>129</v>
      </c>
      <c r="B55" s="233"/>
      <c r="C55" s="233"/>
      <c r="D55" s="226" t="s">
        <v>130</v>
      </c>
      <c r="E55" s="226" t="s">
        <v>131</v>
      </c>
    </row>
    <row r="56" ht="65" spans="1:7">
      <c r="A56" s="225" t="s">
        <v>132</v>
      </c>
      <c r="B56" s="234" t="s">
        <v>133</v>
      </c>
      <c r="C56" s="234"/>
      <c r="D56" s="226" t="s">
        <v>134</v>
      </c>
    </row>
    <row r="57" ht="117" spans="1:7">
      <c r="A57" s="225" t="s">
        <v>135</v>
      </c>
      <c r="B57" s="234" t="s">
        <v>136</v>
      </c>
      <c r="C57" s="234" t="s">
        <v>137</v>
      </c>
      <c r="D57" s="226" t="s">
        <v>138</v>
      </c>
    </row>
    <row r="58" spans="1:7">
      <c r="A58" s="225" t="s">
        <v>139</v>
      </c>
      <c r="B58" s="226" t="s">
        <v>140</v>
      </c>
      <c r="C58" s="233"/>
      <c r="D58" s="233"/>
      <c r="E58" s="233"/>
      <c r="F58" s="233"/>
      <c r="G58" s="233"/>
    </row>
    <row r="59" spans="1:7">
      <c r="A59" s="225" t="s">
        <v>141</v>
      </c>
      <c r="B59" s="233"/>
      <c r="C59" s="226" t="s">
        <v>142</v>
      </c>
      <c r="D59" s="233"/>
      <c r="E59" s="233"/>
      <c r="F59" s="233"/>
      <c r="G59" s="233"/>
    </row>
    <row r="60" ht="52" spans="1:7">
      <c r="A60" s="225" t="s">
        <v>143</v>
      </c>
      <c r="B60" s="233" t="s">
        <v>144</v>
      </c>
      <c r="C60" s="233"/>
      <c r="D60" s="226" t="s">
        <v>145</v>
      </c>
    </row>
    <row r="61" spans="1:7">
      <c r="A61" s="225" t="s">
        <v>146</v>
      </c>
      <c r="B61" s="234" t="s">
        <v>147</v>
      </c>
      <c r="C61" s="234"/>
      <c r="D61" s="233"/>
      <c r="E61" s="233"/>
      <c r="F61" s="233"/>
      <c r="G61" s="233"/>
    </row>
    <row r="62" ht="52" spans="1:7">
      <c r="A62" s="225" t="s">
        <v>148</v>
      </c>
      <c r="B62" s="233"/>
      <c r="C62" s="233"/>
      <c r="D62" s="226" t="s">
        <v>149</v>
      </c>
      <c r="E62" s="226" t="s">
        <v>150</v>
      </c>
    </row>
    <row r="63" ht="26" spans="1:7">
      <c r="A63" s="225" t="s">
        <v>151</v>
      </c>
      <c r="B63" s="234" t="s">
        <v>152</v>
      </c>
      <c r="C63" s="234" t="s">
        <v>153</v>
      </c>
      <c r="D63" s="233"/>
      <c r="E63" s="233"/>
      <c r="F63" s="233"/>
      <c r="G63" s="233"/>
    </row>
    <row r="64" ht="26" spans="1:7">
      <c r="A64" s="225" t="s">
        <v>154</v>
      </c>
      <c r="B64" s="233"/>
      <c r="C64" s="233"/>
      <c r="D64" s="226" t="s">
        <v>155</v>
      </c>
    </row>
    <row r="65" ht="26" spans="1:7">
      <c r="A65" s="225" t="s">
        <v>156</v>
      </c>
      <c r="B65" s="235" t="s">
        <v>157</v>
      </c>
      <c r="C65" s="233"/>
      <c r="D65" s="233"/>
      <c r="E65" s="233"/>
      <c r="F65" s="233"/>
      <c r="G65" s="233"/>
    </row>
    <row r="66" spans="1:7">
      <c r="A66" s="225" t="s">
        <v>158</v>
      </c>
      <c r="B66" s="233"/>
      <c r="C66" s="226" t="s">
        <v>159</v>
      </c>
      <c r="D66" s="233"/>
      <c r="E66" s="233"/>
      <c r="F66" s="233"/>
      <c r="G66" s="233"/>
    </row>
    <row r="67" spans="1:7">
      <c r="A67" s="225" t="s">
        <v>160</v>
      </c>
      <c r="B67" s="233"/>
      <c r="C67" s="233"/>
    </row>
    <row r="68" ht="78" spans="1:7">
      <c r="A68" s="225" t="s">
        <v>161</v>
      </c>
      <c r="B68" s="233"/>
      <c r="C68" s="233"/>
      <c r="D68" s="226" t="s">
        <v>162</v>
      </c>
    </row>
    <row r="69" spans="1:7">
      <c r="A69" s="225" t="s">
        <v>163</v>
      </c>
      <c r="B69" s="234" t="s">
        <v>164</v>
      </c>
      <c r="C69" s="234"/>
    </row>
    <row r="70" ht="26" spans="1:7">
      <c r="A70" s="225" t="s">
        <v>165</v>
      </c>
      <c r="B70" s="234" t="s">
        <v>166</v>
      </c>
      <c r="C70" s="234"/>
      <c r="D70" s="233"/>
      <c r="E70" s="233"/>
      <c r="F70" s="233"/>
      <c r="G70" s="233"/>
    </row>
    <row r="71" spans="1:7">
      <c r="A71" s="225" t="s">
        <v>167</v>
      </c>
      <c r="B71" s="233"/>
      <c r="C71" s="233"/>
    </row>
    <row r="72" spans="1:7">
      <c r="A72" s="225" t="s">
        <v>168</v>
      </c>
      <c r="B72" s="226" t="s">
        <v>169</v>
      </c>
      <c r="C72" s="226" t="s">
        <v>170</v>
      </c>
      <c r="D72" s="233"/>
      <c r="E72" s="233"/>
      <c r="F72" s="233"/>
      <c r="G72" s="233"/>
    </row>
    <row r="73" spans="1:7">
      <c r="A73" s="225" t="s">
        <v>171</v>
      </c>
      <c r="B73" s="233"/>
      <c r="C73" s="226" t="s">
        <v>172</v>
      </c>
      <c r="D73" s="233"/>
      <c r="E73" s="233"/>
      <c r="F73" s="233"/>
      <c r="G73" s="233"/>
    </row>
    <row r="74" spans="1:7">
      <c r="A74" s="225" t="s">
        <v>173</v>
      </c>
    </row>
    <row r="75" spans="1:7">
      <c r="A75" s="225" t="s">
        <v>174</v>
      </c>
      <c r="D75" s="233"/>
      <c r="E75" s="233"/>
      <c r="F75" s="233"/>
      <c r="G75" s="233"/>
    </row>
    <row r="76" spans="1:7">
      <c r="A76" s="225" t="s">
        <v>175</v>
      </c>
      <c r="B76" s="233"/>
      <c r="C76" s="233"/>
      <c r="D76" s="226" t="s">
        <v>176</v>
      </c>
    </row>
    <row r="77" spans="1:7">
      <c r="A77" s="225" t="s">
        <v>177</v>
      </c>
      <c r="B77" s="234"/>
      <c r="C77" s="234"/>
    </row>
    <row r="78" ht="26" spans="1:7">
      <c r="A78" s="236" t="s">
        <v>178</v>
      </c>
      <c r="B78" s="226" t="s">
        <v>179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1" sqref="B21"/>
    </sheetView>
  </sheetViews>
  <sheetFormatPr defaultColWidth="8.72727272727273" defaultRowHeight="14" outlineLevelCol="6"/>
  <cols>
    <col min="1" max="1" width="6.64545454545455" style="219" customWidth="1"/>
    <col min="2" max="2" width="32.6181818181818" style="66" customWidth="1"/>
    <col min="3" max="7" width="16.4909090909091" style="66" customWidth="1"/>
    <col min="8" max="16384" width="8.72727272727273" style="220"/>
  </cols>
  <sheetData>
    <row r="1" spans="1:7">
      <c r="A1" s="221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8" customFormat="1" ht="39" spans="1:7">
      <c r="A2" s="222" t="s">
        <v>180</v>
      </c>
      <c r="B2" s="78"/>
      <c r="C2" s="78"/>
      <c r="D2" s="78" t="s">
        <v>181</v>
      </c>
      <c r="E2" s="78"/>
      <c r="F2" s="78"/>
      <c r="G2" s="78"/>
    </row>
    <row r="3" spans="1:7">
      <c r="A3" s="223" t="s">
        <v>182</v>
      </c>
      <c r="C3" s="66" t="s">
        <v>183</v>
      </c>
    </row>
    <row r="4" spans="1:7">
      <c r="A4" s="223" t="s">
        <v>184</v>
      </c>
      <c r="B4" s="66" t="s">
        <v>185</v>
      </c>
      <c r="D4" s="66" t="s">
        <v>186</v>
      </c>
    </row>
    <row r="5" spans="1:7">
      <c r="A5" s="223" t="s">
        <v>187</v>
      </c>
      <c r="C5" s="66" t="s">
        <v>188</v>
      </c>
      <c r="D5" s="66" t="s">
        <v>189</v>
      </c>
    </row>
    <row r="6" spans="1:7">
      <c r="A6" s="223" t="s">
        <v>190</v>
      </c>
      <c r="B6" s="66" t="s">
        <v>191</v>
      </c>
      <c r="D6" s="66" t="s">
        <v>192</v>
      </c>
    </row>
    <row r="7" spans="1:7">
      <c r="A7" s="223" t="s">
        <v>193</v>
      </c>
      <c r="B7" s="66" t="s">
        <v>194</v>
      </c>
    </row>
    <row r="8" spans="1:7">
      <c r="A8" s="223"/>
      <c r="D8" s="66" t="s">
        <v>195</v>
      </c>
    </row>
    <row r="9" spans="1:7">
      <c r="A9" s="223"/>
    </row>
    <row r="10" spans="1:7">
      <c r="A10" s="223"/>
      <c r="B10" s="66" t="s">
        <v>196</v>
      </c>
    </row>
    <row r="11" spans="1:7">
      <c r="A11" s="223"/>
    </row>
    <row r="12" spans="1:7">
      <c r="A12" s="223"/>
      <c r="B12" s="66" t="s">
        <v>197</v>
      </c>
    </row>
    <row r="13" spans="1:7">
      <c r="A13" s="223"/>
      <c r="B13" s="66" t="s">
        <v>198</v>
      </c>
    </row>
    <row r="14" spans="1:7">
      <c r="A14" s="223"/>
      <c r="B14" s="66" t="s">
        <v>199</v>
      </c>
    </row>
    <row r="15" spans="1:7">
      <c r="A15" s="223"/>
      <c r="B15" s="66" t="s">
        <v>200</v>
      </c>
    </row>
    <row r="16" spans="1:7">
      <c r="A16" s="223"/>
      <c r="B16" s="66" t="s">
        <v>201</v>
      </c>
    </row>
    <row r="17" spans="1:2">
      <c r="A17" s="223"/>
      <c r="B17" s="66" t="s">
        <v>202</v>
      </c>
    </row>
    <row r="18" spans="1:2">
      <c r="A18" s="223"/>
      <c r="B18" s="66" t="s">
        <v>203</v>
      </c>
    </row>
    <row r="19" ht="26" spans="1:2">
      <c r="A19" s="223"/>
      <c r="B19" s="78" t="s">
        <v>204</v>
      </c>
    </row>
    <row r="20" spans="1:2">
      <c r="A20" s="223"/>
      <c r="B20" s="66" t="s">
        <v>205</v>
      </c>
    </row>
    <row r="21" spans="1:2">
      <c r="A21" s="223"/>
      <c r="B21" s="66" t="s">
        <v>206</v>
      </c>
    </row>
    <row r="22" spans="1:2">
      <c r="A22" s="223"/>
    </row>
    <row r="23" spans="1:2">
      <c r="A23" s="223"/>
    </row>
    <row r="24" spans="1:2">
      <c r="A24" s="223"/>
    </row>
    <row r="25" spans="1:2">
      <c r="A25" s="223"/>
    </row>
    <row r="26" spans="1:2">
      <c r="A26" s="223"/>
    </row>
    <row r="27" spans="1:2">
      <c r="A27" s="223"/>
    </row>
    <row r="28" spans="1:2">
      <c r="A28" s="223"/>
    </row>
    <row r="29" spans="1:2">
      <c r="A29" s="223"/>
    </row>
    <row r="30" spans="1:2">
      <c r="A30" s="223"/>
    </row>
    <row r="31" spans="1:2">
      <c r="A31" s="223"/>
    </row>
    <row r="32" spans="1:2">
      <c r="A32" s="223"/>
    </row>
    <row r="33" spans="1:7">
      <c r="A33" s="223"/>
    </row>
    <row r="34" spans="1:7">
      <c r="A34" s="223"/>
    </row>
    <row r="35" spans="1:7">
      <c r="A35" s="223"/>
    </row>
    <row r="36" spans="1:7">
      <c r="A36" s="223"/>
    </row>
    <row r="37" spans="1:7">
      <c r="A37" s="223"/>
    </row>
    <row r="38" spans="1:7">
      <c r="A38" s="223"/>
      <c r="B38" s="78"/>
      <c r="C38" s="78"/>
      <c r="D38" s="78"/>
      <c r="E38" s="78"/>
      <c r="F38" s="78"/>
      <c r="G38" s="78"/>
    </row>
    <row r="39" spans="1:7">
      <c r="A39" s="223"/>
      <c r="B39" s="78"/>
      <c r="C39" s="78"/>
      <c r="D39" s="78"/>
      <c r="E39" s="78"/>
      <c r="F39" s="78"/>
      <c r="G39" s="78"/>
    </row>
    <row r="40" spans="1:7">
      <c r="A40" s="223"/>
    </row>
    <row r="41" spans="1:7">
      <c r="A41" s="223"/>
    </row>
    <row r="42" spans="1:7">
      <c r="A42" s="223"/>
    </row>
    <row r="43" spans="1:7">
      <c r="A43" s="223"/>
    </row>
    <row r="44" spans="1:7">
      <c r="A44" s="223"/>
    </row>
    <row r="45" spans="1:7">
      <c r="A45" s="223"/>
    </row>
    <row r="46" spans="1:7">
      <c r="A46" s="223"/>
    </row>
    <row r="47" spans="1:7">
      <c r="A47" s="223"/>
    </row>
    <row r="48" spans="1:7">
      <c r="A48" s="223"/>
    </row>
    <row r="49" spans="1:1">
      <c r="A49" s="223"/>
    </row>
    <row r="50" spans="1:1">
      <c r="A50" s="223"/>
    </row>
    <row r="51" spans="1:1">
      <c r="A51" s="22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7"/>
  <sheetViews>
    <sheetView workbookViewId="0">
      <pane ySplit="1" topLeftCell="A50" activePane="bottomLeft" state="frozen"/>
      <selection/>
      <selection pane="bottomLeft" activeCell="B66" sqref="B66"/>
    </sheetView>
  </sheetViews>
  <sheetFormatPr defaultColWidth="8.72727272727273" defaultRowHeight="14" outlineLevelCol="2"/>
  <cols>
    <col min="1" max="1" width="24" style="209" customWidth="1"/>
    <col min="2" max="2" width="10.6363636363636" style="209" customWidth="1"/>
    <col min="3" max="3" width="91.3636363636364" style="209" customWidth="1"/>
    <col min="4" max="16384" width="8.72727272727273" style="92"/>
  </cols>
  <sheetData>
    <row r="1" s="208" customFormat="1" ht="15" spans="1:3">
      <c r="A1" s="210" t="s">
        <v>207</v>
      </c>
      <c r="B1" s="210" t="s">
        <v>208</v>
      </c>
      <c r="C1" s="210" t="s">
        <v>209</v>
      </c>
    </row>
    <row r="2" spans="1:3">
      <c r="A2" s="211" t="s">
        <v>210</v>
      </c>
      <c r="B2" s="211" t="s">
        <v>211</v>
      </c>
      <c r="C2" s="211" t="s">
        <v>212</v>
      </c>
    </row>
    <row r="3" spans="1:3">
      <c r="A3" s="211" t="s">
        <v>213</v>
      </c>
      <c r="B3" s="211" t="s">
        <v>214</v>
      </c>
      <c r="C3" s="211" t="s">
        <v>215</v>
      </c>
    </row>
    <row r="4" spans="1:3">
      <c r="A4" s="211" t="s">
        <v>216</v>
      </c>
      <c r="B4" s="211" t="s">
        <v>214</v>
      </c>
      <c r="C4" s="211" t="s">
        <v>217</v>
      </c>
    </row>
    <row r="5" ht="56" spans="1:3">
      <c r="A5" s="212" t="s">
        <v>218</v>
      </c>
      <c r="B5" s="211" t="s">
        <v>219</v>
      </c>
      <c r="C5" s="211" t="s">
        <v>220</v>
      </c>
    </row>
    <row r="6" ht="28" spans="1:3">
      <c r="A6" s="213"/>
      <c r="B6" s="211" t="s">
        <v>221</v>
      </c>
      <c r="C6" s="211" t="s">
        <v>222</v>
      </c>
    </row>
    <row r="7" spans="1:3">
      <c r="A7" s="214" t="s">
        <v>92</v>
      </c>
      <c r="B7" s="211" t="s">
        <v>223</v>
      </c>
      <c r="C7" s="211" t="s">
        <v>224</v>
      </c>
    </row>
    <row r="8" ht="140" spans="1:3">
      <c r="A8" s="214"/>
      <c r="B8" s="211" t="s">
        <v>225</v>
      </c>
      <c r="C8" s="211" t="s">
        <v>226</v>
      </c>
    </row>
    <row r="9" spans="1:3">
      <c r="A9" s="214"/>
      <c r="B9" s="211" t="s">
        <v>227</v>
      </c>
      <c r="C9" s="211" t="s">
        <v>228</v>
      </c>
    </row>
    <row r="10" spans="1:3">
      <c r="A10" s="214"/>
      <c r="B10" s="211" t="s">
        <v>229</v>
      </c>
      <c r="C10" s="211" t="s">
        <v>230</v>
      </c>
    </row>
    <row r="11" spans="1:3">
      <c r="A11" s="214"/>
      <c r="B11" s="211"/>
      <c r="C11" s="211"/>
    </row>
    <row r="12" spans="1:3">
      <c r="A12" s="214"/>
      <c r="B12" s="211"/>
      <c r="C12" s="211"/>
    </row>
    <row r="13" spans="1:3">
      <c r="A13" s="214"/>
      <c r="B13" s="211"/>
      <c r="C13" s="211"/>
    </row>
    <row r="14" spans="1:3">
      <c r="A14" s="215"/>
      <c r="B14" s="211"/>
      <c r="C14" s="211"/>
    </row>
    <row r="15" spans="1:3">
      <c r="A15" s="211" t="s">
        <v>231</v>
      </c>
      <c r="B15" s="211" t="s">
        <v>232</v>
      </c>
      <c r="C15" s="211" t="s">
        <v>233</v>
      </c>
    </row>
    <row r="16" spans="1:3">
      <c r="A16" s="211" t="s">
        <v>234</v>
      </c>
      <c r="B16" s="211" t="s">
        <v>235</v>
      </c>
      <c r="C16" s="211" t="s">
        <v>236</v>
      </c>
    </row>
    <row r="17" spans="1:3">
      <c r="A17" s="211" t="s">
        <v>237</v>
      </c>
      <c r="B17" s="211" t="s">
        <v>238</v>
      </c>
      <c r="C17" s="216">
        <v>0.440972222222222</v>
      </c>
    </row>
    <row r="18" spans="1:3">
      <c r="A18" s="217" t="s">
        <v>64</v>
      </c>
      <c r="B18" s="211" t="s">
        <v>239</v>
      </c>
      <c r="C18" s="211" t="s">
        <v>240</v>
      </c>
    </row>
    <row r="19" spans="1:3">
      <c r="A19" s="214"/>
      <c r="B19" s="211" t="s">
        <v>241</v>
      </c>
      <c r="C19" s="211" t="s">
        <v>242</v>
      </c>
    </row>
    <row r="20" ht="56" spans="1:3">
      <c r="A20" s="214"/>
      <c r="B20" s="211" t="s">
        <v>243</v>
      </c>
      <c r="C20" s="211" t="s">
        <v>244</v>
      </c>
    </row>
    <row r="21" spans="1:3">
      <c r="A21" s="214"/>
      <c r="B21" s="211" t="s">
        <v>245</v>
      </c>
      <c r="C21" s="211" t="s">
        <v>246</v>
      </c>
    </row>
    <row r="22" ht="28" spans="1:3">
      <c r="A22" s="214"/>
      <c r="B22" s="211" t="s">
        <v>247</v>
      </c>
      <c r="C22" s="211" t="s">
        <v>248</v>
      </c>
    </row>
    <row r="23" spans="1:3">
      <c r="A23" s="214"/>
      <c r="B23" s="211" t="s">
        <v>249</v>
      </c>
      <c r="C23" s="211" t="s">
        <v>250</v>
      </c>
    </row>
    <row r="24" spans="1:3">
      <c r="A24" s="214"/>
      <c r="B24" s="211" t="s">
        <v>251</v>
      </c>
      <c r="C24" s="211" t="s">
        <v>252</v>
      </c>
    </row>
    <row r="25" spans="1:3">
      <c r="A25" s="214"/>
      <c r="B25" s="211" t="s">
        <v>253</v>
      </c>
      <c r="C25" s="211" t="s">
        <v>254</v>
      </c>
    </row>
    <row r="26" spans="1:3">
      <c r="A26" s="214"/>
      <c r="B26" s="211" t="s">
        <v>251</v>
      </c>
      <c r="C26" s="211" t="s">
        <v>255</v>
      </c>
    </row>
    <row r="27" spans="1:3">
      <c r="A27" s="214"/>
      <c r="B27" s="211"/>
      <c r="C27" s="211"/>
    </row>
    <row r="28" spans="1:3">
      <c r="A28" s="214"/>
      <c r="B28" s="211"/>
      <c r="C28" s="211"/>
    </row>
    <row r="29" spans="1:3">
      <c r="A29" s="214"/>
      <c r="B29" s="211"/>
      <c r="C29" s="211"/>
    </row>
    <row r="30" spans="1:3">
      <c r="A30" s="214"/>
      <c r="B30" s="211"/>
      <c r="C30" s="211"/>
    </row>
    <row r="31" spans="1:3">
      <c r="A31" s="214"/>
      <c r="B31" s="211"/>
      <c r="C31" s="211"/>
    </row>
    <row r="32" spans="1:3">
      <c r="A32" s="214"/>
      <c r="B32" s="211"/>
      <c r="C32" s="211"/>
    </row>
    <row r="33" spans="1:3">
      <c r="A33" s="214"/>
      <c r="B33" s="211"/>
      <c r="C33" s="211"/>
    </row>
    <row r="34" spans="1:3">
      <c r="A34" s="212" t="s">
        <v>256</v>
      </c>
      <c r="B34" s="211" t="s">
        <v>241</v>
      </c>
      <c r="C34" s="211" t="s">
        <v>257</v>
      </c>
    </row>
    <row r="35" spans="1:3">
      <c r="A35" s="213"/>
      <c r="B35" s="211" t="s">
        <v>258</v>
      </c>
      <c r="C35" s="211" t="s">
        <v>259</v>
      </c>
    </row>
    <row r="36" ht="28" spans="1:3">
      <c r="A36" s="217" t="s">
        <v>260</v>
      </c>
      <c r="B36" s="211" t="s">
        <v>261</v>
      </c>
      <c r="C36" s="211" t="s">
        <v>262</v>
      </c>
    </row>
    <row r="37" spans="1:3">
      <c r="A37" s="214"/>
      <c r="B37" s="211" t="s">
        <v>225</v>
      </c>
      <c r="C37" s="211" t="s">
        <v>263</v>
      </c>
    </row>
    <row r="38" spans="1:3">
      <c r="A38" s="214"/>
      <c r="B38" s="211" t="s">
        <v>264</v>
      </c>
      <c r="C38" s="211" t="s">
        <v>265</v>
      </c>
    </row>
    <row r="39" spans="1:3">
      <c r="A39" s="214"/>
      <c r="B39" s="211"/>
      <c r="C39" s="211"/>
    </row>
    <row r="40" spans="1:3">
      <c r="A40" s="212" t="s">
        <v>266</v>
      </c>
      <c r="B40" s="211" t="s">
        <v>267</v>
      </c>
      <c r="C40" s="211" t="s">
        <v>268</v>
      </c>
    </row>
    <row r="41" spans="1:3">
      <c r="A41" s="213"/>
      <c r="B41" s="211" t="s">
        <v>223</v>
      </c>
      <c r="C41" s="211" t="s">
        <v>269</v>
      </c>
    </row>
    <row r="42" ht="28" spans="1:3">
      <c r="A42" s="217" t="s">
        <v>47</v>
      </c>
      <c r="B42" s="211" t="s">
        <v>223</v>
      </c>
      <c r="C42" s="211" t="s">
        <v>270</v>
      </c>
    </row>
    <row r="43" spans="1:3">
      <c r="A43" s="214"/>
      <c r="B43" s="209" t="s">
        <v>271</v>
      </c>
      <c r="C43" s="209" t="s">
        <v>272</v>
      </c>
    </row>
    <row r="44" spans="1:3">
      <c r="A44" s="214"/>
      <c r="B44" s="209" t="s">
        <v>245</v>
      </c>
      <c r="C44" s="209" t="s">
        <v>273</v>
      </c>
    </row>
    <row r="45" spans="1:3">
      <c r="A45" s="214"/>
      <c r="B45" s="209" t="s">
        <v>251</v>
      </c>
      <c r="C45" s="209" t="s">
        <v>274</v>
      </c>
    </row>
    <row r="46" ht="28" spans="1:3">
      <c r="A46" s="214"/>
      <c r="B46" s="209" t="s">
        <v>251</v>
      </c>
      <c r="C46" s="209" t="s">
        <v>275</v>
      </c>
    </row>
    <row r="47" spans="1:3">
      <c r="A47" s="214"/>
    </row>
    <row r="48" ht="98" spans="1:3">
      <c r="A48" s="217" t="s">
        <v>276</v>
      </c>
      <c r="B48" s="209" t="s">
        <v>223</v>
      </c>
      <c r="C48" s="209" t="s">
        <v>277</v>
      </c>
    </row>
    <row r="49" ht="84" spans="1:3">
      <c r="A49" s="214"/>
      <c r="B49" s="209" t="s">
        <v>278</v>
      </c>
      <c r="C49" s="209" t="s">
        <v>279</v>
      </c>
    </row>
    <row r="50" ht="28" spans="1:3">
      <c r="A50" s="215"/>
      <c r="B50" s="209" t="s">
        <v>280</v>
      </c>
      <c r="C50" s="209" t="s">
        <v>281</v>
      </c>
    </row>
    <row r="51" spans="1:3">
      <c r="A51" s="209" t="s">
        <v>38</v>
      </c>
      <c r="B51" s="209" t="s">
        <v>282</v>
      </c>
      <c r="C51" s="209" t="s">
        <v>283</v>
      </c>
    </row>
    <row r="52" spans="1:3">
      <c r="A52" s="217" t="s">
        <v>284</v>
      </c>
      <c r="B52" s="209" t="s">
        <v>225</v>
      </c>
      <c r="C52" s="209" t="s">
        <v>285</v>
      </c>
    </row>
    <row r="53" spans="1:3">
      <c r="A53" s="215"/>
      <c r="B53" s="209" t="s">
        <v>278</v>
      </c>
      <c r="C53" s="209" t="s">
        <v>286</v>
      </c>
    </row>
    <row r="54" spans="1:3">
      <c r="A54" s="209" t="s">
        <v>55</v>
      </c>
      <c r="B54" s="209" t="s">
        <v>227</v>
      </c>
      <c r="C54" s="209" t="s">
        <v>287</v>
      </c>
    </row>
    <row r="55" spans="1:3">
      <c r="A55" s="217" t="s">
        <v>288</v>
      </c>
      <c r="B55" s="209" t="s">
        <v>289</v>
      </c>
      <c r="C55" s="209" t="s">
        <v>290</v>
      </c>
    </row>
    <row r="56" spans="1:3">
      <c r="A56" s="215"/>
      <c r="B56" s="209" t="s">
        <v>251</v>
      </c>
      <c r="C56" s="209" t="s">
        <v>291</v>
      </c>
    </row>
    <row r="57" spans="1:3">
      <c r="A57" s="209" t="s">
        <v>292</v>
      </c>
      <c r="B57" s="209" t="s">
        <v>293</v>
      </c>
      <c r="C57" s="209" t="s">
        <v>294</v>
      </c>
    </row>
    <row r="58" spans="1:3">
      <c r="A58" s="209" t="s">
        <v>10</v>
      </c>
      <c r="B58" s="209" t="s">
        <v>278</v>
      </c>
      <c r="C58" s="209" t="s">
        <v>295</v>
      </c>
    </row>
    <row r="59" spans="1:3">
      <c r="A59" s="209" t="s">
        <v>296</v>
      </c>
      <c r="B59" s="209" t="s">
        <v>297</v>
      </c>
      <c r="C59" s="209" t="s">
        <v>298</v>
      </c>
    </row>
    <row r="60" spans="1:3">
      <c r="A60" s="209" t="s">
        <v>299</v>
      </c>
      <c r="B60" s="209" t="s">
        <v>300</v>
      </c>
      <c r="C60" s="209" t="s">
        <v>301</v>
      </c>
    </row>
    <row r="61" spans="1:3">
      <c r="A61" s="209" t="s">
        <v>302</v>
      </c>
      <c r="B61" s="209" t="s">
        <v>300</v>
      </c>
      <c r="C61" s="209" t="s">
        <v>303</v>
      </c>
    </row>
    <row r="62" spans="1:3">
      <c r="A62" s="209" t="s">
        <v>304</v>
      </c>
      <c r="B62" s="209" t="s">
        <v>247</v>
      </c>
      <c r="C62" s="209" t="s">
        <v>305</v>
      </c>
    </row>
    <row r="63" ht="28" spans="1:3">
      <c r="A63" s="209" t="s">
        <v>306</v>
      </c>
      <c r="B63" s="209" t="s">
        <v>280</v>
      </c>
      <c r="C63" s="209" t="s">
        <v>307</v>
      </c>
    </row>
    <row r="64" ht="28" spans="1:3">
      <c r="A64" s="209" t="s">
        <v>308</v>
      </c>
      <c r="B64" s="209" t="s">
        <v>280</v>
      </c>
      <c r="C64" s="209" t="s">
        <v>309</v>
      </c>
    </row>
    <row r="65" ht="140" spans="1:3">
      <c r="A65" s="209" t="s">
        <v>310</v>
      </c>
      <c r="B65" s="209" t="s">
        <v>311</v>
      </c>
      <c r="C65" s="209" t="s">
        <v>312</v>
      </c>
    </row>
    <row r="66" spans="1:3">
      <c r="A66" s="209" t="s">
        <v>10</v>
      </c>
      <c r="B66" s="209" t="s">
        <v>249</v>
      </c>
      <c r="C66" s="209" t="s">
        <v>313</v>
      </c>
    </row>
    <row r="67" spans="1:3">
      <c r="A67" s="209" t="s">
        <v>314</v>
      </c>
      <c r="B67" s="209" t="s">
        <v>315</v>
      </c>
      <c r="C67" s="209" t="s">
        <v>316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9"/>
  <sheetViews>
    <sheetView zoomScale="190" zoomScaleNormal="190" workbookViewId="0">
      <pane ySplit="1" topLeftCell="A8" activePane="bottomLeft" state="frozen"/>
      <selection/>
      <selection pane="bottomLeft" activeCell="I17" sqref="I17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7"/>
    <col min="6" max="6" width="9.52727272727273" style="4" customWidth="1"/>
    <col min="7" max="7" width="22.8181818181818" style="4" customWidth="1"/>
    <col min="8" max="16384" width="8.72727272727273" style="4"/>
  </cols>
  <sheetData>
    <row r="1" s="195" customFormat="1" ht="15" spans="1:7">
      <c r="A1" s="198" t="s">
        <v>317</v>
      </c>
      <c r="B1" s="199"/>
      <c r="C1" s="199"/>
      <c r="D1" s="200"/>
      <c r="E1" s="201"/>
      <c r="F1" s="195" t="s">
        <v>318</v>
      </c>
    </row>
    <row r="2" s="196" customFormat="1" spans="1:7">
      <c r="A2" s="202" t="s">
        <v>208</v>
      </c>
      <c r="B2" s="203"/>
      <c r="C2" s="196" t="s">
        <v>319</v>
      </c>
      <c r="D2" s="196" t="s">
        <v>320</v>
      </c>
      <c r="E2" s="137"/>
      <c r="F2" s="196" t="s">
        <v>208</v>
      </c>
      <c r="G2" s="196" t="s">
        <v>321</v>
      </c>
    </row>
    <row r="3" spans="1:7">
      <c r="A3" s="204">
        <v>2025.1</v>
      </c>
      <c r="B3" s="114">
        <v>11</v>
      </c>
      <c r="C3" s="114">
        <v>113</v>
      </c>
      <c r="D3" s="114"/>
      <c r="F3" s="114" t="s">
        <v>322</v>
      </c>
      <c r="G3" s="114" t="s">
        <v>323</v>
      </c>
    </row>
    <row r="4" spans="1:7">
      <c r="A4" s="205"/>
      <c r="B4" s="114">
        <v>15</v>
      </c>
      <c r="C4" s="114">
        <v>163</v>
      </c>
      <c r="D4" s="114"/>
      <c r="F4" s="114" t="s">
        <v>324</v>
      </c>
      <c r="G4" s="114" t="s">
        <v>325</v>
      </c>
    </row>
    <row r="5" spans="1:7">
      <c r="A5" s="205"/>
      <c r="B5" s="114">
        <v>17</v>
      </c>
      <c r="C5" s="114">
        <v>158</v>
      </c>
      <c r="D5" s="114"/>
      <c r="F5" s="114" t="s">
        <v>326</v>
      </c>
      <c r="G5" s="114" t="s">
        <v>327</v>
      </c>
    </row>
    <row r="6" spans="1:7">
      <c r="A6" s="205"/>
      <c r="B6" s="114">
        <v>22</v>
      </c>
      <c r="C6" s="114">
        <v>70</v>
      </c>
      <c r="D6" s="114"/>
      <c r="F6" s="206" t="s">
        <v>328</v>
      </c>
      <c r="G6" s="114" t="s">
        <v>329</v>
      </c>
    </row>
    <row r="7" spans="1:7">
      <c r="A7" s="205"/>
      <c r="B7" s="114">
        <v>24</v>
      </c>
      <c r="C7" s="114">
        <v>180</v>
      </c>
      <c r="D7" s="114"/>
      <c r="F7" s="207"/>
      <c r="G7" s="114" t="s">
        <v>330</v>
      </c>
    </row>
    <row r="8" spans="1:7">
      <c r="A8" s="205"/>
      <c r="B8" s="114">
        <v>29</v>
      </c>
      <c r="C8" s="114">
        <v>135</v>
      </c>
      <c r="D8" s="114"/>
      <c r="F8" s="114" t="s">
        <v>331</v>
      </c>
      <c r="G8" s="114" t="s">
        <v>332</v>
      </c>
    </row>
    <row r="9" spans="1:7">
      <c r="A9" s="207"/>
      <c r="B9" s="114">
        <v>31</v>
      </c>
      <c r="C9" s="114">
        <v>89</v>
      </c>
      <c r="D9" s="114"/>
      <c r="F9" s="114" t="s">
        <v>333</v>
      </c>
      <c r="G9" s="114" t="s">
        <v>334</v>
      </c>
    </row>
    <row r="10" spans="1:7">
      <c r="A10" s="206">
        <v>2025.11</v>
      </c>
      <c r="B10" s="114">
        <v>5</v>
      </c>
      <c r="C10" s="114">
        <v>118</v>
      </c>
      <c r="D10" s="114"/>
      <c r="F10" s="114" t="s">
        <v>335</v>
      </c>
      <c r="G10" s="114" t="s">
        <v>336</v>
      </c>
    </row>
    <row r="11" spans="1:7">
      <c r="A11" s="205"/>
      <c r="B11" s="114">
        <v>7</v>
      </c>
      <c r="C11" s="114">
        <v>119</v>
      </c>
      <c r="D11" s="114"/>
      <c r="F11" s="206" t="s">
        <v>337</v>
      </c>
      <c r="G11" s="114" t="s">
        <v>338</v>
      </c>
    </row>
    <row r="12" spans="1:7">
      <c r="A12" s="207"/>
      <c r="B12" s="114">
        <v>14</v>
      </c>
      <c r="C12" s="114">
        <v>63</v>
      </c>
      <c r="D12" s="114"/>
      <c r="F12" s="205"/>
      <c r="G12" s="114" t="s">
        <v>330</v>
      </c>
    </row>
    <row r="13" spans="1:7">
      <c r="A13" s="206">
        <v>2025.12</v>
      </c>
      <c r="B13" s="114">
        <v>26</v>
      </c>
      <c r="C13" s="114">
        <v>225</v>
      </c>
      <c r="D13" s="114">
        <v>74</v>
      </c>
      <c r="F13" s="207"/>
      <c r="G13" s="114" t="s">
        <v>332</v>
      </c>
    </row>
    <row r="14" spans="1:7">
      <c r="A14" s="207"/>
      <c r="B14" s="114">
        <v>31</v>
      </c>
      <c r="C14" s="114">
        <v>119</v>
      </c>
      <c r="D14" s="114">
        <v>38</v>
      </c>
      <c r="F14" s="114" t="s">
        <v>339</v>
      </c>
      <c r="G14" s="114" t="s">
        <v>340</v>
      </c>
    </row>
    <row r="15" spans="1:7">
      <c r="A15" s="4" t="s">
        <v>337</v>
      </c>
      <c r="C15" s="4">
        <v>15</v>
      </c>
      <c r="F15" s="4" t="s">
        <v>341</v>
      </c>
      <c r="G15" s="4" t="s">
        <v>334</v>
      </c>
    </row>
    <row r="16" spans="1:7">
      <c r="A16" s="4" t="s">
        <v>341</v>
      </c>
      <c r="C16" s="4">
        <v>6</v>
      </c>
      <c r="F16" s="4" t="s">
        <v>342</v>
      </c>
      <c r="G16" s="4" t="s">
        <v>343</v>
      </c>
    </row>
    <row r="17" spans="1:7">
      <c r="A17" s="4" t="s">
        <v>344</v>
      </c>
      <c r="C17" s="4">
        <v>17</v>
      </c>
      <c r="F17" s="4" t="s">
        <v>344</v>
      </c>
      <c r="G17" s="4" t="s">
        <v>332</v>
      </c>
    </row>
    <row r="18" spans="1:7">
      <c r="F18" s="4" t="s">
        <v>345</v>
      </c>
      <c r="G18" s="4" t="s">
        <v>334</v>
      </c>
    </row>
    <row r="19" spans="1:7">
      <c r="F19" s="4" t="s">
        <v>346</v>
      </c>
      <c r="G19" s="4" t="s">
        <v>347</v>
      </c>
    </row>
  </sheetData>
  <mergeCells count="8">
    <mergeCell ref="A1:D1"/>
    <mergeCell ref="F1:G1"/>
    <mergeCell ref="A2:B2"/>
    <mergeCell ref="A3:A9"/>
    <mergeCell ref="A10:A12"/>
    <mergeCell ref="A13:A14"/>
    <mergeCell ref="F6:F7"/>
    <mergeCell ref="F11:F1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BP27" sqref="BP27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348</v>
      </c>
      <c r="B1" s="173" t="s">
        <v>349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350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351</v>
      </c>
      <c r="AK1" s="176"/>
      <c r="AL1" s="176"/>
      <c r="AM1" s="175" t="s">
        <v>352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353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354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355</v>
      </c>
      <c r="CE2" s="181" t="s">
        <v>356</v>
      </c>
      <c r="CF2" s="181" t="s">
        <v>357</v>
      </c>
      <c r="CG2" s="181" t="s">
        <v>358</v>
      </c>
      <c r="CH2" s="182" t="s">
        <v>359</v>
      </c>
      <c r="CI2" s="182" t="s">
        <v>360</v>
      </c>
      <c r="CJ2" s="182" t="s">
        <v>361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SUM(B3:BH3)</f>
        <v>3</v>
      </c>
      <c r="CE3" s="183" cm="1">
        <f t="array" ref="CE3">SUMPRODUCT(--(B3:BH3=INT(B3:BH3)),--(B3:BH3&gt;0))</f>
        <v>2</v>
      </c>
      <c r="CF3" s="183" cm="1">
        <f t="array" ref="CF3">MAX(FREQUENCY(IF((B3:BH3=INT(B3:BH3))*(B3:BH3&gt;0),COLUMN(B3:BH3)),IF((B3:BH3&lt;&gt;INT(B3:BH3))+(B3:BH3&lt;=0),COLUMN(B3:BH3))))</f>
        <v>1</v>
      </c>
      <c r="CG3" s="184" cm="1">
        <f t="array" ref="CG3">SUMPRODUCT(--(B3:BA3=INT(B3:BA3)),--(B3:BA3&gt;0))/52*100%</f>
        <v>0.0384615384615385</v>
      </c>
      <c r="CH3" s="185">
        <f t="shared" ref="CH3:CH53" si="0">RANK(CD3,CD$3:CD$53,0)</f>
        <v>33</v>
      </c>
      <c r="CI3" s="185">
        <f t="shared" ref="CI3:CI53" si="1">RANK(CE3,CE$3:CE$53,0)</f>
        <v>34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SUM(B4:BH4)</f>
        <v>28</v>
      </c>
      <c r="CE4" s="183" cm="1">
        <f t="array" ref="CE4">SUMPRODUCT(--(B4:BH4=INT(B4:BH4)),--(B4:BH4&gt;0))</f>
        <v>26</v>
      </c>
      <c r="CF4" s="183" cm="1">
        <f t="array" ref="CF4">MAX(FREQUENCY(IF((B4:BH4=INT(B4:BH4))*(B4:BH4&gt;0),COLUMN(B4:BH4)),IF((B4:BH4&lt;&gt;INT(B4:BH4))+(B4:BH4&lt;=0),COLUMN(B4:BH4))))</f>
        <v>6</v>
      </c>
      <c r="CG4" s="184" cm="1">
        <f t="array" ref="CG4">SUMPRODUCT(--(B4:BA4=INT(B4:BA4)),--(B4:BA4&gt;0))/52*100%</f>
        <v>0.403846153846154</v>
      </c>
      <c r="CH4" s="185">
        <f t="shared" si="0"/>
        <v>7</v>
      </c>
      <c r="CI4" s="185">
        <f t="shared" si="1"/>
        <v>4</v>
      </c>
      <c r="CJ4" s="185">
        <f t="shared" si="2"/>
        <v>3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/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5</v>
      </c>
      <c r="CE5" s="183" cm="1">
        <f t="array" ref="CE5">SUMPRODUCT(--(B5:BH5=INT(B5:BH5)),--(B5:BH5&gt;0))</f>
        <v>5</v>
      </c>
      <c r="CF5" s="183" cm="1">
        <f t="array" ref="CF5">MAX(FREQUENCY(IF((B5:BH5=INT(B5:BH5))*(B5:BH5&gt;0),COLUMN(B5:BH5)),IF((B5:BH5&lt;&gt;INT(B5:BH5))+(B5:BH5&lt;=0),COLUMN(B5:BH5))))</f>
        <v>3</v>
      </c>
      <c r="CG5" s="184" cm="1">
        <f t="array" ref="CG5">SUMPRODUCT(--(B5:BA5=INT(B5:BA5)),--(B5:BA5&gt;0))/52*100%</f>
        <v>0.0384615384615385</v>
      </c>
      <c r="CH5" s="185">
        <f t="shared" si="0"/>
        <v>27</v>
      </c>
      <c r="CI5" s="185">
        <f t="shared" si="1"/>
        <v>26</v>
      </c>
      <c r="CJ5" s="185">
        <f t="shared" si="2"/>
        <v>17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SUMPRODUCT(--(B6:BH6=INT(B6:BH6)),--(B6:BH6&gt;0))</f>
        <v>9</v>
      </c>
      <c r="CF6" s="183" cm="1">
        <f t="array" ref="CF6">MAX(FREQUENCY(IF((B6:BH6=INT(B6:BH6))*(B6:BH6&gt;0),COLUMN(B6:BH6)),IF((B6:BH6&lt;&gt;INT(B6:BH6))+(B6:BH6&lt;=0),COLUMN(B6:BH6))))</f>
        <v>3</v>
      </c>
      <c r="CG6" s="184" cm="1">
        <f t="array" ref="CG6">SUMPRODUCT(--(B6:BA6=INT(B6:BA6)),--(B6:BA6&gt;0))/52*100%</f>
        <v>0.173076923076923</v>
      </c>
      <c r="CH6" s="185">
        <f t="shared" si="0"/>
        <v>23</v>
      </c>
      <c r="CI6" s="185">
        <f t="shared" si="1"/>
        <v>22</v>
      </c>
      <c r="CJ6" s="185">
        <f t="shared" si="2"/>
        <v>17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/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10</v>
      </c>
      <c r="CE7" s="183" cm="1">
        <f t="array" ref="CE7">SUMPRODUCT(--(B7:BH7=INT(B7:BH7)),--(B7:BH7&gt;0))</f>
        <v>9</v>
      </c>
      <c r="CF7" s="183" cm="1">
        <f t="array" ref="CF7">MAX(FREQUENCY(IF((B7:BH7=INT(B7:BH7))*(B7:BH7&gt;0),COLUMN(B7:BH7)),IF((B7:BH7&lt;&gt;INT(B7:BH7))+(B7:BH7&lt;=0),COLUMN(B7:BH7))))</f>
        <v>4</v>
      </c>
      <c r="CG7" s="184" cm="1">
        <f t="array" ref="CG7">SUMPRODUCT(--(B7:BA7=INT(B7:BA7)),--(B7:BA7&gt;0))/52*100%</f>
        <v>0.0769230769230769</v>
      </c>
      <c r="CH7" s="185">
        <f t="shared" si="0"/>
        <v>22</v>
      </c>
      <c r="CI7" s="185">
        <f t="shared" si="1"/>
        <v>22</v>
      </c>
      <c r="CJ7" s="185">
        <f t="shared" si="2"/>
        <v>12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30</v>
      </c>
      <c r="CE8" s="183" cm="1">
        <f t="array" ref="CE8">SUMPRODUCT(--(B8:BH8=INT(B8:BH8)),--(B8:BH8&gt;0))</f>
        <v>29</v>
      </c>
      <c r="CF8" s="183" cm="1">
        <f t="array" ref="CF8">MAX(FREQUENCY(IF((B8:BH8=INT(B8:BH8))*(B8:BH8&gt;0),COLUMN(B8:BH8)),IF((B8:BH8&lt;&gt;INT(B8:BH8))+(B8:BH8&lt;=0),COLUMN(B8:BH8))))</f>
        <v>5</v>
      </c>
      <c r="CG8" s="184" cm="1">
        <f t="array" ref="CG8">SUMPRODUCT(--(B8:BA8=INT(B8:BA8)),--(B8:BA8&gt;0))/52*100%</f>
        <v>0.519230769230769</v>
      </c>
      <c r="CH8" s="185">
        <f t="shared" si="0"/>
        <v>5</v>
      </c>
      <c r="CI8" s="185">
        <f t="shared" si="1"/>
        <v>3</v>
      </c>
      <c r="CJ8" s="185">
        <f t="shared" si="2"/>
        <v>5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/>
      <c r="BK9" s="115"/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26</v>
      </c>
      <c r="CE9" s="183" cm="1">
        <f t="array" ref="CE9">SUMPRODUCT(--(B9:BH9=INT(B9:BH9)),--(B9:BH9&gt;0))</f>
        <v>25</v>
      </c>
      <c r="CF9" s="183" cm="1">
        <f t="array" ref="CF9">MAX(FREQUENCY(IF((B9:BH9=INT(B9:BH9))*(B9:BH9&gt;0),COLUMN(B9:BH9)),IF((B9:BH9&lt;&gt;INT(B9:BH9))+(B9:BH9&lt;=0),COLUMN(B9:BH9))))</f>
        <v>5</v>
      </c>
      <c r="CG9" s="184" cm="1">
        <f t="array" ref="CG9">SUMPRODUCT(--(B9:BA9=INT(B9:BA9)),--(B9:BA9&gt;0))/52*100%</f>
        <v>0.384615384615385</v>
      </c>
      <c r="CH9" s="185">
        <f t="shared" si="0"/>
        <v>9</v>
      </c>
      <c r="CI9" s="185">
        <f t="shared" si="1"/>
        <v>7</v>
      </c>
      <c r="CJ9" s="185">
        <f t="shared" si="2"/>
        <v>5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SUMPRODUCT(--(B10:BH10=INT(B10:BH10)),--(B10:BH10&gt;0))</f>
        <v>3</v>
      </c>
      <c r="CF10" s="183" cm="1">
        <f t="array" ref="CF10">MAX(FREQUENCY(IF((B10:BH10=INT(B10:BH10))*(B10:BH10&gt;0),COLUMN(B10:BH10)),IF((B10:BH10&lt;&gt;INT(B10:BH10))+(B10:BH10&lt;=0),COLUMN(B10:BH10))))</f>
        <v>2</v>
      </c>
      <c r="CG10" s="184" cm="1">
        <f t="array" ref="CG10">SUMPRODUCT(--(B10:BA10=INT(B10:BA10)),--(B10:BA10&gt;0))/52*100%</f>
        <v>0.0192307692307692</v>
      </c>
      <c r="CH10" s="185">
        <f t="shared" si="0"/>
        <v>33</v>
      </c>
      <c r="CI10" s="185">
        <f t="shared" si="1"/>
        <v>33</v>
      </c>
      <c r="CJ10" s="185">
        <f t="shared" si="2"/>
        <v>21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/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17</v>
      </c>
      <c r="CE11" s="183" cm="1">
        <f t="array" ref="CE11">SUMPRODUCT(--(B11:BH11=INT(B11:BH11)),--(B11:BH11&gt;0))</f>
        <v>14</v>
      </c>
      <c r="CF11" s="183" cm="1">
        <f t="array" ref="CF11">MAX(FREQUENCY(IF((B11:BH11=INT(B11:BH11))*(B11:BH11&gt;0),COLUMN(B11:BH11)),IF((B11:BH11&lt;&gt;INT(B11:BH11))+(B11:BH11&lt;=0),COLUMN(B11:BH11))))</f>
        <v>2</v>
      </c>
      <c r="CG11" s="184" cm="1">
        <f t="array" ref="CG11">SUMPRODUCT(--(B11:BA11=INT(B11:BA11)),--(B11:BA11&gt;0))/52*100%</f>
        <v>0.230769230769231</v>
      </c>
      <c r="CH11" s="185">
        <f t="shared" si="0"/>
        <v>15</v>
      </c>
      <c r="CI11" s="185">
        <f t="shared" si="1"/>
        <v>17</v>
      </c>
      <c r="CJ11" s="185">
        <f t="shared" si="2"/>
        <v>21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2</v>
      </c>
      <c r="CE12" s="183" cm="1">
        <f t="array" ref="CE12">SUMPRODUCT(--(B12:BH12=INT(B12:BH12)),--(B12:BH12&gt;0))</f>
        <v>2</v>
      </c>
      <c r="CF12" s="183" cm="1">
        <f t="array" ref="CF12">MAX(FREQUENCY(IF((B12:BH12=INT(B12:BH12))*(B12:BH12&gt;0),COLUMN(B12:BH12)),IF((B12:BH12&lt;&gt;INT(B12:BH12))+(B12:BH12&lt;=0),COLUMN(B12:BH12))))</f>
        <v>1</v>
      </c>
      <c r="CG12" s="184" cm="1">
        <f t="array" ref="CG12">SUMPRODUCT(--(B12:BA12=INT(B12:BA12)),--(B12:BA12&gt;0))/52*100%</f>
        <v>0.0384615384615385</v>
      </c>
      <c r="CH12" s="185">
        <f t="shared" si="0"/>
        <v>35</v>
      </c>
      <c r="CI12" s="185">
        <f t="shared" si="1"/>
        <v>34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/>
      <c r="BK13" s="115"/>
      <c r="BL13" s="115"/>
      <c r="BM13" s="115"/>
      <c r="BN13" s="115"/>
      <c r="BO13" s="115"/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18</v>
      </c>
      <c r="CE13" s="183" cm="1">
        <f t="array" ref="CE13">SUMPRODUCT(--(B13:BH13=INT(B13:BH13)),--(B13:BH13&gt;0))</f>
        <v>17</v>
      </c>
      <c r="CF13" s="183" cm="1">
        <f t="array" ref="CF13">MAX(FREQUENCY(IF((B13:BH13=INT(B13:BH13))*(B13:BH13&gt;0),COLUMN(B13:BH13)),IF((B13:BH13&lt;&gt;INT(B13:BH13))+(B13:BH13&lt;=0),COLUMN(B13:BH13))))</f>
        <v>2</v>
      </c>
      <c r="CG13" s="184" cm="1">
        <f t="array" ref="CG13">SUMPRODUCT(--(B13:BA13=INT(B13:BA13)),--(B13:BA13&gt;0))/52*100%</f>
        <v>0.25</v>
      </c>
      <c r="CH13" s="185">
        <f t="shared" si="0"/>
        <v>14</v>
      </c>
      <c r="CI13" s="185">
        <f t="shared" si="1"/>
        <v>14</v>
      </c>
      <c r="CJ13" s="185">
        <f t="shared" si="2"/>
        <v>21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5</v>
      </c>
      <c r="CE14" s="183" cm="1">
        <f t="array" ref="CE14">SUMPRODUCT(--(B14:BH14=INT(B14:BH14)),--(B14:BH14&gt;0))</f>
        <v>5</v>
      </c>
      <c r="CF14" s="183" cm="1">
        <f t="array" ref="CF14">MAX(FREQUENCY(IF((B14:BH14=INT(B14:BH14))*(B14:BH14&gt;0),COLUMN(B14:BH14)),IF((B14:BH14&lt;&gt;INT(B14:BH14))+(B14:BH14&lt;=0),COLUMN(B14:BH14))))</f>
        <v>1</v>
      </c>
      <c r="CG14" s="184" cm="1">
        <f t="array" ref="CG14">SUMPRODUCT(--(B14:BA14=INT(B14:BA14)),--(B14:BA14&gt;0))/52*100%</f>
        <v>0.0961538461538462</v>
      </c>
      <c r="CH14" s="185">
        <f t="shared" si="0"/>
        <v>27</v>
      </c>
      <c r="CI14" s="185">
        <f t="shared" si="1"/>
        <v>26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/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28</v>
      </c>
      <c r="CE15" s="183" cm="1">
        <f t="array" ref="CE15">SUMPRODUCT(--(B15:BH15=INT(B15:BH15)),--(B15:BH15&gt;0))</f>
        <v>24</v>
      </c>
      <c r="CF15" s="183" cm="1">
        <f t="array" ref="CF15">MAX(FREQUENCY(IF((B15:BH15=INT(B15:BH15))*(B15:BH15&gt;0),COLUMN(B15:BH15)),IF((B15:BH15&lt;&gt;INT(B15:BH15))+(B15:BH15&lt;=0),COLUMN(B15:BH15))))</f>
        <v>4</v>
      </c>
      <c r="CG15" s="184" cm="1">
        <f t="array" ref="CG15">SUMPRODUCT(--(B15:BA15=INT(B15:BA15)),--(B15:BA15&gt;0))/52*100%</f>
        <v>0.384615384615385</v>
      </c>
      <c r="CH15" s="185">
        <f t="shared" si="0"/>
        <v>7</v>
      </c>
      <c r="CI15" s="185">
        <f t="shared" si="1"/>
        <v>8</v>
      </c>
      <c r="CJ15" s="185">
        <f t="shared" si="2"/>
        <v>12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/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4</v>
      </c>
      <c r="CE16" s="183" cm="1">
        <f t="array" ref="CE16">SUMPRODUCT(--(B16:BH16=INT(B16:BH16)),--(B16:BH16&gt;0))</f>
        <v>4</v>
      </c>
      <c r="CF16" s="183" cm="1">
        <f t="array" ref="CF16">MAX(FREQUENCY(IF((B16:BH16=INT(B16:BH16))*(B16:BH16&gt;0),COLUMN(B16:BH16)),IF((B16:BH16&lt;&gt;INT(B16:BH16))+(B16:BH16&lt;=0),COLUMN(B16:BH16))))</f>
        <v>1</v>
      </c>
      <c r="CG16" s="184" cm="1">
        <f t="array" ref="CG16">SUMPRODUCT(--(B16:BA16=INT(B16:BA16)),--(B16:BA16&gt;0))/52*100%</f>
        <v>0.0576923076923077</v>
      </c>
      <c r="CH16" s="185">
        <f t="shared" si="0"/>
        <v>31</v>
      </c>
      <c r="CI16" s="185">
        <f t="shared" si="1"/>
        <v>31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SUMPRODUCT(--(B17:BH17=INT(B17:BH17)),--(B17:BH17&gt;0))</f>
        <v>5</v>
      </c>
      <c r="CF17" s="183" cm="1">
        <f t="array" ref="CF17">MAX(FREQUENCY(IF((B17:BH17=INT(B17:BH17))*(B17:BH17&gt;0),COLUMN(B17:BH17)),IF((B17:BH17&lt;&gt;INT(B17:BH17))+(B17:BH17&lt;=0),COLUMN(B17:BH17))))</f>
        <v>1</v>
      </c>
      <c r="CG17" s="184" cm="1">
        <f t="array" ref="CG17">SUMPRODUCT(--(B17:BA17=INT(B17:BA17)),--(B17:BA17&gt;0))/52*100%</f>
        <v>0.0769230769230769</v>
      </c>
      <c r="CH17" s="185">
        <f t="shared" si="0"/>
        <v>27</v>
      </c>
      <c r="CI17" s="185">
        <f t="shared" si="1"/>
        <v>26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SUMPRODUCT(--(B18:BH18=INT(B18:BH18)),--(B18:BH18&gt;0))</f>
        <v>1</v>
      </c>
      <c r="CF18" s="183" cm="1">
        <f t="array" ref="CF18">MAX(FREQUENCY(IF((B18:BH18=INT(B18:BH18))*(B18:BH18&gt;0),COLUMN(B18:BH18)),IF((B18:BH18&lt;&gt;INT(B18:BH18))+(B18:BH18&lt;=0),COLUMN(B18:BH18))))</f>
        <v>1</v>
      </c>
      <c r="CG18" s="184" cm="1">
        <f t="array" ref="CG18">SUMPRODUCT(--(B18:BA18=INT(B18:BA18)),--(B18:BA18&gt;0))/52*100%</f>
        <v>0.0192307692307692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/>
      <c r="BK19" s="115"/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11</v>
      </c>
      <c r="CE19" s="183" cm="1">
        <f t="array" ref="CE19">SUMPRODUCT(--(B19:BH19=INT(B19:BH19)),--(B19:BH19&gt;0))</f>
        <v>10</v>
      </c>
      <c r="CF19" s="183" cm="1">
        <f t="array" ref="CF19">MAX(FREQUENCY(IF((B19:BH19=INT(B19:BH19))*(B19:BH19&gt;0),COLUMN(B19:BH19)),IF((B19:BH19&lt;&gt;INT(B19:BH19))+(B19:BH19&lt;=0),COLUMN(B19:BH19))))</f>
        <v>2</v>
      </c>
      <c r="CG19" s="184" cm="1">
        <f t="array" ref="CG19">SUMPRODUCT(--(B19:BA19=INT(B19:BA19)),--(B19:BA19&gt;0))/52*100%</f>
        <v>0.153846153846154</v>
      </c>
      <c r="CH19" s="185">
        <f t="shared" si="0"/>
        <v>20</v>
      </c>
      <c r="CI19" s="185">
        <f t="shared" si="1"/>
        <v>20</v>
      </c>
      <c r="CJ19" s="185">
        <f t="shared" si="2"/>
        <v>21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SUMPRODUCT(--(B20:BH20=INT(B20:BH20)),--(B20:BH20&gt;0))</f>
        <v>2</v>
      </c>
      <c r="CF20" s="183" cm="1">
        <f t="array" ref="CF20">MAX(FREQUENCY(IF((B20:BH20=INT(B20:BH20))*(B20:BH20&gt;0),COLUMN(B20:BH20)),IF((B20:BH20&lt;&gt;INT(B20:BH20))+(B20:BH20&lt;=0),COLUMN(B20:BH20))))</f>
        <v>1</v>
      </c>
      <c r="CG20" s="184" cm="1">
        <f t="array" ref="CG20">SUMPRODUCT(--(B20:BA20=INT(B20:BA20)),--(B20:BA20&gt;0))/52*100%</f>
        <v>0.0192307692307692</v>
      </c>
      <c r="CH20" s="185">
        <f t="shared" si="0"/>
        <v>35</v>
      </c>
      <c r="CI20" s="185">
        <f t="shared" si="1"/>
        <v>34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SUMPRODUCT(--(B21:BH21=INT(B21:BH21)),--(B21:BH21&gt;0))</f>
        <v>5</v>
      </c>
      <c r="CF21" s="183" cm="1">
        <f t="array" ref="CF21">MAX(FREQUENCY(IF((B21:BH21=INT(B21:BH21))*(B21:BH21&gt;0),COLUMN(B21:BH21)),IF((B21:BH21&lt;&gt;INT(B21:BH21))+(B21:BH21&lt;=0),COLUMN(B21:BH21))))</f>
        <v>1</v>
      </c>
      <c r="CG21" s="184" cm="1">
        <f t="array" ref="CG21">SUMPRODUCT(--(B21:BA21=INT(B21:BA21)),--(B21:BA21&gt;0))/52*100%</f>
        <v>0.0769230769230769</v>
      </c>
      <c r="CH21" s="185">
        <f t="shared" si="0"/>
        <v>26</v>
      </c>
      <c r="CI21" s="185">
        <f t="shared" si="1"/>
        <v>26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/>
      <c r="BK22" s="115"/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26</v>
      </c>
      <c r="CE22" s="183" cm="1">
        <f t="array" ref="CE22">SUMPRODUCT(--(B22:BH22=INT(B22:BH22)),--(B22:BH22&gt;0))</f>
        <v>22</v>
      </c>
      <c r="CF22" s="183" cm="1">
        <f t="array" ref="CF22">MAX(FREQUENCY(IF((B22:BH22=INT(B22:BH22))*(B22:BH22&gt;0),COLUMN(B22:BH22)),IF((B22:BH22&lt;&gt;INT(B22:BH22))+(B22:BH22&lt;=0),COLUMN(B22:BH22))))</f>
        <v>5</v>
      </c>
      <c r="CG22" s="184" cm="1">
        <f t="array" ref="CG22">SUMPRODUCT(--(B22:BA22=INT(B22:BA22)),--(B22:BA22&gt;0))/52*100%</f>
        <v>0.346153846153846</v>
      </c>
      <c r="CH22" s="185">
        <f t="shared" si="0"/>
        <v>9</v>
      </c>
      <c r="CI22" s="185">
        <f t="shared" si="1"/>
        <v>10</v>
      </c>
      <c r="CJ22" s="185">
        <f t="shared" si="2"/>
        <v>5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SUMPRODUCT(--(B23:BH23=INT(B23:BH23)),--(B23:BH23&gt;0))</f>
        <v>1</v>
      </c>
      <c r="CF23" s="183" cm="1">
        <f t="array" ref="CF23">MAX(FREQUENCY(IF((B23:BH23=INT(B23:BH23))*(B23:BH23&gt;0),COLUMN(B23:BH23)),IF((B23:BH23&lt;&gt;INT(B23:BH23))+(B23:BH23&lt;=0),COLUMN(B23:BH23))))</f>
        <v>1</v>
      </c>
      <c r="CG23" s="184" cm="1">
        <f t="array" ref="CG23">SUMPRODUCT(--(B23:BA23=INT(B23:BA23)),--(B23:BA23&gt;0))/52*100%</f>
        <v>0.0192307692307692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/>
      <c r="BK24" s="115"/>
      <c r="BL24" s="115"/>
      <c r="BM24" s="115"/>
      <c r="BN24" s="115"/>
      <c r="BO24" s="115"/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16</v>
      </c>
      <c r="CE24" s="183" cm="1">
        <f t="array" ref="CE24">SUMPRODUCT(--(B24:BH24=INT(B24:BH24)),--(B24:BH24&gt;0))</f>
        <v>16</v>
      </c>
      <c r="CF24" s="183" cm="1">
        <f t="array" ref="CF24">MAX(FREQUENCY(IF((B24:BH24=INT(B24:BH24))*(B24:BH24&gt;0),COLUMN(B24:BH24)),IF((B24:BH24&lt;&gt;INT(B24:BH24))+(B24:BH24&lt;=0),COLUMN(B24:BH24))))</f>
        <v>4</v>
      </c>
      <c r="CG24" s="184" cm="1">
        <f t="array" ref="CG24">SUMPRODUCT(--(B24:BA24=INT(B24:BA24)),--(B24:BA24&gt;0))/52*100%</f>
        <v>0.211538461538462</v>
      </c>
      <c r="CH24" s="185">
        <f t="shared" si="0"/>
        <v>16</v>
      </c>
      <c r="CI24" s="185">
        <f t="shared" si="1"/>
        <v>15</v>
      </c>
      <c r="CJ24" s="185">
        <f t="shared" si="2"/>
        <v>12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SUMPRODUCT(--(B25:BH25=INT(B25:BH25)),--(B25:BH25&gt;0))</f>
        <v>1</v>
      </c>
      <c r="CF25" s="183" cm="1">
        <f t="array" ref="CF25">MAX(FREQUENCY(IF((B25:BH25=INT(B25:BH25))*(B25:BH25&gt;0),COLUMN(B25:BH25)),IF((B25:BH25&lt;&gt;INT(B25:BH25))+(B25:BH25&lt;=0),COLUMN(B25:BH25))))</f>
        <v>1</v>
      </c>
      <c r="CG25" s="184" cm="1">
        <f t="array" ref="CG25">SUMPRODUCT(--(B25:BA25=INT(B25:BA25)),--(B25:BA25&gt;0))/52*100%</f>
        <v>0.0192307692307692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SUMPRODUCT(--(B26:BH26=INT(B26:BH26)),--(B26:BH26&gt;0))</f>
        <v>0</v>
      </c>
      <c r="CF26" s="183" cm="1">
        <f t="array" ref="CF26">MAX(FREQUENCY(IF((B26:BH26=INT(B26:BH26))*(B26:BH26&gt;0),COLUMN(B26:BH26)),IF((B26:BH26&lt;&gt;INT(B26:BH26))+(B26:BH26&lt;=0),COLUMN(B26:BH26))))</f>
        <v>0</v>
      </c>
      <c r="CG26" s="184" cm="1">
        <f t="array" ref="CG26">SUMPRODUCT(--(B26:BA26=INT(B26:BA26)),--(B26:BA26&gt;0))/52*100%</f>
        <v>0</v>
      </c>
      <c r="CH26" s="185">
        <f t="shared" si="0"/>
        <v>43</v>
      </c>
      <c r="CI26" s="185">
        <f t="shared" si="1"/>
        <v>43</v>
      </c>
      <c r="CJ26" s="185">
        <f t="shared" si="2"/>
        <v>43</v>
      </c>
    </row>
    <row r="27" customHeight="1" spans="1:88">
      <c r="A27" s="112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/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0</v>
      </c>
      <c r="CE27" s="183" cm="1">
        <f t="array" ref="CE27">SUMPRODUCT(--(B27:BH27=INT(B27:BH27)),--(B27:BH27&gt;0))</f>
        <v>0</v>
      </c>
      <c r="CF27" s="183" cm="1">
        <f t="array" ref="CF27">MAX(FREQUENCY(IF((B27:BH27=INT(B27:BH27))*(B27:BH27&gt;0),COLUMN(B27:BH27)),IF((B27:BH27&lt;&gt;INT(B27:BH27))+(B27:BH27&lt;=0),COLUMN(B27:BH27))))</f>
        <v>0</v>
      </c>
      <c r="CG27" s="184" cm="1">
        <f t="array" ref="CG27">SUMPRODUCT(--(B27:BA27=INT(B27:BA27)),--(B27:BA27&gt;0))/52*100%</f>
        <v>0</v>
      </c>
      <c r="CH27" s="185">
        <f t="shared" si="0"/>
        <v>43</v>
      </c>
      <c r="CI27" s="185">
        <f t="shared" si="1"/>
        <v>43</v>
      </c>
      <c r="CJ27" s="185">
        <f t="shared" si="2"/>
        <v>43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/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21</v>
      </c>
      <c r="CE28" s="183" cm="1">
        <f t="array" ref="CE28">SUMPRODUCT(--(B28:BH28=INT(B28:BH28)),--(B28:BH28&gt;0))</f>
        <v>19</v>
      </c>
      <c r="CF28" s="183" cm="1">
        <f t="array" ref="CF28">MAX(FREQUENCY(IF((B28:BH28=INT(B28:BH28))*(B28:BH28&gt;0),COLUMN(B28:BH28)),IF((B28:BH28&lt;&gt;INT(B28:BH28))+(B28:BH28&lt;=0),COLUMN(B28:BH28))))</f>
        <v>5</v>
      </c>
      <c r="CG28" s="184" cm="1">
        <f t="array" ref="CG28">SUMPRODUCT(--(B28:BA28=INT(B28:BA28)),--(B28:BA28&gt;0))/52*100%</f>
        <v>0.269230769230769</v>
      </c>
      <c r="CH28" s="185">
        <f t="shared" si="0"/>
        <v>12</v>
      </c>
      <c r="CI28" s="185">
        <f t="shared" si="1"/>
        <v>12</v>
      </c>
      <c r="CJ28" s="185">
        <f t="shared" si="2"/>
        <v>5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/>
      <c r="BL29" s="115"/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13</v>
      </c>
      <c r="CE29" s="183" cm="1">
        <f t="array" ref="CE29">SUMPRODUCT(--(B29:BH29=INT(B29:BH29)),--(B29:BH29&gt;0))</f>
        <v>13</v>
      </c>
      <c r="CF29" s="183" cm="1">
        <f t="array" ref="CF29">MAX(FREQUENCY(IF((B29:BH29=INT(B29:BH29))*(B29:BH29&gt;0),COLUMN(B29:BH29)),IF((B29:BH29&lt;&gt;INT(B29:BH29))+(B29:BH29&lt;=0),COLUMN(B29:BH29))))</f>
        <v>5</v>
      </c>
      <c r="CG29" s="184" cm="1">
        <f t="array" ref="CG29">SUMPRODUCT(--(B29:BA29=INT(B29:BA29)),--(B29:BA29&gt;0))/52*100%</f>
        <v>0.211538461538462</v>
      </c>
      <c r="CH29" s="185">
        <f t="shared" si="0"/>
        <v>18</v>
      </c>
      <c r="CI29" s="185">
        <f t="shared" si="1"/>
        <v>18</v>
      </c>
      <c r="CJ29" s="185">
        <f t="shared" si="2"/>
        <v>5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/>
      <c r="BK30" s="115"/>
      <c r="BL30" s="115"/>
      <c r="BM30" s="115"/>
      <c r="BN30" s="115"/>
      <c r="BO30" s="115"/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11</v>
      </c>
      <c r="CE30" s="183" cm="1">
        <f t="array" ref="CE30">SUMPRODUCT(--(B30:BH30=INT(B30:BH30)),--(B30:BH30&gt;0))</f>
        <v>10</v>
      </c>
      <c r="CF30" s="183" cm="1">
        <f t="array" ref="CF30">MAX(FREQUENCY(IF((B30:BH30=INT(B30:BH30))*(B30:BH30&gt;0),COLUMN(B30:BH30)),IF((B30:BH30&lt;&gt;INT(B30:BH30))+(B30:BH30&lt;=0),COLUMN(B30:BH30))))</f>
        <v>4</v>
      </c>
      <c r="CG30" s="184" cm="1">
        <f t="array" ref="CG30">SUMPRODUCT(--(B30:BA30=INT(B30:BA30)),--(B30:BA30&gt;0))/52*100%</f>
        <v>0.134615384615385</v>
      </c>
      <c r="CH30" s="185">
        <f t="shared" si="0"/>
        <v>20</v>
      </c>
      <c r="CI30" s="185">
        <f t="shared" si="1"/>
        <v>20</v>
      </c>
      <c r="CJ30" s="185">
        <f t="shared" si="2"/>
        <v>12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/>
      <c r="BK31" s="115"/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16</v>
      </c>
      <c r="CE31" s="183" cm="1">
        <f t="array" ref="CE31">SUMPRODUCT(--(B31:BH31=INT(B31:BH31)),--(B31:BH31&gt;0))</f>
        <v>15</v>
      </c>
      <c r="CF31" s="183" cm="1">
        <f t="array" ref="CF31">MAX(FREQUENCY(IF((B31:BH31=INT(B31:BH31))*(B31:BH31&gt;0),COLUMN(B31:BH31)),IF((B31:BH31&lt;&gt;INT(B31:BH31))+(B31:BH31&lt;=0),COLUMN(B31:BH31))))</f>
        <v>2</v>
      </c>
      <c r="CG31" s="184" cm="1">
        <f t="array" ref="CG31">SUMPRODUCT(--(B31:BA31=INT(B31:BA31)),--(B31:BA31&gt;0))/52*100%</f>
        <v>0.230769230769231</v>
      </c>
      <c r="CH31" s="185">
        <f t="shared" si="0"/>
        <v>16</v>
      </c>
      <c r="CI31" s="185">
        <f t="shared" si="1"/>
        <v>16</v>
      </c>
      <c r="CJ31" s="185">
        <f t="shared" si="2"/>
        <v>21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/>
      <c r="BK32" s="115"/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21</v>
      </c>
      <c r="CE32" s="183" cm="1">
        <f t="array" ref="CE32">SUMPRODUCT(--(B32:BH32=INT(B32:BH32)),--(B32:BH32&gt;0))</f>
        <v>19</v>
      </c>
      <c r="CF32" s="183" cm="1">
        <f t="array" ref="CF32">MAX(FREQUENCY(IF((B32:BH32=INT(B32:BH32))*(B32:BH32&gt;0),COLUMN(B32:BH32)),IF((B32:BH32&lt;&gt;INT(B32:BH32))+(B32:BH32&lt;=0),COLUMN(B32:BH32))))</f>
        <v>4</v>
      </c>
      <c r="CG32" s="184" cm="1">
        <f t="array" ref="CG32">SUMPRODUCT(--(B32:BA32=INT(B32:BA32)),--(B32:BA32&gt;0))/52*100%</f>
        <v>0.269230769230769</v>
      </c>
      <c r="CH32" s="185">
        <f t="shared" si="0"/>
        <v>12</v>
      </c>
      <c r="CI32" s="185">
        <f t="shared" si="1"/>
        <v>12</v>
      </c>
      <c r="CJ32" s="185">
        <f t="shared" si="2"/>
        <v>12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/>
      <c r="BK33" s="115"/>
      <c r="BL33" s="115"/>
      <c r="BM33" s="115"/>
      <c r="BN33" s="115"/>
      <c r="BO33" s="115"/>
      <c r="BP33" s="115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7</v>
      </c>
      <c r="CE33" s="183" cm="1">
        <f t="array" ref="CE33">SUMPRODUCT(--(B33:BH33=INT(B33:BH33)),--(B33:BH33&gt;0))</f>
        <v>7</v>
      </c>
      <c r="CF33" s="183" cm="1">
        <f t="array" ref="CF33">MAX(FREQUENCY(IF((B33:BH33=INT(B33:BH33))*(B33:BH33&gt;0),COLUMN(B33:BH33)),IF((B33:BH33&lt;&gt;INT(B33:BH33))+(B33:BH33&lt;=0),COLUMN(B33:BH33))))</f>
        <v>1</v>
      </c>
      <c r="CG33" s="184" cm="1">
        <f t="array" ref="CG33">SUMPRODUCT(--(B33:BA33=INT(B33:BA33)),--(B33:BA33&gt;0))/52*100%</f>
        <v>0.0961538461538462</v>
      </c>
      <c r="CH33" s="185">
        <f t="shared" si="0"/>
        <v>25</v>
      </c>
      <c r="CI33" s="185">
        <f t="shared" si="1"/>
        <v>24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SUMPRODUCT(--(B34:BH34=INT(B34:BH34)),--(B34:BH34&gt;0))</f>
        <v>0</v>
      </c>
      <c r="CF34" s="183" cm="1">
        <f t="array" ref="CF34">MAX(FREQUENCY(IF((B34:BH34=INT(B34:BH34))*(B34:BH34&gt;0),COLUMN(B34:BH34)),IF((B34:BH34&lt;&gt;INT(B34:BH34))+(B34:BH34&lt;=0),COLUMN(B34:BH34))))</f>
        <v>0</v>
      </c>
      <c r="CG34" s="184" cm="1">
        <f t="array" ref="CG34">SUMPRODUCT(--(B34:BA34=INT(B34:BA34)),--(B34:BA34&gt;0))/52*100%</f>
        <v>0</v>
      </c>
      <c r="CH34" s="185">
        <f t="shared" si="0"/>
        <v>43</v>
      </c>
      <c r="CI34" s="185">
        <f t="shared" si="1"/>
        <v>43</v>
      </c>
      <c r="CJ34" s="185">
        <f t="shared" si="2"/>
        <v>43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SUMPRODUCT(--(B35:BH35=INT(B35:BH35)),--(B35:BH35&gt;0))</f>
        <v>0</v>
      </c>
      <c r="CF35" s="183" cm="1">
        <f t="array" ref="CF35">MAX(FREQUENCY(IF((B35:BH35=INT(B35:BH35))*(B35:BH35&gt;0),COLUMN(B35:BH35)),IF((B35:BH35&lt;&gt;INT(B35:BH35))+(B35:BH35&lt;=0),COLUMN(B35:BH35))))</f>
        <v>0</v>
      </c>
      <c r="CG35" s="184" cm="1">
        <f t="array" ref="CG35">SUMPRODUCT(--(B35:BA35=INT(B35:BA35)),--(B35:BA35&gt;0))/52*100%</f>
        <v>0</v>
      </c>
      <c r="CH35" s="185">
        <f t="shared" si="0"/>
        <v>43</v>
      </c>
      <c r="CI35" s="185">
        <f t="shared" si="1"/>
        <v>43</v>
      </c>
      <c r="CJ35" s="185">
        <f t="shared" si="2"/>
        <v>43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SUM(B36:BH36)</f>
        <v>2</v>
      </c>
      <c r="CE36" s="183" cm="1">
        <f t="array" ref="CE36">SUMPRODUCT(--(B36:BH36=INT(B36:BH36)),--(B36:BH36&gt;0))</f>
        <v>2</v>
      </c>
      <c r="CF36" s="183" cm="1">
        <f t="array" ref="CF36">MAX(FREQUENCY(IF((B36:BH36=INT(B36:BH36))*(B36:BH36&gt;0),COLUMN(B36:BH36)),IF((B36:BH36&lt;&gt;INT(B36:BH36))+(B36:BH36&lt;=0),COLUMN(B36:BH36))))</f>
        <v>1</v>
      </c>
      <c r="CG36" s="184" cm="1">
        <f t="array" ref="CG36">SUMPRODUCT(--(B36:BA36=INT(B36:BA36)),--(B36:BA36&gt;0))/52*100%</f>
        <v>0.0192307692307692</v>
      </c>
      <c r="CH36" s="185">
        <f t="shared" si="0"/>
        <v>35</v>
      </c>
      <c r="CI36" s="185">
        <f t="shared" si="1"/>
        <v>34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/>
      <c r="BK37" s="115"/>
      <c r="BL37" s="115"/>
      <c r="BM37" s="115"/>
      <c r="BN37" s="115"/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13</v>
      </c>
      <c r="CE37" s="183" cm="1">
        <f t="array" ref="CE37">SUMPRODUCT(--(B37:BH37=INT(B37:BH37)),--(B37:BH37&gt;0))</f>
        <v>12</v>
      </c>
      <c r="CF37" s="183" cm="1">
        <f t="array" ref="CF37">MAX(FREQUENCY(IF((B37:BH37=INT(B37:BH37))*(B37:BH37&gt;0),COLUMN(B37:BH37)),IF((B37:BH37&lt;&gt;INT(B37:BH37))+(B37:BH37&lt;=0),COLUMN(B37:BH37))))</f>
        <v>3</v>
      </c>
      <c r="CG37" s="184" cm="1">
        <f t="array" ref="CG37">SUMPRODUCT(--(B37:BA37=INT(B37:BA37)),--(B37:BA37&gt;0))/52*100%</f>
        <v>0.211538461538462</v>
      </c>
      <c r="CH37" s="185">
        <f t="shared" si="0"/>
        <v>18</v>
      </c>
      <c r="CI37" s="185">
        <f t="shared" si="1"/>
        <v>19</v>
      </c>
      <c r="CJ37" s="185">
        <f t="shared" si="2"/>
        <v>17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8</v>
      </c>
      <c r="CE38" s="183" cm="1">
        <f t="array" ref="CE38">SUMPRODUCT(--(B38:BH38=INT(B38:BH38)),--(B38:BH38&gt;0))</f>
        <v>7</v>
      </c>
      <c r="CF38" s="183" cm="1">
        <f t="array" ref="CF38">MAX(FREQUENCY(IF((B38:BH38=INT(B38:BH38))*(B38:BH38&gt;0),COLUMN(B38:BH38)),IF((B38:BH38&lt;&gt;INT(B38:BH38))+(B38:BH38&lt;=0),COLUMN(B38:BH38))))</f>
        <v>2</v>
      </c>
      <c r="CG38" s="184" cm="1">
        <f t="array" ref="CG38">SUMPRODUCT(--(B38:BA38=INT(B38:BA38)),--(B38:BA38&gt;0))/52*100%</f>
        <v>0.0576923076923077</v>
      </c>
      <c r="CH38" s="185">
        <f t="shared" si="0"/>
        <v>24</v>
      </c>
      <c r="CI38" s="185">
        <f t="shared" si="1"/>
        <v>24</v>
      </c>
      <c r="CJ38" s="185">
        <f t="shared" si="2"/>
        <v>21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SUMPRODUCT(--(B39:BH39=INT(B39:BH39)),--(B39:BH39&gt;0))</f>
        <v>0</v>
      </c>
      <c r="CF39" s="183" cm="1">
        <f t="array" ref="CF39">MAX(FREQUENCY(IF((B39:BH39=INT(B39:BH39))*(B39:BH39&gt;0),COLUMN(B39:BH39)),IF((B39:BH39&lt;&gt;INT(B39:BH39))+(B39:BH39&lt;=0),COLUMN(B39:BH39))))</f>
        <v>0</v>
      </c>
      <c r="CG39" s="184" cm="1">
        <f t="array" ref="CG39">SUMPRODUCT(--(B39:BA39=INT(B39:BA39)),--(B39:BA39&gt;0))/52*100%</f>
        <v>0</v>
      </c>
      <c r="CH39" s="187">
        <f t="shared" si="0"/>
        <v>43</v>
      </c>
      <c r="CI39" s="187">
        <f t="shared" si="1"/>
        <v>43</v>
      </c>
      <c r="CJ39" s="187">
        <f t="shared" si="2"/>
        <v>43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/>
      <c r="BK40" s="115"/>
      <c r="BL40" s="115"/>
      <c r="BM40" s="115"/>
      <c r="BN40" s="115"/>
      <c r="BO40" s="115"/>
      <c r="BP40" s="115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40</v>
      </c>
      <c r="CE40" s="183" cm="1">
        <f t="array" ref="CE40">SUMPRODUCT(--(B40:BH40=INT(B40:BH40)),--(B40:BH40&gt;0))</f>
        <v>33</v>
      </c>
      <c r="CF40" s="183" cm="1">
        <f t="array" ref="CF40">MAX(FREQUENCY(IF((B40:BH40=INT(B40:BH40))*(B40:BH40&gt;0),COLUMN(B40:BH40)),IF((B40:BH40&lt;&gt;INT(B40:BH40))+(B40:BH40&lt;=0),COLUMN(B40:BH40))))</f>
        <v>12</v>
      </c>
      <c r="CG40" s="184" cm="1">
        <f t="array" ref="CG40">SUMPRODUCT(--(B40:BA40=INT(B40:BA40)),--(B40:BA40&gt;0))/52*100%</f>
        <v>0.538461538461538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/>
      <c r="BK41" s="115"/>
      <c r="BL41" s="115"/>
      <c r="BM41" s="115"/>
      <c r="BN41" s="115"/>
      <c r="BO41" s="115"/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29</v>
      </c>
      <c r="CE41" s="183" cm="1">
        <f t="array" ref="CE41">SUMPRODUCT(--(B41:BH41=INT(B41:BH41)),--(B41:BH41&gt;0))</f>
        <v>23</v>
      </c>
      <c r="CF41" s="183" cm="1">
        <f t="array" ref="CF41">MAX(FREQUENCY(IF((B41:BH41=INT(B41:BH41))*(B41:BH41&gt;0),COLUMN(B41:BH41)),IF((B41:BH41&lt;&gt;INT(B41:BH41))+(B41:BH41&lt;=0),COLUMN(B41:BH41))))</f>
        <v>6</v>
      </c>
      <c r="CG41" s="184" cm="1">
        <f t="array" ref="CG41">SUMPRODUCT(--(B41:BA41=INT(B41:BA41)),--(B41:BA41&gt;0))/52*100%</f>
        <v>0.346153846153846</v>
      </c>
      <c r="CH41" s="185">
        <f t="shared" si="0"/>
        <v>6</v>
      </c>
      <c r="CI41" s="185">
        <f t="shared" si="1"/>
        <v>9</v>
      </c>
      <c r="CJ41" s="185">
        <f t="shared" si="2"/>
        <v>3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/>
      <c r="BK42" s="115"/>
      <c r="BL42" s="115"/>
      <c r="BM42" s="115"/>
      <c r="BN42" s="115"/>
      <c r="BO42" s="115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37</v>
      </c>
      <c r="CE42" s="183" cm="1">
        <f t="array" ref="CE42">SUMPRODUCT(--(B42:BH42=INT(B42:BH42)),--(B42:BH42&gt;0))</f>
        <v>26</v>
      </c>
      <c r="CF42" s="183" cm="1">
        <f t="array" ref="CF42">MAX(FREQUENCY(IF((B42:BH42=INT(B42:BH42))*(B42:BH42&gt;0),COLUMN(B42:BH42)),IF((B42:BH42&lt;&gt;INT(B42:BH42))+(B42:BH42&lt;=0),COLUMN(B42:BH42))))</f>
        <v>5</v>
      </c>
      <c r="CG42" s="184" cm="1">
        <f t="array" ref="CG42">SUMPRODUCT(--(B42:BA42=INT(B42:BA42)),--(B42:BA42&gt;0))/52*100%</f>
        <v>0.442307692307692</v>
      </c>
      <c r="CH42" s="185">
        <f t="shared" si="0"/>
        <v>3</v>
      </c>
      <c r="CI42" s="185">
        <f t="shared" si="1"/>
        <v>4</v>
      </c>
      <c r="CJ42" s="185">
        <f t="shared" si="2"/>
        <v>5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SUMPRODUCT(--(B43:BH43=INT(B43:BH43)),--(B43:BH43&gt;0))</f>
        <v>0</v>
      </c>
      <c r="CF43" s="183" cm="1">
        <f t="array" ref="CF43">MAX(FREQUENCY(IF((B43:BH43=INT(B43:BH43))*(B43:BH43&gt;0),COLUMN(B43:BH43)),IF((B43:BH43&lt;&gt;INT(B43:BH43))+(B43:BH43&lt;=0),COLUMN(B43:BH43))))</f>
        <v>0</v>
      </c>
      <c r="CG43" s="184" cm="1">
        <f t="array" ref="CG43">SUMPRODUCT(--(B43:BA43=INT(B43:BA43)),--(B43:BA43&gt;0))/52*100%</f>
        <v>0</v>
      </c>
      <c r="CH43" s="185">
        <f t="shared" si="0"/>
        <v>43</v>
      </c>
      <c r="CI43" s="185">
        <f t="shared" si="1"/>
        <v>43</v>
      </c>
      <c r="CJ43" s="185">
        <f t="shared" si="2"/>
        <v>43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/>
      <c r="BK44" s="115"/>
      <c r="BL44" s="115"/>
      <c r="BM44" s="115"/>
      <c r="BN44" s="115"/>
      <c r="BO44" s="115"/>
      <c r="BP44" s="115"/>
      <c r="BQ44" s="115"/>
      <c r="BR44" s="115"/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33</v>
      </c>
      <c r="CE44" s="183" cm="1">
        <f t="array" ref="CE44">SUMPRODUCT(--(B44:BH44=INT(B44:BH44)),--(B44:BH44&gt;0))</f>
        <v>26</v>
      </c>
      <c r="CF44" s="183" cm="1">
        <f t="array" ref="CF44">MAX(FREQUENCY(IF((B44:BH44=INT(B44:BH44))*(B44:BH44&gt;0),COLUMN(B44:BH44)),IF((B44:BH44&lt;&gt;INT(B44:BH44))+(B44:BH44&lt;=0),COLUMN(B44:BH44))))</f>
        <v>5</v>
      </c>
      <c r="CG44" s="184" cm="1">
        <f t="array" ref="CG44">SUMPRODUCT(--(B44:BA44=INT(B44:BA44)),--(B44:BA44&gt;0))/52*100%</f>
        <v>0.403846153846154</v>
      </c>
      <c r="CH44" s="185">
        <f t="shared" si="0"/>
        <v>4</v>
      </c>
      <c r="CI44" s="185">
        <f t="shared" si="1"/>
        <v>4</v>
      </c>
      <c r="CJ44" s="185">
        <f t="shared" si="2"/>
        <v>5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SUMPRODUCT(--(B45:BH45=INT(B45:BH45)),--(B45:BH45&gt;0))</f>
        <v>0</v>
      </c>
      <c r="CF45" s="183" cm="1">
        <f t="array" ref="CF45">MAX(FREQUENCY(IF((B45:BH45=INT(B45:BH45))*(B45:BH45&gt;0),COLUMN(B45:BH45)),IF((B45:BH45&lt;&gt;INT(B45:BH45))+(B45:BH45&lt;=0),COLUMN(B45:BH45))))</f>
        <v>0</v>
      </c>
      <c r="CG45" s="184" cm="1">
        <f t="array" ref="CG45">SUMPRODUCT(--(B45:BA45=INT(B45:BA45)),--(B45:BA45&gt;0))/52*100%</f>
        <v>0</v>
      </c>
      <c r="CH45" s="185">
        <f t="shared" si="0"/>
        <v>43</v>
      </c>
      <c r="CI45" s="185">
        <f t="shared" si="1"/>
        <v>43</v>
      </c>
      <c r="CJ45" s="185">
        <f t="shared" si="2"/>
        <v>43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/>
      <c r="BK46" s="115"/>
      <c r="BL46" s="115"/>
      <c r="BM46" s="115"/>
      <c r="BN46" s="115"/>
      <c r="BO46" s="115"/>
      <c r="BP46" s="115"/>
      <c r="BQ46" s="115"/>
      <c r="BR46" s="115"/>
      <c r="BS46" s="115"/>
      <c r="BT46" s="115"/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55</v>
      </c>
      <c r="CE46" s="183" cm="1">
        <f t="array" ref="CE46">SUMPRODUCT(--(B46:BH46=INT(B46:BH46)),--(B46:BH46&gt;0))</f>
        <v>41</v>
      </c>
      <c r="CF46" s="183" cm="1">
        <f t="array" ref="CF46">MAX(FREQUENCY(IF((B46:BH46=INT(B46:BH46))*(B46:BH46&gt;0),COLUMN(B46:BH46)),IF((B46:BH46&lt;&gt;INT(B46:BH46))+(B46:BH46&lt;=0),COLUMN(B46:BH46))))</f>
        <v>17</v>
      </c>
      <c r="CG46" s="184" cm="1">
        <f t="array" ref="CG46">SUMPRODUCT(--(B46:BA46=INT(B46:BA46)),--(B46:BA46&gt;0))/52*100%</f>
        <v>0.673076923076923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SUMPRODUCT(--(B47:BH47=INT(B47:BH47)),--(B47:BH47&gt;0))</f>
        <v>0</v>
      </c>
      <c r="CF47" s="183" cm="1">
        <f t="array" ref="CF47">MAX(FREQUENCY(IF((B47:BH47=INT(B47:BH47))*(B47:BH47&gt;0),COLUMN(B47:BH47)),IF((B47:BH47&lt;&gt;INT(B47:BH47))+(B47:BH47&lt;=0),COLUMN(B47:BH47))))</f>
        <v>0</v>
      </c>
      <c r="CG47" s="184" cm="1">
        <f t="array" ref="CG47">SUMPRODUCT(--(B47:BA47=INT(B47:BA47)),--(B47:BA47&gt;0))/52*100%</f>
        <v>0</v>
      </c>
      <c r="CH47" s="185">
        <f t="shared" si="0"/>
        <v>43</v>
      </c>
      <c r="CI47" s="185">
        <f t="shared" si="1"/>
        <v>43</v>
      </c>
      <c r="CJ47" s="185">
        <f t="shared" si="2"/>
        <v>43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/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24</v>
      </c>
      <c r="CE48" s="183" cm="1">
        <f t="array" ref="CE48">SUMPRODUCT(--(B48:BH48=INT(B48:BH48)),--(B48:BH48&gt;0))</f>
        <v>20</v>
      </c>
      <c r="CF48" s="183" cm="1">
        <f t="array" ref="CF48">MAX(FREQUENCY(IF((B48:BH48=INT(B48:BH48))*(B48:BH48&gt;0),COLUMN(B48:BH48)),IF((B48:BH48&lt;&gt;INT(B48:BH48))+(B48:BH48&lt;=0),COLUMN(B48:BH48))))</f>
        <v>3</v>
      </c>
      <c r="CG48" s="184" cm="1">
        <f t="array" ref="CG48">SUMPRODUCT(--(B48:BA48=INT(B48:BA48)),--(B48:BA48&gt;0))/52*100%</f>
        <v>0.326923076923077</v>
      </c>
      <c r="CH48" s="185">
        <f t="shared" si="0"/>
        <v>11</v>
      </c>
      <c r="CI48" s="185">
        <f t="shared" si="1"/>
        <v>11</v>
      </c>
      <c r="CJ48" s="185">
        <f t="shared" si="2"/>
        <v>17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SUMPRODUCT(--(B49:BH49=INT(B49:BH49)),--(B49:BH49&gt;0))</f>
        <v>4</v>
      </c>
      <c r="CF49" s="183" cm="1">
        <f t="array" ref="CF49">MAX(FREQUENCY(IF((B49:BH49=INT(B49:BH49))*(B49:BH49&gt;0),COLUMN(B49:BH49)),IF((B49:BH49&lt;&gt;INT(B49:BH49))+(B49:BH49&lt;=0),COLUMN(B49:BH49))))</f>
        <v>1</v>
      </c>
      <c r="CG49" s="184" cm="1">
        <f t="array" ref="CG49">SUMPRODUCT(--(B49:BA49=INT(B49:BA49)),--(B49:BA49&gt;0))/52*100%</f>
        <v>0.0769230769230769</v>
      </c>
      <c r="CH49" s="185">
        <f t="shared" si="0"/>
        <v>31</v>
      </c>
      <c r="CI49" s="185">
        <f t="shared" si="1"/>
        <v>31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SUMPRODUCT(--(B50:BH50=INT(B50:BH50)),--(B50:BH50&gt;0))</f>
        <v>5</v>
      </c>
      <c r="CF50" s="183" cm="1">
        <f t="array" ref="CF50">MAX(FREQUENCY(IF((B50:BH50=INT(B50:BH50))*(B50:BH50&gt;0),COLUMN(B50:BH50)),IF((B50:BH50&lt;&gt;INT(B50:BH50))+(B50:BH50&lt;=0),COLUMN(B50:BH50))))</f>
        <v>1</v>
      </c>
      <c r="CG50" s="184" cm="1">
        <f t="array" ref="CG50">SUMPRODUCT(--(B50:BA50=INT(B50:BA50)),--(B50:BA50&gt;0))/52*100%</f>
        <v>0.0961538461538462</v>
      </c>
      <c r="CH50" s="185">
        <f t="shared" si="0"/>
        <v>27</v>
      </c>
      <c r="CI50" s="185">
        <f t="shared" si="1"/>
        <v>26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SUMPRODUCT(--(B51:BH51=INT(B51:BH51)),--(B51:BH51&gt;0))</f>
        <v>1</v>
      </c>
      <c r="CF51" s="183" cm="1">
        <f t="array" ref="CF51">MAX(FREQUENCY(IF((B51:BH51=INT(B51:BH51))*(B51:BH51&gt;0),COLUMN(B51:BH51)),IF((B51:BH51&lt;&gt;INT(B51:BH51))+(B51:BH51&lt;=0),COLUMN(B51:BH51))))</f>
        <v>1</v>
      </c>
      <c r="CG51" s="184" cm="1">
        <f t="array" ref="CG51">SUMPRODUCT(--(B51:BA51=INT(B51:BA51)),--(B51:BA51&gt;0))/52*100%</f>
        <v>0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SUMPRODUCT(--(B52:BH52=INT(B52:BH52)),--(B52:BH52&gt;0))</f>
        <v>0</v>
      </c>
      <c r="CF52" s="183" cm="1">
        <f t="array" ref="CF52">MAX(FREQUENCY(IF((B52:BH52=INT(B52:BH52))*(B52:BH52&gt;0),COLUMN(B52:BH52)),IF((B52:BH52&lt;&gt;INT(B52:BH52))+(B52:BH52&lt;=0),COLUMN(B52:BH52))))</f>
        <v>0</v>
      </c>
      <c r="CG52" s="184" cm="1">
        <f t="array" ref="CG52">SUMPRODUCT(--(B52:BA52=INT(B52:BA52)),--(B52:BA52&gt;0))/52*100%</f>
        <v>0</v>
      </c>
      <c r="CH52" s="185">
        <f t="shared" si="0"/>
        <v>43</v>
      </c>
      <c r="CI52" s="185">
        <f t="shared" si="1"/>
        <v>43</v>
      </c>
      <c r="CJ52" s="185">
        <f t="shared" si="2"/>
        <v>43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SUMPRODUCT(--(B53:BH53=INT(B53:BH53)),--(B53:BH53&gt;0))</f>
        <v>2</v>
      </c>
      <c r="CF53" s="183" cm="1">
        <f t="array" ref="CF53">MAX(FREQUENCY(IF((B53:BH53=INT(B53:BH53))*(B53:BH53&gt;0),COLUMN(B53:BH53)),IF((B53:BH53&lt;&gt;INT(B53:BH53))+(B53:BH53&lt;=0),COLUMN(B53:BH53))))</f>
        <v>1</v>
      </c>
      <c r="CG53" s="184" cm="1">
        <f t="array" ref="CG53">SUMPRODUCT(--(B53:BA53=INT(B53:BA53)),--(B53:BA53&gt;0))/52*100%</f>
        <v>0.0192307692307692</v>
      </c>
      <c r="CH53" s="185">
        <f t="shared" si="0"/>
        <v>35</v>
      </c>
      <c r="CI53" s="185">
        <f t="shared" si="1"/>
        <v>34</v>
      </c>
      <c r="CJ53" s="185">
        <f t="shared" si="2"/>
        <v>27</v>
      </c>
    </row>
    <row r="54" s="170" customFormat="1" ht="28" spans="1:88">
      <c r="A54" s="188" t="s">
        <v>362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0</v>
      </c>
      <c r="BK54" s="17" cm="1">
        <f t="array" ref="BK54">SUMPRODUCT(--(BK3:BK53=INT(BK3:BK53)),--(BK3:BK53&gt;0))</f>
        <v>0</v>
      </c>
      <c r="BL54" s="17" cm="1">
        <f t="array" ref="BL54">SUMPRODUCT(--(BL3:BL53=INT(BL3:BL53)),--(BL3:BL53&gt;0))</f>
        <v>0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0</v>
      </c>
      <c r="BO54" s="17" cm="1">
        <f t="array" ref="BO54">SUMPRODUCT(--(BO3:BO53=INT(BO3:BO53)),--(BO3:BO53&gt;0))</f>
        <v>0</v>
      </c>
      <c r="BP54" s="17" cm="1">
        <f t="array" ref="BP54">SUMPRODUCT(--(BP3:BP53=INT(BP3:BP53)),--(BP3:BP53&gt;0))</f>
        <v>0</v>
      </c>
      <c r="BQ54" s="17" cm="1">
        <f t="array" ref="BQ54">SUMPRODUCT(--(BQ3:BQ53=INT(BQ3:BQ53)),--(BQ3:BQ53&gt;0))</f>
        <v>0</v>
      </c>
      <c r="BR54" s="17" cm="1">
        <f t="array" ref="BR54">SUMPRODUCT(--(BR3:BR53=INT(BR3:BR53)),--(BR3:BR53&gt;0))</f>
        <v>0</v>
      </c>
      <c r="BS54" s="17" cm="1">
        <f t="array" ref="BS54">SUMPRODUCT(--(BS3:BS53=INT(BS3:BS53)),--(BS3:BS53&gt;0))</f>
        <v>0</v>
      </c>
      <c r="BT54" s="17" cm="1">
        <f t="array" ref="BT54">SUMPRODUCT(--(BT3:BT53=INT(BT3:BT53)),--(BT3:BT53&gt;0))</f>
        <v>0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363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364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0</v>
      </c>
      <c r="BK55" s="17">
        <f t="shared" si="7"/>
        <v>0</v>
      </c>
      <c r="BL55" s="17">
        <f t="shared" si="7"/>
        <v>0</v>
      </c>
      <c r="BM55" s="17">
        <f t="shared" si="7"/>
        <v>0</v>
      </c>
      <c r="BN55" s="17">
        <f t="shared" si="7"/>
        <v>0</v>
      </c>
      <c r="BO55" s="17">
        <f t="shared" si="7"/>
        <v>0</v>
      </c>
      <c r="BP55" s="17">
        <f t="shared" si="7"/>
        <v>0</v>
      </c>
      <c r="BQ55" s="17">
        <f t="shared" si="7"/>
        <v>0</v>
      </c>
      <c r="BR55" s="17">
        <f t="shared" si="7"/>
        <v>0</v>
      </c>
      <c r="BS55" s="17">
        <f t="shared" si="7"/>
        <v>0</v>
      </c>
      <c r="BT55" s="17">
        <f t="shared" si="7"/>
        <v>0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CH7:CJ8 Z4:AE4 Z10:AF10 Z15 AB15:AE15 A16:AF16 A8:V8 X8:AF8 Z9:AB9 AD9:AF9 A26:AF27 A42:X42 Z36:AF36 A36:X36 CH25:CJ27 A9:X9 A5:AF5 A35:AF35 CH39:CJ39 CH11:CJ11" unlockedFormula="1"/>
    <ignoredError sqref="Z41:AE42 CH28:CJ28 A24:X25 A12:X15 A10:X10 A6:AF7 A3:X4 CD1:CJ2 A51:AF51 A2:AF2 Z48:AB48 AE48 A47:AF47 AF46 AC46:AD46 AA46 A46:X46 A45:AF45 AF44 Z44:AD44 A44:W44 A43:AF43 A40:V40 AC40:AD40 X41 A37:AF37 CI35:CJ35 A34:AF34 CH38:CJ38 A39:AF39 AD38:AF38 Z38:AB38 A38:X38 A32:X32 Z29:AF29 A28:X28 Z24:AF24 A23:AF23 AF22 AA22:AD22 A22:X22 A19:AF21 Z17:AF18 A17:X18 CH12:CJ14 Z12:AF12 Z13 AB13:AF13 Z14:AF14 AE11 AB11:AC11 A11:Z11 CI9:CJ9 CH4:CJ4 Z3:AF3 CI3 U1:AF1 C1:S1 A1 AA52:AF52 Y52 V52 P52 A52 A53:AF53 AF50 A50:AD50 A49:X49 Z49:AF49" formulaRange="1" unlockedFormula="1"/>
    <ignoredError sqref="Y12:Y14 CD3:CH3 AF41:BF41 A30:BF31 BH24 BG10:BH10 BG5:BH5 A57:BG57 A56:BH56 A54:BG55 BH48 BH46 BG42:BH42 BG22:BH22 BG16:BH16 BH15 AG49:BH53 BH40:BH41 A41:W41 A29:Y29 BH28:BH31 Y24 AG21:BH21 BH19:BH20 AG19:BF20 BH9 Y3 CD11:CG14 CD24:CG24 CD15:CJ23 CD5:CJ5 CD10:CJ10 CD33:CJ34 CF32:CJ32 CD32 CD29:CJ31 CD40:CJ57 CD28:CG28 AG2:BG2 AC48:AD48 AF48:BE48 AG47:BH47 AG46:BE46 A46:AB46 AE46 AG45:BH45 AG44:BE44 A44:Y44 AE44 AG43:BH43 W40:AB40 AE40:BF40 Y41 AG37:BH37 CD35:CH35 AG39:BH39 AC38 AG38:BF38 A38:Y38 Y32:BE32 AG29:BF29 Y28:BE28 AG24:BE24 AG23:BH23 AG22:BE22 A22:Z22 AE22 A17:Y18 AG17:BH18 AG12:BH12 AA13 AG13:BF13 AG14:BH14 AF11:BH11 A11:AA11 AD11 CD9:CH9 CD4:CG4 AG3:BH3 CJ3 T1 AG1:BH1 A1:B1 A52:Z52 A53:AF53 A50:AE50 A48:Y48 Y4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365</v>
      </c>
      <c r="B2" s="148" t="s">
        <v>366</v>
      </c>
      <c r="C2" s="149" t="s">
        <v>367</v>
      </c>
      <c r="D2" s="150"/>
      <c r="E2" s="148" t="s">
        <v>366</v>
      </c>
      <c r="F2" s="148"/>
      <c r="G2" s="151" t="s">
        <v>368</v>
      </c>
      <c r="H2" s="143"/>
      <c r="I2" s="143"/>
      <c r="J2" s="152"/>
    </row>
    <row r="3" ht="16.5" spans="1:10">
      <c r="A3" s="144" t="s">
        <v>369</v>
      </c>
      <c r="B3" s="153" t="s">
        <v>370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371</v>
      </c>
      <c r="B4" s="154" t="s">
        <v>260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372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373</v>
      </c>
      <c r="B6" s="157">
        <v>1</v>
      </c>
      <c r="C6" s="157"/>
      <c r="D6" s="157"/>
      <c r="E6" s="157"/>
      <c r="F6" s="157"/>
      <c r="G6" s="158" t="s">
        <v>374</v>
      </c>
      <c r="H6" s="143"/>
      <c r="I6" s="143"/>
      <c r="J6" s="152"/>
    </row>
    <row r="7" ht="16.5" spans="1:10">
      <c r="A7" s="144" t="s">
        <v>375</v>
      </c>
      <c r="B7" s="159" t="s">
        <v>376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377</v>
      </c>
      <c r="B8" s="161">
        <v>1</v>
      </c>
      <c r="C8" s="161"/>
      <c r="D8" s="162" t="s">
        <v>378</v>
      </c>
      <c r="E8" s="162"/>
      <c r="F8" s="162"/>
      <c r="G8" s="161"/>
      <c r="H8" s="143"/>
      <c r="I8" s="143"/>
      <c r="J8" s="152"/>
    </row>
    <row r="9" ht="16.5" spans="1:10">
      <c r="A9" s="144" t="s">
        <v>379</v>
      </c>
      <c r="B9" s="148" t="s">
        <v>380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381</v>
      </c>
      <c r="B10" s="153">
        <v>1</v>
      </c>
      <c r="C10" s="153"/>
      <c r="D10" s="163" t="s">
        <v>382</v>
      </c>
      <c r="E10" s="153">
        <v>1</v>
      </c>
      <c r="F10" s="163" t="s">
        <v>382</v>
      </c>
      <c r="G10" s="143" t="s">
        <v>383</v>
      </c>
      <c r="H10" s="143"/>
      <c r="I10" s="143"/>
      <c r="J10" s="152"/>
    </row>
    <row r="11" ht="16.5" spans="1:10">
      <c r="A11" s="144" t="s">
        <v>384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385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386</v>
      </c>
      <c r="B13" s="2" t="s">
        <v>383</v>
      </c>
      <c r="C13" s="2"/>
      <c r="D13" s="2"/>
      <c r="E13" s="2"/>
      <c r="F13" s="2"/>
      <c r="G13" s="164" t="s">
        <v>387</v>
      </c>
      <c r="H13" s="1"/>
      <c r="I13" s="1"/>
      <c r="J13" s="165"/>
    </row>
    <row r="14" s="1" customFormat="1" ht="16.5" spans="1:10">
      <c r="A14" s="144" t="s">
        <v>388</v>
      </c>
      <c r="B14" s="166" t="s">
        <v>383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389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390</v>
      </c>
      <c r="B2" s="121" t="s">
        <v>391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392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393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394</v>
      </c>
      <c r="C6" s="15" t="s">
        <v>20</v>
      </c>
      <c r="D6" s="126" t="s">
        <v>105</v>
      </c>
      <c r="E6" s="127"/>
      <c r="F6" s="127"/>
      <c r="G6" s="128"/>
    </row>
    <row r="7" s="113" customFormat="1" spans="1:9">
      <c r="A7" s="125"/>
      <c r="B7" s="121"/>
      <c r="C7" s="15" t="s">
        <v>52</v>
      </c>
      <c r="D7" s="113" t="s">
        <v>80</v>
      </c>
      <c r="E7" s="126" t="s">
        <v>92</v>
      </c>
      <c r="F7" s="127"/>
      <c r="G7" s="128"/>
    </row>
    <row r="8" s="113" customFormat="1" spans="1:9">
      <c r="A8" s="125"/>
      <c r="B8" s="121" t="s">
        <v>395</v>
      </c>
      <c r="C8" s="15" t="s">
        <v>15</v>
      </c>
      <c r="D8" s="126" t="s">
        <v>85</v>
      </c>
      <c r="E8" s="127"/>
      <c r="F8" s="127"/>
      <c r="G8" s="128"/>
    </row>
    <row r="9" s="113" customFormat="1" spans="1:9">
      <c r="A9" s="125"/>
      <c r="B9" s="121" t="s">
        <v>396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397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398</v>
      </c>
      <c r="C11" s="122" t="s">
        <v>73</v>
      </c>
      <c r="D11" s="123"/>
      <c r="E11" s="123"/>
      <c r="F11" s="123"/>
      <c r="G11" s="124"/>
    </row>
    <row r="12" s="114" customFormat="1" spans="1:9">
      <c r="A12" s="130" t="s">
        <v>399</v>
      </c>
      <c r="B12" s="131" t="s">
        <v>400</v>
      </c>
      <c r="C12" s="132" t="s">
        <v>92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401</v>
      </c>
      <c r="C14" s="132" t="s">
        <v>402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403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404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405</v>
      </c>
      <c r="C18" s="132" t="s">
        <v>44</v>
      </c>
      <c r="D18" s="138"/>
      <c r="E18" s="138"/>
      <c r="F18" s="138"/>
      <c r="G18" s="133"/>
    </row>
    <row r="19" s="114" customFormat="1" spans="1:7">
      <c r="A19" s="137"/>
      <c r="B19" s="131" t="s">
        <v>406</v>
      </c>
      <c r="C19" s="132" t="s">
        <v>85</v>
      </c>
      <c r="D19" s="138"/>
      <c r="E19" s="138"/>
      <c r="F19" s="138"/>
      <c r="G19" s="133"/>
    </row>
    <row r="20" s="114" customFormat="1" spans="1:7">
      <c r="A20" s="137"/>
      <c r="B20" s="131" t="s">
        <v>407</v>
      </c>
      <c r="C20" s="132" t="s">
        <v>88</v>
      </c>
      <c r="D20" s="138"/>
      <c r="E20" s="138"/>
      <c r="F20" s="138"/>
      <c r="G20" s="133"/>
    </row>
    <row r="21" s="114" customFormat="1" spans="1:7">
      <c r="A21" s="137"/>
      <c r="B21" s="131" t="s">
        <v>408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409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abSelected="1"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410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411</v>
      </c>
      <c r="B2" s="96"/>
      <c r="C2" s="97"/>
      <c r="D2" s="98" t="s">
        <v>44</v>
      </c>
      <c r="E2" s="98" t="s">
        <v>109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44</v>
      </c>
      <c r="D3" s="98" t="s">
        <v>29</v>
      </c>
      <c r="E3" s="98" t="s">
        <v>7</v>
      </c>
      <c r="F3" s="99" t="s">
        <v>69</v>
      </c>
      <c r="G3" s="99" t="s">
        <v>80</v>
      </c>
      <c r="H3" s="100" t="s">
        <v>109</v>
      </c>
      <c r="I3" s="100" t="s">
        <v>92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119</v>
      </c>
      <c r="E4" s="98" t="s">
        <v>83</v>
      </c>
      <c r="F4" s="99" t="s">
        <v>20</v>
      </c>
      <c r="G4" s="99" t="s">
        <v>60</v>
      </c>
      <c r="H4" s="100" t="s">
        <v>51</v>
      </c>
      <c r="I4" s="100" t="s">
        <v>31</v>
      </c>
    </row>
    <row r="5" s="92" customFormat="1" customHeight="1" spans="1:16">
      <c r="A5" s="101"/>
      <c r="B5" s="97" t="s">
        <v>74</v>
      </c>
      <c r="C5" s="97" t="s">
        <v>30</v>
      </c>
      <c r="D5" s="98" t="s">
        <v>42</v>
      </c>
      <c r="E5" s="98" t="s">
        <v>77</v>
      </c>
      <c r="F5" s="99" t="s">
        <v>73</v>
      </c>
      <c r="G5" s="99" t="s">
        <v>27</v>
      </c>
      <c r="H5" s="100" t="s">
        <v>36</v>
      </c>
      <c r="I5" s="100" t="s">
        <v>110</v>
      </c>
    </row>
    <row r="6" s="92" customFormat="1" customHeight="1" spans="1:16">
      <c r="A6" s="101"/>
      <c r="B6" s="97" t="s">
        <v>24</v>
      </c>
      <c r="C6" s="97" t="s">
        <v>76</v>
      </c>
      <c r="D6" s="98" t="s">
        <v>10</v>
      </c>
      <c r="E6" s="98" t="s">
        <v>75</v>
      </c>
      <c r="F6" s="99" t="s">
        <v>88</v>
      </c>
      <c r="G6" s="99" t="s">
        <v>117</v>
      </c>
      <c r="H6" s="100" t="s">
        <v>64</v>
      </c>
      <c r="I6" s="100" t="s">
        <v>18</v>
      </c>
    </row>
    <row r="7" s="92" customFormat="1" customHeight="1" spans="1:16">
      <c r="A7" s="101"/>
      <c r="B7" s="97" t="s">
        <v>103</v>
      </c>
      <c r="C7" s="97" t="s">
        <v>33</v>
      </c>
      <c r="D7" s="98" t="s">
        <v>61</v>
      </c>
      <c r="E7" s="98" t="s">
        <v>13</v>
      </c>
      <c r="F7" s="99" t="s">
        <v>99</v>
      </c>
      <c r="G7" s="99" t="s">
        <v>52</v>
      </c>
      <c r="H7" s="100" t="s">
        <v>78</v>
      </c>
      <c r="I7" s="100" t="s">
        <v>100</v>
      </c>
    </row>
    <row r="8" s="92" customFormat="1" customHeight="1" spans="1:16">
      <c r="A8" s="101"/>
      <c r="B8" s="97" t="s">
        <v>116</v>
      </c>
      <c r="C8" s="97" t="s">
        <v>59</v>
      </c>
      <c r="D8" s="98" t="s">
        <v>70</v>
      </c>
      <c r="E8" s="98" t="s">
        <v>105</v>
      </c>
      <c r="F8" s="99" t="s">
        <v>47</v>
      </c>
      <c r="G8" s="99" t="s">
        <v>112</v>
      </c>
      <c r="H8" s="100" t="s">
        <v>55</v>
      </c>
      <c r="I8" s="100" t="s">
        <v>85</v>
      </c>
    </row>
    <row r="9" s="92" customFormat="1" customHeight="1" spans="1:16">
      <c r="A9" s="102"/>
      <c r="B9" s="103"/>
      <c r="C9" s="104"/>
      <c r="D9" s="105" t="s">
        <v>120</v>
      </c>
      <c r="E9" s="106"/>
      <c r="F9" s="107"/>
      <c r="G9" s="107"/>
      <c r="H9" s="107"/>
      <c r="I9" s="108"/>
    </row>
    <row r="10" s="92" customFormat="1" customHeight="1" spans="1:16">
      <c r="A10" s="95" t="s">
        <v>412</v>
      </c>
      <c r="B10" s="96"/>
      <c r="C10" s="97"/>
      <c r="D10" s="98" t="s">
        <v>44</v>
      </c>
      <c r="E10" s="98" t="s">
        <v>109</v>
      </c>
      <c r="F10" s="99"/>
      <c r="G10" s="99"/>
      <c r="H10" s="100"/>
      <c r="I10" s="100"/>
    </row>
    <row r="11" s="92" customFormat="1" customHeight="1" spans="1:16">
      <c r="A11" s="101"/>
      <c r="B11" s="97" t="s">
        <v>51</v>
      </c>
      <c r="C11" s="97" t="s">
        <v>92</v>
      </c>
      <c r="D11" s="98" t="s">
        <v>60</v>
      </c>
      <c r="E11" s="98" t="s">
        <v>119</v>
      </c>
      <c r="F11" s="99" t="s">
        <v>15</v>
      </c>
      <c r="G11" s="99" t="s">
        <v>80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83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69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74</v>
      </c>
      <c r="C13" s="97" t="s">
        <v>42</v>
      </c>
      <c r="D13" s="98" t="s">
        <v>36</v>
      </c>
      <c r="E13" s="98" t="s">
        <v>110</v>
      </c>
      <c r="F13" s="99" t="s">
        <v>117</v>
      </c>
      <c r="G13" s="99" t="s">
        <v>75</v>
      </c>
      <c r="H13" s="100" t="s">
        <v>77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76</v>
      </c>
      <c r="D14" s="98" t="s">
        <v>10</v>
      </c>
      <c r="E14" s="98" t="s">
        <v>64</v>
      </c>
      <c r="F14" s="99" t="s">
        <v>27</v>
      </c>
      <c r="G14" s="99" t="s">
        <v>73</v>
      </c>
      <c r="H14" s="100" t="s">
        <v>18</v>
      </c>
      <c r="I14" s="100" t="s">
        <v>88</v>
      </c>
    </row>
    <row r="15" s="92" customFormat="1" customHeight="1" spans="1:16">
      <c r="A15" s="101"/>
      <c r="B15" s="97" t="s">
        <v>33</v>
      </c>
      <c r="C15" s="97" t="s">
        <v>103</v>
      </c>
      <c r="D15" s="98" t="s">
        <v>100</v>
      </c>
      <c r="E15" s="98" t="s">
        <v>99</v>
      </c>
      <c r="F15" s="99" t="s">
        <v>13</v>
      </c>
      <c r="G15" s="99" t="s">
        <v>52</v>
      </c>
      <c r="H15" s="100" t="s">
        <v>78</v>
      </c>
      <c r="I15" s="100" t="s">
        <v>61</v>
      </c>
    </row>
    <row r="16" s="92" customFormat="1" customHeight="1" spans="1:16">
      <c r="A16" s="101"/>
      <c r="B16" s="97" t="s">
        <v>116</v>
      </c>
      <c r="C16" s="97" t="s">
        <v>59</v>
      </c>
      <c r="D16" s="98" t="s">
        <v>112</v>
      </c>
      <c r="E16" s="98" t="s">
        <v>105</v>
      </c>
      <c r="F16" s="99" t="s">
        <v>47</v>
      </c>
      <c r="G16" s="99" t="s">
        <v>70</v>
      </c>
      <c r="H16" s="100" t="s">
        <v>120</v>
      </c>
      <c r="I16" s="100" t="s">
        <v>85</v>
      </c>
    </row>
    <row r="17" s="92" customFormat="1" customHeight="1" spans="1:9">
      <c r="A17" s="102"/>
      <c r="B17" s="103"/>
      <c r="C17" s="104"/>
      <c r="D17" s="105" t="s">
        <v>55</v>
      </c>
      <c r="E17" s="106"/>
      <c r="F17" s="107"/>
      <c r="G17" s="107"/>
      <c r="H17" s="107"/>
      <c r="I17" s="108"/>
    </row>
    <row r="18" s="92" customFormat="1" customHeight="1" spans="1:9">
      <c r="A18" s="95" t="s">
        <v>413</v>
      </c>
      <c r="B18" s="96"/>
      <c r="C18" s="97"/>
      <c r="D18" s="98" t="s">
        <v>44</v>
      </c>
      <c r="E18" s="98"/>
      <c r="F18" s="99" t="s">
        <v>109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119</v>
      </c>
      <c r="E19" s="98" t="s">
        <v>80</v>
      </c>
      <c r="F19" s="99" t="s">
        <v>51</v>
      </c>
      <c r="G19" s="99" t="s">
        <v>92</v>
      </c>
      <c r="H19" s="100" t="s">
        <v>15</v>
      </c>
      <c r="I19" s="100" t="s">
        <v>60</v>
      </c>
    </row>
    <row r="20" s="92" customFormat="1" customHeight="1" spans="1:9">
      <c r="A20" s="101"/>
      <c r="B20" s="97" t="s">
        <v>69</v>
      </c>
      <c r="C20" s="97" t="s">
        <v>29</v>
      </c>
      <c r="D20" s="98" t="s">
        <v>83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77</v>
      </c>
      <c r="C21" s="97" t="s">
        <v>74</v>
      </c>
      <c r="D21" s="98" t="s">
        <v>73</v>
      </c>
      <c r="E21" s="98" t="s">
        <v>36</v>
      </c>
      <c r="F21" s="99" t="s">
        <v>27</v>
      </c>
      <c r="G21" s="99" t="s">
        <v>20</v>
      </c>
      <c r="H21" s="100" t="s">
        <v>78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88</v>
      </c>
      <c r="D22" s="98" t="s">
        <v>75</v>
      </c>
      <c r="E22" s="98" t="s">
        <v>64</v>
      </c>
      <c r="F22" s="99" t="s">
        <v>117</v>
      </c>
      <c r="G22" s="99" t="s">
        <v>99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61</v>
      </c>
      <c r="C23" s="97" t="s">
        <v>103</v>
      </c>
      <c r="D23" s="98" t="s">
        <v>76</v>
      </c>
      <c r="E23" s="98" t="s">
        <v>33</v>
      </c>
      <c r="F23" s="99" t="s">
        <v>105</v>
      </c>
      <c r="G23" s="99" t="s">
        <v>10</v>
      </c>
      <c r="H23" s="100" t="s">
        <v>52</v>
      </c>
      <c r="I23" s="100" t="s">
        <v>47</v>
      </c>
    </row>
    <row r="24" s="92" customFormat="1" customHeight="1" spans="1:9">
      <c r="A24" s="101"/>
      <c r="B24" s="97" t="s">
        <v>112</v>
      </c>
      <c r="C24" s="97" t="s">
        <v>85</v>
      </c>
      <c r="D24" s="98" t="s">
        <v>70</v>
      </c>
      <c r="E24" s="98" t="s">
        <v>59</v>
      </c>
      <c r="F24" s="99" t="s">
        <v>76</v>
      </c>
      <c r="G24" s="99" t="s">
        <v>100</v>
      </c>
      <c r="H24" s="100" t="s">
        <v>116</v>
      </c>
      <c r="I24" s="100" t="s">
        <v>47</v>
      </c>
    </row>
    <row r="25" s="92" customFormat="1" customHeight="1" spans="1:9">
      <c r="A25" s="102"/>
      <c r="B25" s="110"/>
      <c r="C25" s="111"/>
      <c r="D25" s="105" t="s">
        <v>120</v>
      </c>
      <c r="E25" s="106"/>
      <c r="F25" s="107"/>
      <c r="G25" s="107"/>
      <c r="H25" s="107"/>
      <c r="I25" s="108"/>
    </row>
    <row r="26" customHeight="1" spans="1:9">
      <c r="A26" s="95" t="s">
        <v>414</v>
      </c>
      <c r="B26" s="96"/>
      <c r="C26" s="97"/>
      <c r="D26" s="98"/>
      <c r="E26" s="98"/>
      <c r="F26" s="99"/>
      <c r="G26" s="99"/>
      <c r="H26" s="100" t="s">
        <v>76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109</v>
      </c>
      <c r="G27" s="99" t="s">
        <v>80</v>
      </c>
      <c r="H27" s="100" t="s">
        <v>119</v>
      </c>
      <c r="I27" s="100" t="s">
        <v>51</v>
      </c>
    </row>
    <row r="28" customHeight="1" spans="1:9">
      <c r="A28" s="101"/>
      <c r="B28" s="97" t="s">
        <v>40</v>
      </c>
      <c r="C28" s="97" t="s">
        <v>7</v>
      </c>
      <c r="D28" s="98" t="s">
        <v>69</v>
      </c>
      <c r="E28" s="98" t="s">
        <v>29</v>
      </c>
      <c r="F28" s="99" t="s">
        <v>75</v>
      </c>
      <c r="G28" s="99" t="s">
        <v>77</v>
      </c>
      <c r="H28" s="100" t="s">
        <v>60</v>
      </c>
      <c r="I28" s="100" t="s">
        <v>44</v>
      </c>
    </row>
    <row r="29" customHeight="1" spans="1:9">
      <c r="A29" s="101"/>
      <c r="B29" s="97" t="s">
        <v>78</v>
      </c>
      <c r="C29" s="97" t="s">
        <v>55</v>
      </c>
      <c r="D29" s="98" t="s">
        <v>117</v>
      </c>
      <c r="E29" s="98" t="s">
        <v>74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47</v>
      </c>
      <c r="C30" s="97" t="s">
        <v>20</v>
      </c>
      <c r="D30" s="98" t="s">
        <v>88</v>
      </c>
      <c r="E30" s="98" t="s">
        <v>73</v>
      </c>
      <c r="F30" s="99" t="s">
        <v>64</v>
      </c>
      <c r="G30" s="99" t="s">
        <v>18</v>
      </c>
      <c r="H30" s="100" t="s">
        <v>110</v>
      </c>
      <c r="I30" s="100" t="s">
        <v>24</v>
      </c>
    </row>
    <row r="31" customHeight="1" spans="1:9">
      <c r="A31" s="101"/>
      <c r="B31" s="97" t="s">
        <v>112</v>
      </c>
      <c r="C31" s="97" t="s">
        <v>52</v>
      </c>
      <c r="D31" s="98" t="s">
        <v>10</v>
      </c>
      <c r="E31" s="98" t="s">
        <v>61</v>
      </c>
      <c r="F31" s="99" t="s">
        <v>70</v>
      </c>
      <c r="G31" s="99" t="s">
        <v>33</v>
      </c>
      <c r="H31" s="100" t="s">
        <v>42</v>
      </c>
      <c r="I31" s="100" t="s">
        <v>99</v>
      </c>
    </row>
    <row r="32" customHeight="1" spans="1:9">
      <c r="A32" s="101"/>
      <c r="B32" s="97" t="s">
        <v>103</v>
      </c>
      <c r="C32" s="97" t="s">
        <v>100</v>
      </c>
      <c r="D32" s="98" t="s">
        <v>116</v>
      </c>
      <c r="E32" s="98" t="s">
        <v>92</v>
      </c>
      <c r="F32" s="99" t="s">
        <v>13</v>
      </c>
      <c r="G32" s="99" t="s">
        <v>85</v>
      </c>
      <c r="H32" s="100" t="s">
        <v>59</v>
      </c>
      <c r="I32" s="100" t="s">
        <v>105</v>
      </c>
    </row>
    <row r="33" customHeight="1" spans="1:9">
      <c r="A33" s="102"/>
      <c r="B33" s="110"/>
      <c r="C33" s="111"/>
      <c r="D33" s="105" t="s">
        <v>120</v>
      </c>
      <c r="E33" s="106"/>
      <c r="F33" s="107"/>
      <c r="G33" s="107"/>
      <c r="H33" s="107"/>
      <c r="I33" s="108"/>
    </row>
    <row r="34" customHeight="1" spans="1:9">
      <c r="A34" s="95" t="s">
        <v>415</v>
      </c>
      <c r="B34" s="96"/>
      <c r="C34" s="97"/>
      <c r="D34" s="98"/>
      <c r="E34" s="98"/>
      <c r="F34" s="99" t="s">
        <v>76</v>
      </c>
      <c r="G34" s="99" t="s">
        <v>55</v>
      </c>
      <c r="H34" s="100"/>
      <c r="I34" s="100"/>
    </row>
    <row r="35" customHeight="1" spans="1:9">
      <c r="A35" s="101"/>
      <c r="B35" s="109" t="s">
        <v>75</v>
      </c>
      <c r="C35" s="97" t="s">
        <v>119</v>
      </c>
      <c r="D35" s="98" t="s">
        <v>44</v>
      </c>
      <c r="E35" s="98" t="s">
        <v>26</v>
      </c>
      <c r="F35" s="99" t="s">
        <v>38</v>
      </c>
      <c r="G35" s="99" t="s">
        <v>15</v>
      </c>
      <c r="H35" s="100" t="s">
        <v>109</v>
      </c>
      <c r="I35" s="100" t="s">
        <v>60</v>
      </c>
    </row>
    <row r="36" customHeight="1" spans="1:9">
      <c r="A36" s="101"/>
      <c r="B36" s="97" t="s">
        <v>110</v>
      </c>
      <c r="C36" s="97" t="s">
        <v>117</v>
      </c>
      <c r="D36" s="98" t="s">
        <v>77</v>
      </c>
      <c r="E36" s="98" t="s">
        <v>51</v>
      </c>
      <c r="F36" s="99" t="s">
        <v>80</v>
      </c>
      <c r="G36" s="99" t="s">
        <v>35</v>
      </c>
      <c r="H36" s="100" t="s">
        <v>40</v>
      </c>
      <c r="I36" s="100" t="s">
        <v>69</v>
      </c>
    </row>
    <row r="37" customHeight="1" spans="1:9">
      <c r="A37" s="101"/>
      <c r="B37" s="97" t="s">
        <v>31</v>
      </c>
      <c r="C37" s="97" t="s">
        <v>29</v>
      </c>
      <c r="D37" s="98" t="s">
        <v>78</v>
      </c>
      <c r="E37" s="98" t="s">
        <v>74</v>
      </c>
      <c r="F37" s="99" t="s">
        <v>7</v>
      </c>
      <c r="G37" s="99" t="s">
        <v>30</v>
      </c>
      <c r="H37" s="100" t="s">
        <v>88</v>
      </c>
      <c r="I37" s="100" t="s">
        <v>36</v>
      </c>
    </row>
    <row r="38" customHeight="1" spans="1:9">
      <c r="A38" s="101"/>
      <c r="B38" s="97" t="s">
        <v>64</v>
      </c>
      <c r="C38" s="97" t="s">
        <v>20</v>
      </c>
      <c r="D38" s="98" t="s">
        <v>27</v>
      </c>
      <c r="E38" s="98" t="s">
        <v>42</v>
      </c>
      <c r="F38" s="99" t="s">
        <v>47</v>
      </c>
      <c r="G38" s="99" t="s">
        <v>73</v>
      </c>
      <c r="H38" s="100" t="s">
        <v>99</v>
      </c>
      <c r="I38" s="100" t="s">
        <v>10</v>
      </c>
    </row>
    <row r="39" customHeight="1" spans="1:9">
      <c r="A39" s="101"/>
      <c r="B39" s="97" t="s">
        <v>100</v>
      </c>
      <c r="C39" s="97" t="s">
        <v>112</v>
      </c>
      <c r="D39" s="98" t="s">
        <v>61</v>
      </c>
      <c r="E39" s="98" t="s">
        <v>18</v>
      </c>
      <c r="F39" s="99" t="s">
        <v>105</v>
      </c>
      <c r="G39" s="99" t="s">
        <v>13</v>
      </c>
      <c r="H39" s="100" t="s">
        <v>24</v>
      </c>
      <c r="I39" s="100" t="s">
        <v>52</v>
      </c>
    </row>
    <row r="40" customHeight="1" spans="1:9">
      <c r="A40" s="101"/>
      <c r="B40" s="97" t="s">
        <v>92</v>
      </c>
      <c r="C40" s="97" t="s">
        <v>103</v>
      </c>
      <c r="D40" s="98" t="s">
        <v>85</v>
      </c>
      <c r="E40" s="98" t="s">
        <v>116</v>
      </c>
      <c r="F40" s="99" t="s">
        <v>120</v>
      </c>
      <c r="G40" s="99" t="s">
        <v>59</v>
      </c>
      <c r="H40" s="100" t="s">
        <v>33</v>
      </c>
      <c r="I40" s="100" t="s">
        <v>70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416</v>
      </c>
      <c r="B1" s="83" t="s">
        <v>417</v>
      </c>
      <c r="C1" s="84" t="s">
        <v>209</v>
      </c>
    </row>
    <row r="2" spans="1:3">
      <c r="A2" s="85" t="s">
        <v>1</v>
      </c>
      <c r="B2" s="80" t="s">
        <v>418</v>
      </c>
      <c r="C2" s="81" t="s">
        <v>419</v>
      </c>
    </row>
    <row r="3" spans="1:3">
      <c r="A3" s="85"/>
      <c r="B3" s="80" t="s">
        <v>420</v>
      </c>
      <c r="C3" s="81" t="s">
        <v>421</v>
      </c>
    </row>
    <row r="4" spans="1:3">
      <c r="A4" s="85"/>
      <c r="B4" s="80" t="s">
        <v>422</v>
      </c>
      <c r="C4" s="81" t="s">
        <v>423</v>
      </c>
    </row>
    <row r="5" spans="1:3">
      <c r="A5" s="85"/>
      <c r="B5" s="80" t="s">
        <v>424</v>
      </c>
      <c r="C5" s="81" t="s">
        <v>425</v>
      </c>
    </row>
    <row r="6" spans="1:3">
      <c r="A6" s="85"/>
      <c r="B6" s="80" t="s">
        <v>426</v>
      </c>
      <c r="C6" s="81" t="s">
        <v>427</v>
      </c>
    </row>
    <row r="7" spans="1:3">
      <c r="A7" s="85"/>
      <c r="B7" s="80" t="s">
        <v>428</v>
      </c>
      <c r="C7" s="81" t="s">
        <v>429</v>
      </c>
    </row>
    <row r="8" spans="1:3">
      <c r="A8" s="85"/>
      <c r="B8" s="80" t="s">
        <v>430</v>
      </c>
      <c r="C8" s="81" t="s">
        <v>431</v>
      </c>
    </row>
    <row r="9" spans="1:3">
      <c r="A9" s="85"/>
      <c r="B9" s="80" t="s">
        <v>432</v>
      </c>
      <c r="C9" s="81" t="s">
        <v>433</v>
      </c>
    </row>
    <row r="10" spans="1:3">
      <c r="A10" s="85"/>
      <c r="B10" s="80" t="s">
        <v>434</v>
      </c>
      <c r="C10" s="81" t="s">
        <v>435</v>
      </c>
    </row>
    <row r="11" spans="1:3">
      <c r="A11" s="85"/>
      <c r="B11" s="80" t="s">
        <v>436</v>
      </c>
      <c r="C11" s="81" t="s">
        <v>437</v>
      </c>
    </row>
    <row r="12" spans="1:3">
      <c r="A12" s="85"/>
      <c r="B12" s="80" t="s">
        <v>438</v>
      </c>
      <c r="C12" s="81" t="s">
        <v>439</v>
      </c>
    </row>
    <row r="13" spans="1:3">
      <c r="A13" s="85"/>
      <c r="B13" s="80" t="s">
        <v>440</v>
      </c>
      <c r="C13" s="81" t="s">
        <v>441</v>
      </c>
    </row>
    <row r="14" spans="1:3">
      <c r="A14" s="85"/>
      <c r="B14" s="80" t="s">
        <v>442</v>
      </c>
      <c r="C14" s="81" t="s">
        <v>443</v>
      </c>
    </row>
    <row r="15" spans="1:3">
      <c r="A15" s="85"/>
      <c r="B15" s="80" t="s">
        <v>444</v>
      </c>
      <c r="C15" s="81" t="s">
        <v>445</v>
      </c>
    </row>
    <row r="16" spans="1:3">
      <c r="A16" s="85"/>
      <c r="B16" s="80" t="s">
        <v>446</v>
      </c>
      <c r="C16" s="81" t="s">
        <v>447</v>
      </c>
    </row>
    <row r="17" spans="1:3">
      <c r="A17" s="85"/>
      <c r="B17" s="80" t="s">
        <v>448</v>
      </c>
      <c r="C17" s="81" t="s">
        <v>449</v>
      </c>
    </row>
    <row r="18" spans="1:3">
      <c r="A18" s="85"/>
      <c r="B18" s="80" t="s">
        <v>450</v>
      </c>
      <c r="C18" s="81" t="s">
        <v>451</v>
      </c>
    </row>
    <row r="19" spans="1:3">
      <c r="A19" s="85"/>
      <c r="B19" s="80" t="s">
        <v>452</v>
      </c>
      <c r="C19" s="81" t="s">
        <v>453</v>
      </c>
    </row>
    <row r="20" spans="1:3">
      <c r="A20" s="85"/>
      <c r="B20" s="80" t="s">
        <v>454</v>
      </c>
      <c r="C20" s="81" t="s">
        <v>455</v>
      </c>
    </row>
    <row r="21" spans="1:3">
      <c r="A21" s="85"/>
      <c r="B21" s="80" t="s">
        <v>454</v>
      </c>
      <c r="C21" s="81" t="s">
        <v>456</v>
      </c>
    </row>
    <row r="22" spans="1:3">
      <c r="A22" s="85"/>
      <c r="B22" s="80" t="s">
        <v>457</v>
      </c>
      <c r="C22" s="81" t="s">
        <v>458</v>
      </c>
    </row>
    <row r="23" spans="1:3">
      <c r="A23" s="85"/>
      <c r="B23" s="80" t="s">
        <v>459</v>
      </c>
      <c r="C23" s="81" t="s">
        <v>460</v>
      </c>
    </row>
    <row r="24" spans="1:3">
      <c r="A24" s="85"/>
      <c r="B24" s="80" t="s">
        <v>461</v>
      </c>
      <c r="C24" s="81" t="s">
        <v>462</v>
      </c>
    </row>
    <row r="25" spans="1:3">
      <c r="A25" s="86" t="s">
        <v>2</v>
      </c>
      <c r="B25" s="80" t="s">
        <v>463</v>
      </c>
      <c r="C25" s="81" t="s">
        <v>464</v>
      </c>
    </row>
    <row r="26" spans="1:3">
      <c r="A26" s="86"/>
      <c r="B26" s="80" t="s">
        <v>465</v>
      </c>
      <c r="C26" s="81" t="s">
        <v>466</v>
      </c>
    </row>
    <row r="27" spans="1:3">
      <c r="A27" s="86"/>
      <c r="B27" s="80" t="s">
        <v>467</v>
      </c>
      <c r="C27" s="81" t="s">
        <v>468</v>
      </c>
    </row>
    <row r="28" spans="1:3">
      <c r="A28" s="86"/>
      <c r="B28" s="80" t="s">
        <v>469</v>
      </c>
      <c r="C28" s="81" t="s">
        <v>470</v>
      </c>
    </row>
    <row r="29" spans="1:3">
      <c r="A29" s="86"/>
      <c r="B29" s="80" t="s">
        <v>471</v>
      </c>
      <c r="C29" s="81" t="s">
        <v>472</v>
      </c>
    </row>
    <row r="30" spans="1:3">
      <c r="A30" s="86"/>
      <c r="B30" s="80" t="s">
        <v>473</v>
      </c>
      <c r="C30" s="81" t="s">
        <v>474</v>
      </c>
    </row>
    <row r="31" spans="1:3">
      <c r="A31" s="86"/>
      <c r="B31" s="80" t="s">
        <v>475</v>
      </c>
      <c r="C31" s="81" t="s">
        <v>476</v>
      </c>
    </row>
    <row r="32" spans="1:3">
      <c r="A32" s="86"/>
      <c r="B32" s="80" t="s">
        <v>477</v>
      </c>
      <c r="C32" s="81" t="s">
        <v>478</v>
      </c>
    </row>
    <row r="33" spans="1:3">
      <c r="A33" s="86"/>
      <c r="B33" s="80" t="s">
        <v>479</v>
      </c>
      <c r="C33" s="81" t="s">
        <v>480</v>
      </c>
    </row>
    <row r="34" spans="1:3">
      <c r="A34" s="86"/>
      <c r="B34" s="80" t="s">
        <v>481</v>
      </c>
      <c r="C34" s="81" t="s">
        <v>482</v>
      </c>
    </row>
    <row r="35" spans="1:3">
      <c r="A35" s="86"/>
      <c r="B35" s="80" t="s">
        <v>483</v>
      </c>
      <c r="C35" s="81" t="s">
        <v>484</v>
      </c>
    </row>
    <row r="36" spans="1:3">
      <c r="A36" s="86"/>
      <c r="B36" s="80" t="s">
        <v>485</v>
      </c>
      <c r="C36" s="81" t="s">
        <v>486</v>
      </c>
    </row>
    <row r="37" spans="1:3">
      <c r="A37" s="87"/>
      <c r="B37" s="80" t="s">
        <v>487</v>
      </c>
      <c r="C37" s="81" t="s">
        <v>488</v>
      </c>
    </row>
    <row r="38" spans="1:3">
      <c r="A38" s="88" t="s">
        <v>3</v>
      </c>
      <c r="B38" s="80" t="s">
        <v>489</v>
      </c>
      <c r="C38" s="81" t="s">
        <v>490</v>
      </c>
    </row>
    <row r="39" spans="1:3">
      <c r="A39" s="89"/>
      <c r="B39" s="80" t="s">
        <v>491</v>
      </c>
      <c r="C39" s="81" t="s">
        <v>492</v>
      </c>
    </row>
    <row r="40" spans="1:3">
      <c r="A40" s="89"/>
      <c r="B40" s="80" t="s">
        <v>493</v>
      </c>
      <c r="C40" s="81" t="s">
        <v>494</v>
      </c>
    </row>
    <row r="41" spans="1:3">
      <c r="A41" s="89"/>
      <c r="B41" s="80" t="s">
        <v>495</v>
      </c>
      <c r="C41" s="81" t="s">
        <v>427</v>
      </c>
    </row>
    <row r="42" spans="1:3">
      <c r="A42" s="89"/>
      <c r="B42" s="80" t="s">
        <v>496</v>
      </c>
      <c r="C42" s="81" t="s">
        <v>497</v>
      </c>
    </row>
    <row r="43" spans="1:3">
      <c r="A43" s="89"/>
      <c r="B43" s="80" t="s">
        <v>498</v>
      </c>
      <c r="C43" s="81" t="s">
        <v>499</v>
      </c>
    </row>
    <row r="44" spans="1:3">
      <c r="A44" s="89"/>
      <c r="B44" s="80" t="s">
        <v>500</v>
      </c>
      <c r="C44" s="81" t="s">
        <v>501</v>
      </c>
    </row>
    <row r="45" spans="1:3">
      <c r="A45" s="89"/>
      <c r="B45" s="80" t="s">
        <v>502</v>
      </c>
      <c r="C45" s="81" t="s">
        <v>503</v>
      </c>
    </row>
    <row r="46" spans="1:3">
      <c r="A46" s="89"/>
      <c r="B46" s="80" t="s">
        <v>504</v>
      </c>
      <c r="C46" s="81" t="s">
        <v>505</v>
      </c>
    </row>
    <row r="47" spans="1:3">
      <c r="A47" s="89"/>
      <c r="B47" s="80" t="s">
        <v>506</v>
      </c>
      <c r="C47" s="81" t="s">
        <v>507</v>
      </c>
    </row>
    <row r="48" spans="1:3">
      <c r="A48" s="89"/>
      <c r="B48" s="80" t="s">
        <v>508</v>
      </c>
      <c r="C48" s="81" t="s">
        <v>509</v>
      </c>
    </row>
    <row r="49" spans="1:3">
      <c r="A49" s="89"/>
      <c r="B49" s="80" t="s">
        <v>510</v>
      </c>
      <c r="C49" s="81" t="s">
        <v>511</v>
      </c>
    </row>
    <row r="50" spans="1:3">
      <c r="A50" s="90"/>
      <c r="B50" s="80" t="s">
        <v>512</v>
      </c>
      <c r="C50" s="81" t="s">
        <v>513</v>
      </c>
    </row>
    <row r="51" customFormat="1" spans="1:3">
      <c r="A51" s="79"/>
      <c r="B51" s="80" t="s">
        <v>514</v>
      </c>
      <c r="C51" s="81"/>
    </row>
    <row r="52" customFormat="1" spans="1:3">
      <c r="A52" s="79"/>
      <c r="B52" s="80" t="s">
        <v>514</v>
      </c>
      <c r="C52" s="81"/>
    </row>
    <row r="53" customFormat="1" spans="1:3">
      <c r="A53" s="79"/>
      <c r="B53" s="80" t="s">
        <v>514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6" workbookViewId="0">
      <selection activeCell="G37" sqref="G37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348</v>
      </c>
      <c r="B1" s="68" t="s">
        <v>0</v>
      </c>
      <c r="C1" s="69" t="s">
        <v>515</v>
      </c>
      <c r="D1" s="70" t="s">
        <v>516</v>
      </c>
    </row>
    <row r="2" spans="1:4">
      <c r="A2" s="71">
        <v>1</v>
      </c>
      <c r="B2" s="72" t="s">
        <v>7</v>
      </c>
      <c r="C2" s="73">
        <v>20111216</v>
      </c>
      <c r="D2" s="66" t="s">
        <v>517</v>
      </c>
    </row>
    <row r="3" spans="1:4">
      <c r="A3" s="71">
        <v>2</v>
      </c>
      <c r="B3" s="72" t="s">
        <v>10</v>
      </c>
      <c r="C3" s="74">
        <v>20111227</v>
      </c>
      <c r="D3" s="66" t="s">
        <v>518</v>
      </c>
    </row>
    <row r="4" spans="1:4">
      <c r="A4" s="71">
        <v>3</v>
      </c>
      <c r="B4" s="72" t="s">
        <v>13</v>
      </c>
      <c r="C4" s="74">
        <v>20120518</v>
      </c>
      <c r="D4" s="66" t="s">
        <v>519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366</v>
      </c>
    </row>
    <row r="7" spans="1:4">
      <c r="A7" s="71">
        <v>6</v>
      </c>
      <c r="B7" s="72" t="s">
        <v>20</v>
      </c>
      <c r="C7" s="74">
        <v>20120809</v>
      </c>
      <c r="D7" s="66" t="s">
        <v>520</v>
      </c>
    </row>
    <row r="8" spans="1:4">
      <c r="A8" s="71">
        <v>7</v>
      </c>
      <c r="B8" s="72" t="s">
        <v>24</v>
      </c>
      <c r="C8" s="74">
        <v>20120227</v>
      </c>
      <c r="D8" s="66" t="s">
        <v>521</v>
      </c>
    </row>
    <row r="9" spans="1:4">
      <c r="A9" s="71">
        <v>8</v>
      </c>
      <c r="B9" s="72" t="s">
        <v>26</v>
      </c>
      <c r="C9" s="74">
        <v>20120127</v>
      </c>
      <c r="D9" s="66" t="s">
        <v>522</v>
      </c>
    </row>
    <row r="10" spans="1:4">
      <c r="A10" s="71">
        <v>9</v>
      </c>
      <c r="B10" s="72" t="s">
        <v>27</v>
      </c>
      <c r="C10" s="74">
        <v>20111202</v>
      </c>
      <c r="D10" s="66" t="s">
        <v>523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524</v>
      </c>
    </row>
    <row r="13" spans="1:4">
      <c r="A13" s="71">
        <v>12</v>
      </c>
      <c r="B13" s="72" t="s">
        <v>31</v>
      </c>
      <c r="C13" s="74">
        <v>20110908</v>
      </c>
      <c r="D13" s="66" t="s">
        <v>525</v>
      </c>
    </row>
    <row r="14" spans="1:4">
      <c r="A14" s="71">
        <v>13</v>
      </c>
      <c r="B14" s="72" t="s">
        <v>33</v>
      </c>
      <c r="C14" s="74">
        <v>20120228</v>
      </c>
      <c r="D14" s="66" t="s">
        <v>526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527</v>
      </c>
    </row>
    <row r="17" spans="1:4">
      <c r="A17" s="71">
        <v>16</v>
      </c>
      <c r="B17" s="72" t="s">
        <v>38</v>
      </c>
      <c r="C17" s="74">
        <v>20120722</v>
      </c>
      <c r="D17" s="66" t="s">
        <v>528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529</v>
      </c>
    </row>
    <row r="21" spans="1:4">
      <c r="A21" s="71">
        <v>20</v>
      </c>
      <c r="B21" s="72" t="s">
        <v>47</v>
      </c>
      <c r="C21" s="74">
        <v>20120827</v>
      </c>
      <c r="D21" s="66" t="s">
        <v>530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531</v>
      </c>
    </row>
    <row r="24" spans="1:4">
      <c r="A24" s="71">
        <v>23</v>
      </c>
      <c r="B24" s="72" t="s">
        <v>55</v>
      </c>
      <c r="C24" s="74">
        <v>20120413</v>
      </c>
      <c r="D24" s="66" t="s">
        <v>532</v>
      </c>
    </row>
    <row r="25" spans="1:4">
      <c r="A25" s="71">
        <v>24</v>
      </c>
      <c r="B25" s="72" t="s">
        <v>59</v>
      </c>
      <c r="C25" s="74">
        <v>20120629</v>
      </c>
      <c r="D25" s="66" t="s">
        <v>533</v>
      </c>
    </row>
    <row r="26" spans="1:4">
      <c r="A26" s="71">
        <v>25</v>
      </c>
      <c r="B26" s="72" t="s">
        <v>60</v>
      </c>
      <c r="C26" s="74">
        <v>20111105</v>
      </c>
      <c r="D26" s="66" t="s">
        <v>534</v>
      </c>
    </row>
    <row r="27" spans="1:4">
      <c r="A27" s="71">
        <v>26</v>
      </c>
      <c r="B27" s="72" t="s">
        <v>61</v>
      </c>
      <c r="C27" s="74">
        <v>20120112</v>
      </c>
      <c r="D27" s="66" t="s">
        <v>535</v>
      </c>
    </row>
    <row r="28" spans="1:4">
      <c r="A28" s="71">
        <v>27</v>
      </c>
      <c r="B28" s="72" t="s">
        <v>64</v>
      </c>
      <c r="C28" s="74">
        <v>20111119</v>
      </c>
      <c r="D28" s="66" t="s">
        <v>536</v>
      </c>
    </row>
    <row r="29" customFormat="1" spans="1:4">
      <c r="A29" s="71">
        <v>28</v>
      </c>
      <c r="B29" s="72" t="s">
        <v>69</v>
      </c>
      <c r="C29" s="74">
        <v>20120110</v>
      </c>
      <c r="D29" s="66"/>
    </row>
    <row r="30" spans="1:4">
      <c r="A30" s="71">
        <v>29</v>
      </c>
      <c r="B30" s="72" t="s">
        <v>70</v>
      </c>
      <c r="C30" s="74">
        <v>20120331</v>
      </c>
      <c r="D30" s="66" t="s">
        <v>537</v>
      </c>
    </row>
    <row r="31" spans="1:4">
      <c r="A31" s="71">
        <v>30</v>
      </c>
      <c r="B31" s="72" t="s">
        <v>73</v>
      </c>
      <c r="C31" s="74">
        <v>20111109</v>
      </c>
      <c r="D31" s="66" t="s">
        <v>538</v>
      </c>
    </row>
    <row r="32" spans="1:4">
      <c r="A32" s="71">
        <v>31</v>
      </c>
      <c r="B32" s="72" t="s">
        <v>74</v>
      </c>
      <c r="C32" s="74">
        <v>20120824</v>
      </c>
      <c r="D32" s="66" t="s">
        <v>539</v>
      </c>
    </row>
    <row r="33" customFormat="1" spans="1:5">
      <c r="A33" s="71">
        <v>32</v>
      </c>
      <c r="B33" s="72" t="s">
        <v>75</v>
      </c>
      <c r="C33" s="74">
        <v>20120425</v>
      </c>
      <c r="D33" s="66"/>
    </row>
    <row r="34" spans="1:5">
      <c r="A34" s="71">
        <v>33</v>
      </c>
      <c r="B34" s="72" t="s">
        <v>76</v>
      </c>
      <c r="C34" s="74">
        <v>20120624</v>
      </c>
      <c r="D34" s="66" t="s">
        <v>540</v>
      </c>
    </row>
    <row r="35" customFormat="1" spans="1:5">
      <c r="A35" s="71">
        <v>34</v>
      </c>
      <c r="B35" s="72" t="s">
        <v>77</v>
      </c>
      <c r="C35" s="74">
        <v>20120507</v>
      </c>
      <c r="D35" s="66"/>
    </row>
    <row r="36" spans="1:5">
      <c r="A36" s="71">
        <v>35</v>
      </c>
      <c r="B36" s="72" t="s">
        <v>78</v>
      </c>
      <c r="C36" s="74">
        <v>20120603</v>
      </c>
      <c r="D36" s="66" t="s">
        <v>541</v>
      </c>
    </row>
    <row r="37" spans="1:5">
      <c r="A37" s="71">
        <v>36</v>
      </c>
      <c r="B37" s="72" t="s">
        <v>80</v>
      </c>
      <c r="C37" s="73">
        <v>20120326</v>
      </c>
      <c r="D37" s="66" t="s">
        <v>542</v>
      </c>
    </row>
    <row r="38" spans="1:5">
      <c r="A38" s="75">
        <v>37</v>
      </c>
      <c r="B38" s="75" t="s">
        <v>83</v>
      </c>
      <c r="C38" s="76">
        <v>20111106</v>
      </c>
      <c r="D38" s="77" t="s">
        <v>543</v>
      </c>
      <c r="E38" t="s">
        <v>544</v>
      </c>
    </row>
    <row r="39" spans="1:5">
      <c r="A39" s="71">
        <v>38</v>
      </c>
      <c r="B39" s="72" t="s">
        <v>85</v>
      </c>
      <c r="C39" s="74">
        <v>20120811</v>
      </c>
      <c r="D39" s="78" t="s">
        <v>545</v>
      </c>
    </row>
    <row r="40" spans="1:5">
      <c r="A40" s="71">
        <v>39</v>
      </c>
      <c r="B40" s="72" t="s">
        <v>88</v>
      </c>
      <c r="C40" s="74">
        <v>20111217</v>
      </c>
      <c r="D40" s="78" t="s">
        <v>546</v>
      </c>
    </row>
    <row r="41" spans="1:5">
      <c r="A41" s="71">
        <v>40</v>
      </c>
      <c r="B41" s="72" t="s">
        <v>92</v>
      </c>
      <c r="C41" s="74">
        <v>20111013</v>
      </c>
      <c r="D41" s="66" t="s">
        <v>547</v>
      </c>
      <c r="E41" t="s">
        <v>544</v>
      </c>
    </row>
    <row r="42" customFormat="1" spans="1:5">
      <c r="A42" s="71">
        <v>41</v>
      </c>
      <c r="B42" s="72" t="s">
        <v>99</v>
      </c>
      <c r="C42" s="74">
        <v>20111027</v>
      </c>
      <c r="D42" s="66"/>
    </row>
    <row r="43" spans="1:5">
      <c r="A43" s="71">
        <v>42</v>
      </c>
      <c r="B43" s="72" t="s">
        <v>100</v>
      </c>
      <c r="C43" s="74">
        <v>20120207</v>
      </c>
      <c r="D43" s="66" t="s">
        <v>548</v>
      </c>
    </row>
    <row r="44" customFormat="1" spans="1:5">
      <c r="A44" s="71">
        <v>43</v>
      </c>
      <c r="B44" s="72" t="s">
        <v>103</v>
      </c>
      <c r="C44" s="73">
        <v>20120508</v>
      </c>
      <c r="D44" s="66"/>
    </row>
    <row r="45" spans="1:5">
      <c r="A45" s="71">
        <v>44</v>
      </c>
      <c r="B45" s="72" t="s">
        <v>105</v>
      </c>
      <c r="C45" s="74">
        <v>20110929</v>
      </c>
      <c r="D45" s="66" t="s">
        <v>549</v>
      </c>
    </row>
    <row r="46" customFormat="1" spans="1:5">
      <c r="A46" s="71">
        <v>45</v>
      </c>
      <c r="B46" s="72" t="s">
        <v>109</v>
      </c>
      <c r="C46" s="74">
        <v>20111205</v>
      </c>
      <c r="D46" s="66"/>
    </row>
    <row r="47" spans="1:5">
      <c r="A47" s="71">
        <v>46</v>
      </c>
      <c r="B47" s="72" t="s">
        <v>110</v>
      </c>
      <c r="C47" s="74">
        <v>20120108</v>
      </c>
      <c r="D47" s="66" t="s">
        <v>550</v>
      </c>
      <c r="E47" t="s">
        <v>544</v>
      </c>
    </row>
    <row r="48" spans="1:5">
      <c r="A48" s="71">
        <v>47</v>
      </c>
      <c r="B48" s="72" t="s">
        <v>112</v>
      </c>
      <c r="C48" s="74">
        <v>20120311</v>
      </c>
      <c r="D48" s="66" t="s">
        <v>551</v>
      </c>
    </row>
    <row r="49" customFormat="1" spans="1:4">
      <c r="A49" s="71">
        <v>48</v>
      </c>
      <c r="B49" s="72" t="s">
        <v>116</v>
      </c>
      <c r="C49" s="74">
        <v>20110902</v>
      </c>
      <c r="D49" s="66"/>
    </row>
    <row r="50" spans="1:4">
      <c r="A50" s="71">
        <v>49</v>
      </c>
      <c r="B50" s="72" t="s">
        <v>117</v>
      </c>
      <c r="C50" s="74">
        <v>20120723</v>
      </c>
      <c r="D50" s="66" t="s">
        <v>552</v>
      </c>
    </row>
    <row r="51" customFormat="1" spans="1:4">
      <c r="A51" s="71">
        <v>50</v>
      </c>
      <c r="B51" s="72" t="s">
        <v>119</v>
      </c>
      <c r="C51" s="74">
        <v>20120101</v>
      </c>
      <c r="D51" s="66"/>
    </row>
    <row r="52" spans="1:4">
      <c r="A52" s="71">
        <v>51</v>
      </c>
      <c r="B52" s="72" t="s">
        <v>120</v>
      </c>
      <c r="C52" s="74">
        <v>20111220</v>
      </c>
      <c r="D52" s="66" t="s">
        <v>553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554</v>
      </c>
      <c r="B1" s="35" t="s">
        <v>555</v>
      </c>
      <c r="C1" s="36" t="s">
        <v>556</v>
      </c>
      <c r="D1" s="37"/>
      <c r="E1" s="38" t="s">
        <v>557</v>
      </c>
    </row>
    <row r="2" s="28" customFormat="1" ht="409" customHeight="1" spans="1:5">
      <c r="A2" s="39" t="s">
        <v>371</v>
      </c>
      <c r="B2" s="40" t="s">
        <v>260</v>
      </c>
      <c r="C2" s="41" t="s">
        <v>558</v>
      </c>
      <c r="D2" s="32" t="s">
        <v>559</v>
      </c>
      <c r="E2" s="33" t="s">
        <v>560</v>
      </c>
    </row>
    <row r="3" s="28" customFormat="1" ht="56" spans="1:5">
      <c r="A3" s="42"/>
      <c r="B3" s="43"/>
      <c r="C3" s="44"/>
      <c r="D3" s="32" t="s">
        <v>561</v>
      </c>
      <c r="E3" s="33" t="s">
        <v>562</v>
      </c>
    </row>
    <row r="4" s="28" customFormat="1" spans="1:5">
      <c r="A4" s="42"/>
      <c r="B4" s="43"/>
      <c r="C4" s="44"/>
      <c r="D4" s="32" t="s">
        <v>563</v>
      </c>
      <c r="E4" s="33" t="s">
        <v>564</v>
      </c>
    </row>
    <row r="5" s="28" customFormat="1" ht="56" spans="1:5">
      <c r="A5" s="42"/>
      <c r="B5" s="43"/>
      <c r="C5" s="44"/>
      <c r="D5" s="32" t="s">
        <v>565</v>
      </c>
      <c r="E5" s="33" t="s">
        <v>566</v>
      </c>
    </row>
    <row r="6" s="28" customFormat="1" ht="238" spans="1:5">
      <c r="A6" s="42"/>
      <c r="B6" s="43"/>
      <c r="C6" s="44"/>
      <c r="D6" s="32" t="s">
        <v>567</v>
      </c>
      <c r="E6" s="33" t="s">
        <v>568</v>
      </c>
    </row>
    <row r="7" s="28" customFormat="1" ht="238" spans="1:5">
      <c r="A7" s="42"/>
      <c r="B7" s="43"/>
      <c r="C7" s="41" t="s">
        <v>569</v>
      </c>
      <c r="D7" s="32" t="s">
        <v>570</v>
      </c>
      <c r="E7" s="33" t="s">
        <v>571</v>
      </c>
    </row>
    <row r="8" s="28" customFormat="1" ht="56" spans="1:5">
      <c r="A8" s="42"/>
      <c r="B8" s="43"/>
      <c r="C8" s="44"/>
      <c r="D8" s="32" t="s">
        <v>572</v>
      </c>
      <c r="E8" s="33" t="s">
        <v>573</v>
      </c>
    </row>
    <row r="9" s="28" customFormat="1" ht="84" spans="1:5">
      <c r="A9" s="42"/>
      <c r="B9" s="43"/>
      <c r="C9" s="44"/>
      <c r="D9" s="32" t="s">
        <v>574</v>
      </c>
      <c r="E9" s="33" t="s">
        <v>575</v>
      </c>
    </row>
    <row r="10" s="28" customFormat="1" ht="28" spans="1:5">
      <c r="A10" s="42"/>
      <c r="B10" s="43"/>
      <c r="C10" s="44"/>
      <c r="D10" s="32" t="s">
        <v>576</v>
      </c>
      <c r="E10" s="33" t="s">
        <v>577</v>
      </c>
    </row>
    <row r="11" s="28" customFormat="1" spans="1:5">
      <c r="A11" s="42"/>
      <c r="B11" s="43"/>
      <c r="C11" s="45"/>
      <c r="D11" s="32" t="s">
        <v>578</v>
      </c>
      <c r="E11" s="33" t="s">
        <v>579</v>
      </c>
    </row>
    <row r="12" s="28" customFormat="1" ht="154" spans="1:5">
      <c r="A12" s="42"/>
      <c r="B12" s="43"/>
      <c r="C12" s="31"/>
      <c r="D12" s="32" t="s">
        <v>580</v>
      </c>
      <c r="E12" s="33" t="s">
        <v>581</v>
      </c>
    </row>
    <row r="13" s="28" customFormat="1" ht="56" spans="1:5">
      <c r="A13" s="42"/>
      <c r="B13" s="43"/>
      <c r="C13" s="46" t="s">
        <v>582</v>
      </c>
      <c r="D13" s="37"/>
      <c r="E13" s="33" t="s">
        <v>583</v>
      </c>
    </row>
    <row r="14" s="28" customFormat="1" ht="84" spans="1:5">
      <c r="A14" s="42"/>
      <c r="B14" s="43"/>
      <c r="C14" s="46" t="s">
        <v>584</v>
      </c>
      <c r="D14" s="37"/>
      <c r="E14" s="33" t="s">
        <v>585</v>
      </c>
    </row>
    <row r="15" s="28" customFormat="1" ht="28" spans="1:5">
      <c r="A15" s="42"/>
      <c r="B15" s="43"/>
      <c r="C15" s="46" t="s">
        <v>586</v>
      </c>
      <c r="D15" s="37"/>
      <c r="E15" s="33" t="s">
        <v>587</v>
      </c>
    </row>
    <row r="16" s="28" customFormat="1" spans="1:5">
      <c r="A16" s="42"/>
      <c r="B16" s="43"/>
      <c r="C16" s="46" t="s">
        <v>588</v>
      </c>
      <c r="D16" s="37"/>
      <c r="E16" s="33"/>
    </row>
    <row r="17" s="28" customFormat="1" spans="1:5">
      <c r="A17" s="42"/>
      <c r="B17" s="43"/>
      <c r="C17" s="46" t="s">
        <v>589</v>
      </c>
      <c r="D17" s="37"/>
      <c r="E17" s="33" t="s">
        <v>590</v>
      </c>
    </row>
    <row r="18" s="28" customFormat="1" spans="1:5">
      <c r="A18" s="42"/>
      <c r="B18" s="43"/>
      <c r="C18" s="41" t="s">
        <v>591</v>
      </c>
      <c r="D18" s="32" t="s">
        <v>592</v>
      </c>
      <c r="E18" s="33" t="s">
        <v>593</v>
      </c>
    </row>
    <row r="19" s="28" customFormat="1" spans="1:5">
      <c r="A19" s="42"/>
      <c r="B19" s="43"/>
      <c r="C19" s="45"/>
      <c r="D19" s="32" t="s">
        <v>594</v>
      </c>
      <c r="E19" s="33" t="s">
        <v>595</v>
      </c>
    </row>
    <row r="20" s="28" customFormat="1" spans="1:5">
      <c r="A20" s="42"/>
      <c r="B20" s="43"/>
      <c r="C20" s="46" t="s">
        <v>596</v>
      </c>
      <c r="D20" s="37"/>
      <c r="E20" s="33"/>
    </row>
    <row r="21" s="28" customFormat="1" spans="1:5">
      <c r="A21" s="42"/>
      <c r="B21" s="43"/>
      <c r="C21" s="46" t="s">
        <v>597</v>
      </c>
      <c r="D21" s="37"/>
      <c r="E21" s="33" t="s">
        <v>598</v>
      </c>
    </row>
    <row r="22" s="28" customFormat="1" ht="28" spans="1:5">
      <c r="A22" s="42"/>
      <c r="B22" s="43"/>
      <c r="C22" s="46" t="s">
        <v>599</v>
      </c>
      <c r="D22" s="47"/>
      <c r="E22" s="33" t="s">
        <v>600</v>
      </c>
    </row>
    <row r="23" s="28" customFormat="1" spans="1:5">
      <c r="A23" s="42"/>
      <c r="B23" s="43"/>
      <c r="C23" s="31" t="s">
        <v>321</v>
      </c>
      <c r="D23" s="31"/>
      <c r="E23" s="33" t="s">
        <v>601</v>
      </c>
    </row>
    <row r="24" s="28" customFormat="1" spans="1:5">
      <c r="A24" s="42"/>
      <c r="B24" s="43"/>
      <c r="C24" s="31" t="s">
        <v>602</v>
      </c>
      <c r="D24" s="31"/>
      <c r="E24" s="33" t="s">
        <v>603</v>
      </c>
    </row>
    <row r="25" s="28" customFormat="1" ht="28" spans="1:5">
      <c r="A25" s="39" t="s">
        <v>369</v>
      </c>
      <c r="B25" s="40" t="s">
        <v>370</v>
      </c>
      <c r="C25" s="44" t="s">
        <v>558</v>
      </c>
      <c r="D25" s="48" t="s">
        <v>604</v>
      </c>
      <c r="E25" s="33" t="s">
        <v>605</v>
      </c>
    </row>
    <row r="26" s="28" customFormat="1" spans="1:5">
      <c r="A26" s="42"/>
      <c r="B26" s="43"/>
      <c r="C26" s="44"/>
      <c r="D26" s="32" t="s">
        <v>606</v>
      </c>
      <c r="E26" s="33" t="s">
        <v>607</v>
      </c>
    </row>
    <row r="27" s="28" customFormat="1" ht="28" spans="1:5">
      <c r="A27" s="42"/>
      <c r="B27" s="43"/>
      <c r="C27" s="44"/>
      <c r="D27" s="32" t="s">
        <v>608</v>
      </c>
      <c r="E27" s="33" t="s">
        <v>609</v>
      </c>
    </row>
    <row r="28" s="28" customFormat="1" ht="42" spans="1:5">
      <c r="A28" s="42"/>
      <c r="B28" s="43"/>
      <c r="C28" s="44"/>
      <c r="D28" s="32" t="s">
        <v>610</v>
      </c>
      <c r="E28" s="33" t="s">
        <v>611</v>
      </c>
    </row>
    <row r="29" s="28" customFormat="1" ht="42" spans="1:5">
      <c r="A29" s="39" t="s">
        <v>365</v>
      </c>
      <c r="B29" s="40" t="s">
        <v>366</v>
      </c>
      <c r="C29" s="41" t="s">
        <v>558</v>
      </c>
      <c r="D29" s="32" t="s">
        <v>559</v>
      </c>
      <c r="E29" s="33" t="s">
        <v>612</v>
      </c>
    </row>
    <row r="30" s="28" customFormat="1" ht="70" spans="1:5">
      <c r="A30" s="42"/>
      <c r="B30" s="43"/>
      <c r="C30" s="44"/>
      <c r="D30" s="32" t="s">
        <v>613</v>
      </c>
      <c r="E30" s="33" t="s">
        <v>614</v>
      </c>
    </row>
    <row r="31" s="28" customFormat="1" spans="1:5">
      <c r="A31" s="42"/>
      <c r="B31" s="43"/>
      <c r="C31" s="44"/>
      <c r="D31" s="32" t="s">
        <v>604</v>
      </c>
      <c r="E31" s="33" t="s">
        <v>615</v>
      </c>
    </row>
    <row r="32" s="28" customFormat="1" ht="28" spans="1:5">
      <c r="A32" s="42"/>
      <c r="B32" s="43"/>
      <c r="C32" s="45"/>
      <c r="D32" s="32" t="s">
        <v>616</v>
      </c>
      <c r="E32" s="33" t="s">
        <v>617</v>
      </c>
    </row>
    <row r="33" s="28" customFormat="1" ht="42" spans="1:5">
      <c r="A33" s="42"/>
      <c r="B33" s="49"/>
      <c r="C33" s="46" t="s">
        <v>569</v>
      </c>
      <c r="D33" s="47"/>
      <c r="E33" s="33" t="s">
        <v>618</v>
      </c>
    </row>
    <row r="34" s="28" customFormat="1" ht="42" spans="1:5">
      <c r="A34" s="42"/>
      <c r="B34" s="50" t="s">
        <v>619</v>
      </c>
      <c r="C34" s="36" t="s">
        <v>569</v>
      </c>
      <c r="D34" s="51"/>
      <c r="E34" s="52" t="s">
        <v>620</v>
      </c>
    </row>
    <row r="35" s="28" customFormat="1" ht="42" spans="1:5">
      <c r="A35" s="53"/>
      <c r="B35" s="54"/>
      <c r="C35" s="36" t="s">
        <v>558</v>
      </c>
      <c r="D35" s="51"/>
      <c r="E35" s="52" t="s">
        <v>621</v>
      </c>
    </row>
    <row r="36" s="28" customFormat="1" spans="1:5">
      <c r="A36" s="39" t="s">
        <v>372</v>
      </c>
      <c r="B36" s="55" t="s">
        <v>622</v>
      </c>
      <c r="C36" s="56"/>
      <c r="D36" s="57"/>
      <c r="E36" s="52" t="s">
        <v>140</v>
      </c>
    </row>
    <row r="37" s="28" customFormat="1" spans="1:5">
      <c r="A37" s="53"/>
      <c r="B37" s="58" t="s">
        <v>623</v>
      </c>
      <c r="C37" s="59"/>
      <c r="D37" s="60"/>
      <c r="E37" s="33" t="s">
        <v>624</v>
      </c>
    </row>
    <row r="38" s="28" customFormat="1" spans="1:5">
      <c r="A38" s="29" t="s">
        <v>373</v>
      </c>
      <c r="B38" s="58" t="s">
        <v>625</v>
      </c>
      <c r="C38" s="59"/>
      <c r="D38" s="60"/>
      <c r="E38" s="33" t="s">
        <v>626</v>
      </c>
    </row>
    <row r="39" s="28" customFormat="1" spans="1:5">
      <c r="A39" s="39" t="s">
        <v>375</v>
      </c>
      <c r="B39" s="40" t="s">
        <v>627</v>
      </c>
      <c r="C39" s="41" t="s">
        <v>558</v>
      </c>
      <c r="D39" s="32" t="s">
        <v>628</v>
      </c>
      <c r="E39" s="33" t="s">
        <v>629</v>
      </c>
    </row>
    <row r="40" s="28" customFormat="1" spans="1:5">
      <c r="A40" s="42"/>
      <c r="B40" s="43"/>
      <c r="C40" s="45"/>
      <c r="D40" s="32" t="s">
        <v>630</v>
      </c>
      <c r="E40" s="33" t="s">
        <v>631</v>
      </c>
    </row>
    <row r="41" s="28" customFormat="1" spans="1:5">
      <c r="A41" s="42"/>
      <c r="B41" s="43"/>
      <c r="C41" s="46" t="s">
        <v>632</v>
      </c>
      <c r="D41" s="47"/>
      <c r="E41" s="33" t="s">
        <v>633</v>
      </c>
    </row>
    <row r="42" s="28" customFormat="1" spans="1:5">
      <c r="A42" s="53"/>
      <c r="B42" s="49"/>
      <c r="C42" s="46" t="s">
        <v>569</v>
      </c>
      <c r="D42" s="47"/>
      <c r="E42" s="33" t="s">
        <v>634</v>
      </c>
    </row>
    <row r="43" s="28" customFormat="1" spans="1:5">
      <c r="A43" s="39" t="s">
        <v>377</v>
      </c>
      <c r="B43" s="50" t="s">
        <v>625</v>
      </c>
      <c r="C43" s="61" t="s">
        <v>635</v>
      </c>
      <c r="D43" s="62"/>
      <c r="E43" s="52" t="s">
        <v>636</v>
      </c>
    </row>
    <row r="44" s="28" customFormat="1" ht="28" spans="1:5">
      <c r="A44" s="42"/>
      <c r="B44" s="54"/>
      <c r="C44" s="61" t="s">
        <v>610</v>
      </c>
      <c r="D44" s="62"/>
      <c r="E44" s="52" t="s">
        <v>637</v>
      </c>
    </row>
    <row r="45" s="28" customFormat="1" spans="1:5">
      <c r="A45" s="53"/>
      <c r="B45" s="58" t="s">
        <v>638</v>
      </c>
      <c r="C45" s="59"/>
      <c r="D45" s="60"/>
      <c r="E45" s="33" t="s">
        <v>159</v>
      </c>
    </row>
    <row r="46" s="28" customFormat="1" spans="1:5">
      <c r="A46" s="39" t="s">
        <v>385</v>
      </c>
      <c r="B46" s="40" t="s">
        <v>639</v>
      </c>
      <c r="C46" s="41" t="s">
        <v>558</v>
      </c>
      <c r="D46" s="32" t="s">
        <v>640</v>
      </c>
      <c r="E46" s="33"/>
    </row>
    <row r="47" s="28" customFormat="1" spans="1:5">
      <c r="A47" s="42"/>
      <c r="B47" s="43"/>
      <c r="C47" s="44"/>
      <c r="D47" s="32" t="s">
        <v>641</v>
      </c>
      <c r="E47" s="33"/>
    </row>
    <row r="48" s="28" customFormat="1" spans="1:5">
      <c r="A48" s="53"/>
      <c r="B48" s="49"/>
      <c r="C48" s="45"/>
      <c r="D48" s="32" t="s">
        <v>610</v>
      </c>
      <c r="E48" s="33" t="s">
        <v>642</v>
      </c>
    </row>
    <row r="49" s="28" customFormat="1" spans="1:5">
      <c r="A49" s="29" t="s">
        <v>379</v>
      </c>
      <c r="B49" s="58" t="s">
        <v>380</v>
      </c>
      <c r="C49" s="59"/>
      <c r="D49" s="60"/>
      <c r="E49" s="33" t="s">
        <v>643</v>
      </c>
    </row>
    <row r="50" s="28" customFormat="1" spans="1:5">
      <c r="A50" s="39" t="s">
        <v>381</v>
      </c>
      <c r="B50" s="58" t="s">
        <v>625</v>
      </c>
      <c r="C50" s="59"/>
      <c r="D50" s="60"/>
      <c r="E50" s="33" t="s">
        <v>644</v>
      </c>
    </row>
    <row r="51" s="28" customFormat="1" spans="1:5">
      <c r="A51" s="53"/>
      <c r="B51" s="58" t="s">
        <v>625</v>
      </c>
      <c r="C51" s="59"/>
      <c r="D51" s="60"/>
      <c r="E51" s="33" t="s">
        <v>172</v>
      </c>
    </row>
    <row r="52" s="28" customFormat="1" spans="1:5">
      <c r="A52" s="29" t="s">
        <v>384</v>
      </c>
      <c r="B52" s="58" t="s">
        <v>625</v>
      </c>
      <c r="C52" s="59"/>
      <c r="D52" s="60"/>
      <c r="E52" s="33"/>
    </row>
    <row r="53" s="28" customFormat="1" spans="1:5">
      <c r="A53" s="39" t="s">
        <v>645</v>
      </c>
      <c r="B53" s="58" t="s">
        <v>625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646</v>
      </c>
    </row>
    <row r="55" s="28" customFormat="1" spans="1:5">
      <c r="A55" s="29" t="s">
        <v>386</v>
      </c>
      <c r="B55" s="30"/>
      <c r="C55" s="31"/>
      <c r="D55" s="32"/>
      <c r="E55" s="33" t="s">
        <v>647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648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649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650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651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652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653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654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655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656</v>
      </c>
      <c r="C20" s="9" t="s">
        <v>657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658</v>
      </c>
      <c r="C21" s="9" t="s">
        <v>659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660</v>
      </c>
      <c r="C23" s="9"/>
      <c r="D23" s="10"/>
      <c r="E23" s="11"/>
      <c r="F23" s="12"/>
      <c r="G23" s="13"/>
    </row>
    <row r="24" s="6" customFormat="1" ht="70" spans="1:7">
      <c r="A24" s="14" t="s">
        <v>55</v>
      </c>
      <c r="B24" s="23" t="s">
        <v>661</v>
      </c>
      <c r="C24" s="22" t="s">
        <v>662</v>
      </c>
      <c r="D24" s="10"/>
      <c r="E24" s="11"/>
      <c r="F24" s="12"/>
      <c r="G24" s="13"/>
    </row>
    <row r="25" s="6" customFormat="1" spans="1:7">
      <c r="A25" s="14" t="s">
        <v>59</v>
      </c>
      <c r="B25" s="8"/>
      <c r="C25" s="9"/>
      <c r="D25" s="10"/>
      <c r="E25" s="11"/>
      <c r="F25" s="12"/>
      <c r="G25" s="13"/>
    </row>
    <row r="26" s="6" customFormat="1" spans="1:7">
      <c r="A26" s="14" t="s">
        <v>60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61</v>
      </c>
      <c r="B27" s="8" t="s">
        <v>663</v>
      </c>
      <c r="C27" s="22" t="s">
        <v>664</v>
      </c>
      <c r="D27" s="10"/>
      <c r="E27" s="11"/>
      <c r="F27" s="12"/>
      <c r="G27" s="13"/>
    </row>
    <row r="28" s="6" customFormat="1" ht="409" customHeight="1" spans="1:7">
      <c r="A28" s="14" t="s">
        <v>64</v>
      </c>
      <c r="B28" s="8" t="s">
        <v>665</v>
      </c>
      <c r="C28" s="22" t="s">
        <v>666</v>
      </c>
      <c r="D28" s="10"/>
      <c r="E28" s="11"/>
      <c r="F28" s="12"/>
      <c r="G28" s="13"/>
    </row>
    <row r="29" s="6" customFormat="1" spans="1:7">
      <c r="A29" s="14" t="s">
        <v>69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70</v>
      </c>
      <c r="B30" s="8"/>
      <c r="C30" s="22" t="s">
        <v>667</v>
      </c>
      <c r="D30" s="10"/>
      <c r="E30" s="11"/>
      <c r="F30" s="12"/>
      <c r="G30" s="13"/>
    </row>
    <row r="31" s="6" customFormat="1" spans="1:7">
      <c r="A31" s="14" t="s">
        <v>73</v>
      </c>
      <c r="B31" s="8"/>
      <c r="C31" s="9"/>
      <c r="D31" s="10"/>
      <c r="E31" s="11"/>
      <c r="F31" s="12"/>
      <c r="G31" s="13"/>
    </row>
    <row r="32" s="6" customFormat="1" spans="1:7">
      <c r="A32" s="14" t="s">
        <v>74</v>
      </c>
      <c r="B32" s="8"/>
      <c r="C32" s="9"/>
      <c r="D32" s="10"/>
      <c r="E32" s="11"/>
      <c r="F32" s="12"/>
      <c r="G32" s="13"/>
    </row>
    <row r="33" s="6" customFormat="1" spans="1:7">
      <c r="A33" s="14" t="s">
        <v>75</v>
      </c>
      <c r="B33" s="8"/>
      <c r="C33" s="9"/>
      <c r="D33" s="10"/>
      <c r="E33" s="11"/>
      <c r="F33" s="12"/>
      <c r="G33" s="13"/>
    </row>
    <row r="34" s="6" customFormat="1" spans="1:7">
      <c r="A34" s="14" t="s">
        <v>76</v>
      </c>
      <c r="B34" s="8"/>
      <c r="C34" s="9"/>
      <c r="D34" s="10"/>
      <c r="E34" s="11"/>
      <c r="F34" s="12"/>
      <c r="G34" s="13"/>
    </row>
    <row r="35" s="6" customFormat="1" spans="1:7">
      <c r="A35" s="14" t="s">
        <v>77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78</v>
      </c>
      <c r="B36" s="23" t="s">
        <v>668</v>
      </c>
      <c r="C36" s="9"/>
      <c r="D36" s="10"/>
      <c r="E36" s="11"/>
      <c r="F36" s="12"/>
      <c r="G36" s="13"/>
    </row>
    <row r="37" s="6" customFormat="1" ht="126" spans="1:7">
      <c r="A37" s="14" t="s">
        <v>80</v>
      </c>
      <c r="B37" s="8"/>
      <c r="C37" s="22" t="s">
        <v>669</v>
      </c>
      <c r="D37" s="10"/>
      <c r="E37" s="11"/>
      <c r="F37" s="12"/>
      <c r="G37" s="13"/>
    </row>
    <row r="38" s="6" customFormat="1" ht="28" spans="1:7">
      <c r="A38" s="14" t="s">
        <v>83</v>
      </c>
      <c r="B38" s="24" t="s">
        <v>670</v>
      </c>
      <c r="C38" s="25"/>
      <c r="D38" s="26"/>
      <c r="E38" s="26"/>
      <c r="F38" s="26"/>
      <c r="G38" s="26"/>
    </row>
    <row r="39" s="6" customFormat="1" ht="42" spans="1:7">
      <c r="A39" s="14" t="s">
        <v>85</v>
      </c>
      <c r="B39" s="8"/>
      <c r="C39" s="22" t="s">
        <v>671</v>
      </c>
      <c r="D39" s="10"/>
      <c r="E39" s="11"/>
      <c r="F39" s="12"/>
      <c r="G39" s="13"/>
    </row>
    <row r="40" s="6" customFormat="1" spans="1:7">
      <c r="A40" s="14" t="s">
        <v>88</v>
      </c>
      <c r="B40" s="23" t="s">
        <v>672</v>
      </c>
      <c r="C40" s="22" t="s">
        <v>673</v>
      </c>
      <c r="D40" s="10"/>
      <c r="E40" s="11"/>
      <c r="F40" s="12"/>
      <c r="G40" s="13"/>
    </row>
    <row r="41" s="6" customFormat="1" ht="126" spans="1:7">
      <c r="A41" s="14" t="s">
        <v>92</v>
      </c>
      <c r="B41" s="8"/>
      <c r="C41" s="22" t="s">
        <v>674</v>
      </c>
      <c r="D41" s="10"/>
      <c r="E41" s="11"/>
      <c r="F41" s="12"/>
      <c r="G41" s="13"/>
    </row>
    <row r="42" s="6" customFormat="1" spans="1:7">
      <c r="A42" s="14" t="s">
        <v>99</v>
      </c>
      <c r="B42" s="8"/>
      <c r="C42" s="9"/>
      <c r="D42" s="10"/>
      <c r="E42" s="11"/>
      <c r="F42" s="12"/>
      <c r="G42" s="13"/>
    </row>
    <row r="43" s="6" customFormat="1" spans="1:7">
      <c r="A43" s="14" t="s">
        <v>100</v>
      </c>
      <c r="B43" s="23" t="s">
        <v>675</v>
      </c>
      <c r="C43" s="9"/>
      <c r="D43" s="10"/>
      <c r="E43" s="11"/>
      <c r="F43" s="12"/>
      <c r="G43" s="13"/>
    </row>
    <row r="44" s="6" customFormat="1" spans="1:7">
      <c r="A44" s="14" t="s">
        <v>103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105</v>
      </c>
      <c r="B45" s="8" t="s">
        <v>676</v>
      </c>
      <c r="C45" s="9"/>
      <c r="D45" s="10"/>
      <c r="E45" s="11"/>
      <c r="F45" s="12"/>
      <c r="G45" s="13"/>
    </row>
    <row r="46" s="6" customFormat="1" spans="1:7">
      <c r="A46" s="14" t="s">
        <v>109</v>
      </c>
      <c r="B46" s="8"/>
      <c r="C46" s="9"/>
      <c r="D46" s="10"/>
      <c r="E46" s="11"/>
      <c r="F46" s="12"/>
      <c r="G46" s="13"/>
    </row>
    <row r="47" s="6" customFormat="1" spans="1:7">
      <c r="A47" s="14" t="s">
        <v>110</v>
      </c>
      <c r="B47" s="8"/>
      <c r="C47" s="9"/>
      <c r="D47" s="10"/>
      <c r="E47" s="11"/>
      <c r="F47" s="12"/>
      <c r="G47" s="13"/>
    </row>
    <row r="48" s="6" customFormat="1" spans="1:7">
      <c r="A48" s="14" t="s">
        <v>112</v>
      </c>
      <c r="B48" s="8"/>
      <c r="C48" s="22" t="s">
        <v>677</v>
      </c>
      <c r="D48" s="10"/>
      <c r="E48" s="11"/>
      <c r="F48" s="12"/>
      <c r="G48" s="13"/>
    </row>
    <row r="49" s="6" customFormat="1" spans="1:7">
      <c r="A49" s="14" t="s">
        <v>116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117</v>
      </c>
      <c r="B50" s="8"/>
      <c r="C50" s="22" t="s">
        <v>678</v>
      </c>
      <c r="D50" s="10"/>
      <c r="E50" s="11"/>
      <c r="F50" s="12"/>
      <c r="G50" s="13"/>
    </row>
    <row r="51" s="6" customFormat="1" spans="1:7">
      <c r="A51" s="14" t="s">
        <v>119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120</v>
      </c>
      <c r="B52" s="8" t="s">
        <v>679</v>
      </c>
      <c r="C52" s="22" t="s">
        <v>680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681</v>
      </c>
      <c r="C1" s="3" t="s">
        <v>682</v>
      </c>
      <c r="E1" s="3" t="s">
        <v>500</v>
      </c>
      <c r="F1" s="3" t="s">
        <v>683</v>
      </c>
    </row>
    <row r="2" spans="2:6">
      <c r="B2" s="4" t="s">
        <v>684</v>
      </c>
      <c r="C2" s="4">
        <v>13</v>
      </c>
      <c r="E2" s="4" t="s">
        <v>685</v>
      </c>
      <c r="F2" s="4">
        <v>6</v>
      </c>
    </row>
    <row r="3" spans="2:6">
      <c r="B3" s="4" t="s">
        <v>686</v>
      </c>
      <c r="C3" s="4">
        <v>13</v>
      </c>
      <c r="E3" s="4" t="s">
        <v>687</v>
      </c>
      <c r="F3" s="4">
        <v>13</v>
      </c>
    </row>
    <row r="4" spans="2:6">
      <c r="B4" s="4" t="s">
        <v>688</v>
      </c>
      <c r="C4" s="4">
        <v>12</v>
      </c>
      <c r="E4" s="4" t="s">
        <v>555</v>
      </c>
      <c r="F4" s="4">
        <v>4</v>
      </c>
    </row>
    <row r="5" spans="2:6">
      <c r="B5" s="4" t="s">
        <v>689</v>
      </c>
      <c r="C5" s="4">
        <v>2</v>
      </c>
      <c r="E5" s="4" t="s">
        <v>690</v>
      </c>
      <c r="F5" s="4">
        <v>6</v>
      </c>
    </row>
    <row r="6" spans="2:6">
      <c r="B6" s="4" t="s">
        <v>691</v>
      </c>
      <c r="C6" s="4">
        <v>2</v>
      </c>
      <c r="E6" s="4" t="s">
        <v>692</v>
      </c>
      <c r="F6" s="4">
        <v>4</v>
      </c>
    </row>
    <row r="7" spans="2:6">
      <c r="B7" s="4" t="s">
        <v>693</v>
      </c>
      <c r="C7" s="4">
        <v>1</v>
      </c>
      <c r="E7" s="4" t="s">
        <v>694</v>
      </c>
      <c r="F7" s="4">
        <v>1</v>
      </c>
    </row>
    <row r="8" spans="2:6">
      <c r="B8" s="4" t="s">
        <v>695</v>
      </c>
      <c r="C8" s="4">
        <v>4</v>
      </c>
      <c r="E8" s="4" t="s">
        <v>696</v>
      </c>
      <c r="F8" s="4">
        <v>3</v>
      </c>
    </row>
    <row r="9" spans="2:6">
      <c r="E9" s="4" t="s">
        <v>697</v>
      </c>
      <c r="F9" s="4">
        <v>1</v>
      </c>
    </row>
    <row r="10" spans="2:6">
      <c r="E10" s="4" t="s">
        <v>698</v>
      </c>
      <c r="F10" s="4">
        <v>5</v>
      </c>
    </row>
    <row r="11" spans="2:6">
      <c r="E11" s="4" t="s">
        <v>699</v>
      </c>
      <c r="F11" s="4">
        <v>1</v>
      </c>
    </row>
    <row r="12" spans="2:6">
      <c r="E12" s="4" t="s">
        <v>695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2026-04-01T12:40:12Z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