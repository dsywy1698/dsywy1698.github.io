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2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<sst xmlns="http://schemas.openxmlformats.org/spreadsheetml/2006/main" count="1053" uniqueCount="665">
  <si>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</si>
  <si>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</si>
  <si>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</si>
  <si>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</si>
  <si>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</si>
  <si>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</si>
  <si>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</si>
  <si>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</si>
  <si>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</si>
  <si>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</si>
  <si>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</si>
  <si>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</si>
  <si>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</si>
  <si>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</si>
  <si>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</si>
  <si>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</si>
  <si>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</si>
  <si>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</si>
  <si>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</si>
  <si>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</si>
  <si>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</si>
  <si>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</si>
  <si>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</si>
  <si>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</si>
  <si>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</si>
  <si>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</si>
  <si>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</si>
  <si>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</si>
  <si>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</si>
  <si>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</si>
  <si>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</si>
  <si>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</si>
  <si>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</si>
  <si>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</si>
  <si>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</si>
  <si>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</si>
  <si>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</si>
  <si>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</si>
  <si>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</si>
  <si>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</si>
  <si>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</si>
  <si>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</si>
  <si>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</si>
  <si>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</si>
  <si>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</si>
  <si>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</si>
  <si>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</si>
  <si>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</si>
  <si>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</si>
  <si>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</si>
  <si>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</si>
  <si>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</si>
  <si>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</si>
  <si>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</si>
  <si>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</si>
  <si>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</si>
  <si>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</si>
  <si>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</si>
  <si>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</si>
  <si>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</si>
  <si>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</si>
  <si>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</si>
  <si>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</si>
  <si>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</si>
  <si>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</si>
  <si>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</si>
  <si>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</si>
  <si>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</si>
  <si>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</si>
  <si>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</si>
  <si>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</si>
  <si>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</si>
  <si>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</si>
  <si>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</si>
  <si>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</si>
  <si>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</si>
  <si>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</si>
  <si>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</si>
  <si>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</si>
  <si>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</si>
  <si>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</si>
  <si>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</si>
  <si>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</si>
  <si>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</si>
  <si>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</si>
  <si>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</si>
  <si>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</si>
  <si>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</si>
  <si>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</si>
  <si>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</si>
  <si>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</si>
  <si>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</si>
  <si>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</si>
  <si>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</si>
  <si>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</si>
  <si>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</si>
  <si>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</si>
  <si>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</si>
  <si>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</si>
  <si>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</si>
  <si>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</si>
  <si>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</si>
  <si>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</si>
  <si>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</si>
  <si>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</si>
  <si>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</si>
  <si>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</si>
  <si>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</si>
  <si>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</si>
  <si>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</si>
  <si>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</si>
  <si>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</si>
  <si>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</si>
  <si>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</si>
  <si>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</si>
  <si>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</si>
  <si>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</si>
  <si>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</si>
  <si>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</si>
  <si>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</si>
  <si>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</si>
  <si>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</si>
  <si>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</si>
  <si>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</si>
  <si>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</si>
  <si>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</si>
  <si>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</si>
  <si>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</si>
  <si>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</si>
  <si>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</si>
  <si>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</si>
  <si>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</si>
  <si>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</si>
  <si>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</si>
  <si>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</si>
  <si>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</si>
  <si>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</si>
  <si>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</si>
  <si>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</si>
  <si>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</si>
  <si>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</si>
  <si>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</si>
  <si>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</si>
  <si>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</si>
  <si>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</si>
  <si>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</si>
  <si>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</si>
  <si>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</si>
  <si>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</si>
  <si>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</si>
  <si>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</si>
  <si>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</si>
  <si>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</si>
  <si>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</si>
  <si>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</si>
  <si>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</si>
  <si>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</si>
  <si>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</si>
  <si>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</si>
  <si>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</si>
  <si>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</si>
  <si>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</si>
  <si>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</si>
  <si>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</si>
  <si>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</si>
  <si>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</si>
  <si>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</si>
  <si>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</si>
  <si>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</si>
  <si>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</si>
  <si>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</si>
  <si>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</si>
  <si>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</si>
  <si>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</si>
  <si>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</si>
  <si>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</si>
  <si>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</si>
  <si>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</si>
  <si>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</si>
  <si>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</si>
  <si>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</si>
  <si>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</si>
  <si>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</si>
  <si>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</si>
  <si>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</si>
  <si>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</si>
  <si>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</si>
  <si>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</si>
  <si>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</si>
  <si>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</si>
  <si>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</si>
  <si>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</si>
  <si>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</si>
  <si>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</si>
  <si>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</si>
  <si>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</si>
  <si>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</si>
  <si>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</si>
  <si>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</si>
  <si>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</si>
  <si>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</si>
  <si>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</si>
  <si>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</si>
  <si>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</si>
  <si>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</si>
  <si>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</si>
  <si>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</si>
  <si>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</si>
  <si>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</si>
  <si>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</si>
  <si>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</si>
  <si>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</si>
  <si>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</si>
  <si>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</si>
  <si>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</si>
  <si>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</si>
  <si>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</si>
  <si>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</si>
  <si>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</si>
  <si>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</si>
  <si>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</si>
  <si>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</si>
  <si>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</si>
  <si>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</si>
  <si>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</si>
  <si>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</si>
  <si>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</si>
  <si>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</si>
  <si>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</si>
  <si>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</si>
  <si>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</si>
  <si>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</si>
  <si>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</si>
  <si>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</si>
  <si>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</si>
  <si>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</si>
  <si>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</si>
  <si>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</si>
  <si>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</si>
  <si>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</si>
  <si>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</si>
  <si>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</si>
  <si>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</si>
  <si>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</si>
  <si>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</si>
  <si>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</si>
  <si>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</si>
  <si>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</si>
  <si>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</si>
  <si>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</si>
  <si>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</si>
  <si>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</si>
  <si>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</si>
  <si>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</si>
  <si>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</si>
  <si>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</si>
  <si>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</si>
  <si>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</si>
  <si>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</si>
  <si>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</si>
  <si>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</si>
  <si>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</si>
  <si>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</si>
  <si>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</si>
  <si>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</si>
  <si>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</si>
  <si>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</si>
  <si>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</si>
  <si>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</si>
  <si>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</si>
  <si>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</si>
  <si>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</si>
  <si>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</si>
  <si>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</si>
  <si>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</si>
  <si>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</si>
  <si>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</si>
  <si>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</si>
  <si>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</si>
  <si>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</si>
  <si>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</si>
  <si>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</si>
  <si>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</si>
  <si>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</si>
  <si>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</si>
  <si>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</si>
  <si>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</si>
  <si>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</si>
  <si>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</si>
  <si>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</si>
  <si>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</si>
  <si>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</si>
  <si>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</si>
  <si>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</si>
  <si>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</si>
  <si>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</si>
  <si>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</si>
  <si>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</si>
  <si>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八下3.17</t>
  </si>
  <si>
    <t>郑致辰！冷静一下！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</si>
  <si>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</si>
  <si>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</si>
  <si>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</si>
  <si>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</si>
  <si>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</si>
  <si>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</si>
  <si>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</si>
  <si>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</si>
  <si>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</si>
  <si>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</si>
  <si>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</si>
  <si>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</si>
  <si>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</si>
  <si>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</si>
  <si>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</si>
  <si>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</si>
  <si>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</si>
  <si>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</si>
  <si>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</si>
  <si>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</si>
  <si>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</si>
  <si>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</si>
  <si>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</si>
  <si>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</si>
  <si>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</si>
  <si>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</si>
  <si>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</si>
  <si>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</si>
  <si>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</si>
  <si>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</si>
  <si>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r>
      <rPr>
        <b/>
        <sz val="14"/>
        <rFont val="黑体"/>
        <charset val="134"/>
      </rPr>
      <t>数学课情人记录</t>
    </r>
    <r>
      <rPr>
        <sz val="11"/>
        <rFont val="黑体"/>
        <charset val="134"/>
      </rPr>
      <t xml:space="preserve">
起立回答问题、主动起立回答问题、上台写题目均为有效数据。</t>
    </r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</si>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</sst>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6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华文仿宋"/>
      <charset val="134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41" fontId="30" fillId="0" borderId="0" applyFont="0" applyFill="0" applyBorder="0" applyAlignment="0" applyProtection="0">
      <alignment vertical="center"/>
    </xf>
    <xf numFmtId="42" fontId="3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26" borderId="17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27" borderId="20" applyNumberFormat="0" applyAlignment="0" applyProtection="0">
      <alignment vertical="center"/>
    </xf>
    <xf numFmtId="0" fontId="40" fillId="28" borderId="21" applyNumberFormat="0" applyAlignment="0" applyProtection="0">
      <alignment vertical="center"/>
    </xf>
    <xf numFmtId="0" fontId="41" fillId="28" borderId="20" applyNumberFormat="0" applyAlignment="0" applyProtection="0">
      <alignment vertical="center"/>
    </xf>
    <xf numFmtId="0" fontId="42" fillId="29" borderId="22" applyNumberFormat="0" applyAlignment="0" applyProtection="0">
      <alignment vertical="center"/>
    </xf>
    <xf numFmtId="0" fontId="43" fillId="0" borderId="23" applyNumberFormat="0" applyFill="0" applyAlignment="0" applyProtection="0">
      <alignment vertical="center"/>
    </xf>
    <xf numFmtId="0" fontId="44" fillId="0" borderId="24" applyNumberFormat="0" applyFill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49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9" fillId="46" borderId="0" applyNumberFormat="0" applyBorder="0" applyAlignment="0" applyProtection="0">
      <alignment vertical="center"/>
    </xf>
    <xf numFmtId="0" fontId="49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9" fillId="50" borderId="0" applyNumberFormat="0" applyBorder="0" applyAlignment="0" applyProtection="0">
      <alignment vertical="center"/>
    </xf>
    <xf numFmtId="0" fontId="49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9" fillId="54" borderId="0" applyNumberFormat="0" applyBorder="0" applyAlignment="0" applyProtection="0">
      <alignment vertical="center"/>
    </xf>
    <xf numFmtId="0" fontId="49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50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left" vertical="center" wrapText="1"/>
    </xf>
    <xf numFmtId="0" fontId="1" fillId="23" borderId="15" xfId="0" applyFont="1" applyFill="1" applyBorder="1" applyAlignment="1" applyProtection="1">
      <alignment horizontal="left" vertical="center" wrapText="1"/>
    </xf>
    <xf numFmtId="0" fontId="1" fillId="23" borderId="9" xfId="0" applyFont="1" applyFill="1" applyBorder="1" applyAlignment="1" applyProtection="1">
      <alignment horizontal="left" vertical="center" wrapText="1"/>
    </xf>
    <xf numFmtId="0" fontId="1" fillId="23" borderId="16" xfId="0" applyFont="1" applyFill="1" applyBorder="1" applyAlignment="1" applyProtection="1">
      <alignment horizontal="left" vertical="center" wrapText="1"/>
    </xf>
    <xf numFmtId="0" fontId="1" fillId="23" borderId="14" xfId="0" applyFont="1" applyFill="1" applyBorder="1" applyAlignment="1" applyProtection="1">
      <alignment horizontal="left" vertical="center" wrapText="1"/>
    </xf>
    <xf numFmtId="0" fontId="1" fillId="23" borderId="13" xfId="0" applyFont="1" applyFill="1" applyBorder="1" applyAlignment="1" applyProtection="1">
      <alignment horizontal="left" vertical="center" wrapText="1"/>
    </xf>
    <xf numFmtId="0" fontId="27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7" fillId="11" borderId="2" xfId="0" applyFont="1" applyFill="1" applyBorder="1" applyAlignment="1">
      <alignment horizontal="center" vertical="center"/>
    </xf>
    <xf numFmtId="0" fontId="27" fillId="11" borderId="7" xfId="0" applyFont="1" applyFill="1" applyBorder="1" applyAlignment="1">
      <alignment horizontal="center" vertical="center"/>
    </xf>
    <xf numFmtId="0" fontId="27" fillId="11" borderId="3" xfId="0" applyFont="1" applyFill="1" applyBorder="1" applyAlignment="1">
      <alignment horizontal="center" vertical="center"/>
    </xf>
    <xf numFmtId="0" fontId="27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7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8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9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21" workbookViewId="0">
      <selection activeCell="F36" sqref="F36"/>
    </sheetView>
  </sheetViews>
  <sheetFormatPr defaultColWidth="8.72727272727273" defaultRowHeight="14"/>
  <cols>
    <col min="1" max="1" width="7.59090909090909" style="231" customWidth="1"/>
    <col min="2" max="7" width="25.8727272727273" style="232" customWidth="1"/>
    <col min="8" max="10" width="16.6818181818182" style="233" customWidth="1"/>
    <col min="11" max="16384" width="8.72727272727273" style="234"/>
  </cols>
  <sheetData>
    <row r="1" s="230" customFormat="1" spans="1:10">
      <c r="A1" s="235" t="s">
        <v>0</v>
      </c>
      <c r="B1" s="236" t="s">
        <v>1</v>
      </c>
      <c r="C1" s="236" t="s">
        <v>2</v>
      </c>
      <c r="D1" s="236" t="s">
        <v>3</v>
      </c>
      <c r="E1" s="236" t="s">
        <v>4</v>
      </c>
      <c r="F1" s="236" t="s">
        <v>5</v>
      </c>
      <c r="G1" s="236" t="s">
        <v>6</v>
      </c>
      <c r="H1" s="237"/>
      <c r="I1" s="237"/>
      <c r="J1" s="237"/>
    </row>
    <row r="2" spans="1:10">
      <c r="A2" s="238" t="s">
        <v>7</v>
      </c>
      <c r="B2" s="232" t="s">
        <v>8</v>
      </c>
      <c r="C2" s="232" t="s">
        <v>9</v>
      </c>
    </row>
    <row r="3" ht="52" spans="1:10">
      <c r="A3" s="238" t="s">
        <v>10</v>
      </c>
      <c r="C3" s="232" t="s">
        <v>11</v>
      </c>
      <c r="D3" s="232" t="s">
        <v>12</v>
      </c>
    </row>
    <row r="4" ht="26" spans="1:10">
      <c r="A4" s="238" t="s">
        <v>13</v>
      </c>
      <c r="D4" s="232" t="s">
        <v>14</v>
      </c>
    </row>
    <row r="5" spans="1:10">
      <c r="A5" s="238" t="s">
        <v>15</v>
      </c>
      <c r="C5" s="232" t="s">
        <v>16</v>
      </c>
      <c r="D5" s="232" t="s">
        <v>17</v>
      </c>
    </row>
    <row r="6" spans="1:10">
      <c r="A6" s="238" t="s">
        <v>18</v>
      </c>
      <c r="C6" s="232" t="s">
        <v>19</v>
      </c>
    </row>
    <row r="7" ht="221" spans="1:10">
      <c r="A7" s="238" t="s">
        <v>20</v>
      </c>
      <c r="B7" s="232" t="s">
        <v>21</v>
      </c>
      <c r="C7" s="232" t="s">
        <v>22</v>
      </c>
      <c r="D7" s="232" t="s">
        <v>23</v>
      </c>
    </row>
    <row r="8" ht="26" spans="1:10">
      <c r="A8" s="238" t="s">
        <v>24</v>
      </c>
      <c r="D8" s="232" t="s">
        <v>25</v>
      </c>
    </row>
    <row r="9" spans="1:10">
      <c r="A9" s="238" t="s">
        <v>26</v>
      </c>
    </row>
    <row r="10" spans="1:10">
      <c r="A10" s="238" t="s">
        <v>27</v>
      </c>
      <c r="B10" s="232" t="s">
        <v>28</v>
      </c>
    </row>
    <row r="11" spans="1:10">
      <c r="A11" s="238" t="s">
        <v>29</v>
      </c>
    </row>
    <row r="12" spans="1:10">
      <c r="A12" s="238" t="s">
        <v>30</v>
      </c>
    </row>
    <row r="13" ht="39" spans="1:10">
      <c r="A13" s="238" t="s">
        <v>31</v>
      </c>
      <c r="D13" s="232" t="s">
        <v>32</v>
      </c>
    </row>
    <row r="14" spans="1:10">
      <c r="A14" s="238" t="s">
        <v>33</v>
      </c>
      <c r="B14" s="232" t="s">
        <v>34</v>
      </c>
    </row>
    <row r="15" spans="1:10">
      <c r="A15" s="238" t="s">
        <v>35</v>
      </c>
    </row>
    <row r="16" spans="1:10">
      <c r="A16" s="238" t="s">
        <v>36</v>
      </c>
      <c r="C16" s="232" t="s">
        <v>37</v>
      </c>
    </row>
    <row r="17" ht="26" spans="1:5">
      <c r="A17" s="238" t="s">
        <v>38</v>
      </c>
      <c r="C17" s="232" t="s">
        <v>39</v>
      </c>
    </row>
    <row r="18" spans="1:5">
      <c r="A18" s="238" t="s">
        <v>40</v>
      </c>
      <c r="D18" s="232" t="s">
        <v>41</v>
      </c>
    </row>
    <row r="19" ht="26" spans="1:5">
      <c r="A19" s="238" t="s">
        <v>42</v>
      </c>
      <c r="D19" s="232" t="s">
        <v>43</v>
      </c>
    </row>
    <row r="20" ht="26" spans="1:5">
      <c r="A20" s="238" t="s">
        <v>44</v>
      </c>
      <c r="B20" s="232" t="s">
        <v>45</v>
      </c>
      <c r="C20" s="232" t="s">
        <v>46</v>
      </c>
    </row>
    <row r="21" ht="52" spans="1:5">
      <c r="A21" s="238" t="s">
        <v>47</v>
      </c>
      <c r="B21" s="232" t="s">
        <v>48</v>
      </c>
      <c r="C21" s="232" t="s">
        <v>49</v>
      </c>
      <c r="D21" s="232" t="s">
        <v>50</v>
      </c>
    </row>
    <row r="22" spans="1:5">
      <c r="A22" s="238" t="s">
        <v>51</v>
      </c>
    </row>
    <row r="23" ht="26" spans="1:5">
      <c r="A23" s="238" t="s">
        <v>52</v>
      </c>
      <c r="B23" s="232" t="s">
        <v>53</v>
      </c>
    </row>
    <row r="24" ht="52" spans="1:5">
      <c r="A24" s="238" t="s">
        <v>54</v>
      </c>
      <c r="B24" s="232" t="s">
        <v>55</v>
      </c>
      <c r="C24" s="232" t="s">
        <v>56</v>
      </c>
      <c r="D24" s="232" t="s">
        <v>57</v>
      </c>
    </row>
    <row r="25" spans="1:5">
      <c r="A25" s="238" t="s">
        <v>58</v>
      </c>
    </row>
    <row r="26" spans="1:5">
      <c r="A26" s="238" t="s">
        <v>59</v>
      </c>
    </row>
    <row r="27" spans="1:5">
      <c r="A27" s="238" t="s">
        <v>60</v>
      </c>
      <c r="B27" s="232" t="s">
        <v>61</v>
      </c>
      <c r="C27" s="232" t="s">
        <v>62</v>
      </c>
    </row>
    <row r="28" ht="91" spans="1:5">
      <c r="A28" s="238" t="s">
        <v>63</v>
      </c>
      <c r="B28" s="232" t="s">
        <v>64</v>
      </c>
      <c r="C28" s="232" t="s">
        <v>65</v>
      </c>
      <c r="D28" s="232" t="s">
        <v>66</v>
      </c>
      <c r="E28" s="232" t="s">
        <v>67</v>
      </c>
    </row>
    <row r="29" spans="1:5">
      <c r="A29" s="238" t="s">
        <v>68</v>
      </c>
    </row>
    <row r="30" spans="1:5">
      <c r="A30" s="238" t="s">
        <v>69</v>
      </c>
      <c r="B30" s="232" t="s">
        <v>70</v>
      </c>
      <c r="C30" s="232" t="s">
        <v>71</v>
      </c>
    </row>
    <row r="31" spans="1:5">
      <c r="A31" s="238" t="s">
        <v>72</v>
      </c>
    </row>
    <row r="32" spans="1:5">
      <c r="A32" s="238" t="s">
        <v>73</v>
      </c>
    </row>
    <row r="33" spans="1:10">
      <c r="A33" s="238" t="s">
        <v>74</v>
      </c>
    </row>
    <row r="34" spans="1:10">
      <c r="A34" s="238" t="s">
        <v>75</v>
      </c>
    </row>
    <row r="35" spans="1:10">
      <c r="A35" s="238" t="s">
        <v>76</v>
      </c>
    </row>
    <row r="36" spans="1:10">
      <c r="A36" s="238" t="s">
        <v>77</v>
      </c>
      <c r="B36" s="232" t="s">
        <v>78</v>
      </c>
    </row>
    <row r="37" ht="26" spans="1:10">
      <c r="A37" s="238" t="s">
        <v>79</v>
      </c>
      <c r="C37" s="232" t="s">
        <v>80</v>
      </c>
      <c r="D37" s="232" t="s">
        <v>81</v>
      </c>
    </row>
    <row r="38" spans="1:10">
      <c r="A38" s="238" t="s">
        <v>82</v>
      </c>
      <c r="B38" s="232" t="s">
        <v>83</v>
      </c>
      <c r="C38" s="239"/>
      <c r="D38" s="239"/>
      <c r="E38" s="239"/>
      <c r="F38" s="239"/>
      <c r="G38" s="239"/>
    </row>
    <row r="39" ht="26" spans="1:10">
      <c r="A39" s="238" t="s">
        <v>84</v>
      </c>
      <c r="C39" s="232" t="s">
        <v>85</v>
      </c>
      <c r="D39" s="232" t="s">
        <v>86</v>
      </c>
    </row>
    <row r="40" spans="1:10">
      <c r="A40" s="238" t="s">
        <v>87</v>
      </c>
      <c r="B40" s="232" t="s">
        <v>88</v>
      </c>
      <c r="C40" s="232" t="s">
        <v>89</v>
      </c>
      <c r="D40" s="232" t="s">
        <v>90</v>
      </c>
    </row>
    <row r="41" ht="208" spans="1:10">
      <c r="A41" s="238" t="s">
        <v>91</v>
      </c>
      <c r="C41" s="232" t="s">
        <v>92</v>
      </c>
      <c r="D41" s="232" t="s">
        <v>93</v>
      </c>
      <c r="E41" s="232" t="s">
        <v>94</v>
      </c>
      <c r="H41" s="233" t="s">
        <v>95</v>
      </c>
      <c r="I41" s="233" t="s">
        <v>96</v>
      </c>
      <c r="J41" s="233" t="s">
        <v>97</v>
      </c>
    </row>
    <row r="42" spans="1:10">
      <c r="A42" s="238" t="s">
        <v>98</v>
      </c>
    </row>
    <row r="43" ht="28" spans="1:10">
      <c r="A43" s="238" t="s">
        <v>99</v>
      </c>
      <c r="B43" s="232" t="s">
        <v>100</v>
      </c>
      <c r="H43" s="233" t="s">
        <v>101</v>
      </c>
    </row>
    <row r="44" ht="26" spans="1:10">
      <c r="A44" s="238" t="s">
        <v>102</v>
      </c>
      <c r="B44" s="232" t="s">
        <v>103</v>
      </c>
    </row>
    <row r="45" ht="26" spans="1:10">
      <c r="A45" s="238" t="s">
        <v>104</v>
      </c>
      <c r="C45" s="232" t="s">
        <v>105</v>
      </c>
      <c r="D45" s="232" t="s">
        <v>106</v>
      </c>
    </row>
    <row r="46" spans="1:10">
      <c r="A46" s="238" t="s">
        <v>107</v>
      </c>
    </row>
    <row r="47" spans="1:10">
      <c r="A47" s="238" t="s">
        <v>108</v>
      </c>
      <c r="D47" s="232" t="s">
        <v>109</v>
      </c>
    </row>
    <row r="48" spans="1:10">
      <c r="A48" s="238" t="s">
        <v>110</v>
      </c>
      <c r="C48" s="232" t="s">
        <v>111</v>
      </c>
      <c r="D48" s="232" t="s">
        <v>112</v>
      </c>
    </row>
    <row r="49" spans="1:7">
      <c r="A49" s="238" t="s">
        <v>113</v>
      </c>
    </row>
    <row r="50" ht="78" spans="1:7">
      <c r="A50" s="238" t="s">
        <v>114</v>
      </c>
      <c r="C50" s="232" t="s">
        <v>115</v>
      </c>
    </row>
    <row r="51" spans="1:7">
      <c r="A51" s="238" t="s">
        <v>116</v>
      </c>
    </row>
    <row r="52" ht="26" spans="1:7">
      <c r="A52" s="238" t="s">
        <v>117</v>
      </c>
      <c r="B52" s="232" t="s">
        <v>118</v>
      </c>
      <c r="C52" s="232" t="s">
        <v>119</v>
      </c>
      <c r="E52" s="232" t="s">
        <v>120</v>
      </c>
    </row>
    <row r="53" ht="26" spans="1:7">
      <c r="A53" s="231" t="s">
        <v>121</v>
      </c>
      <c r="B53" s="232" t="s">
        <v>122</v>
      </c>
      <c r="D53" s="239"/>
      <c r="E53" s="239"/>
      <c r="F53" s="239"/>
      <c r="G53" s="239"/>
    </row>
    <row r="54" spans="1:7">
      <c r="A54" s="231" t="s">
        <v>123</v>
      </c>
      <c r="B54" s="232" t="s">
        <v>124</v>
      </c>
      <c r="C54" s="232" t="s">
        <v>125</v>
      </c>
      <c r="D54" s="239"/>
      <c r="E54" s="239"/>
      <c r="F54" s="239"/>
      <c r="G54" s="239"/>
    </row>
    <row r="55" ht="65" spans="1:7">
      <c r="A55" s="231" t="s">
        <v>126</v>
      </c>
      <c r="B55" s="239"/>
      <c r="C55" s="239"/>
      <c r="D55" s="232" t="s">
        <v>127</v>
      </c>
    </row>
    <row r="56" ht="65" spans="1:7">
      <c r="A56" s="231" t="s">
        <v>128</v>
      </c>
      <c r="B56" s="78" t="s">
        <v>129</v>
      </c>
      <c r="C56" s="78"/>
      <c r="D56" s="232" t="s">
        <v>130</v>
      </c>
    </row>
    <row r="57" ht="117" spans="1:7">
      <c r="A57" s="231" t="s">
        <v>131</v>
      </c>
      <c r="B57" s="78" t="s">
        <v>132</v>
      </c>
      <c r="C57" s="78" t="s">
        <v>133</v>
      </c>
      <c r="D57" s="232" t="s">
        <v>134</v>
      </c>
    </row>
    <row r="58" spans="1:7">
      <c r="A58" s="231" t="s">
        <v>135</v>
      </c>
      <c r="B58" s="232" t="s">
        <v>136</v>
      </c>
      <c r="C58" s="239"/>
      <c r="D58" s="239"/>
      <c r="E58" s="239"/>
      <c r="F58" s="239"/>
      <c r="G58" s="239"/>
    </row>
    <row r="59" spans="1:7">
      <c r="A59" s="231" t="s">
        <v>137</v>
      </c>
      <c r="B59" s="239"/>
      <c r="C59" s="232" t="s">
        <v>138</v>
      </c>
      <c r="D59" s="239"/>
      <c r="E59" s="239"/>
      <c r="F59" s="239"/>
      <c r="G59" s="239"/>
    </row>
    <row r="60" ht="65" spans="1:7">
      <c r="A60" s="231" t="s">
        <v>139</v>
      </c>
      <c r="B60" s="239" t="s">
        <v>140</v>
      </c>
      <c r="C60" s="239"/>
      <c r="D60" s="232" t="s">
        <v>141</v>
      </c>
    </row>
    <row r="61" spans="1:7">
      <c r="A61" s="231" t="s">
        <v>142</v>
      </c>
      <c r="B61" s="78" t="s">
        <v>143</v>
      </c>
      <c r="C61" s="78"/>
      <c r="D61" s="239"/>
      <c r="E61" s="239"/>
      <c r="F61" s="239"/>
      <c r="G61" s="239"/>
    </row>
    <row r="62" ht="52" spans="1:7">
      <c r="A62" s="231" t="s">
        <v>144</v>
      </c>
      <c r="B62" s="239"/>
      <c r="C62" s="239"/>
      <c r="D62" s="232" t="s">
        <v>145</v>
      </c>
      <c r="E62" s="232" t="s">
        <v>146</v>
      </c>
    </row>
    <row r="63" ht="26" spans="1:7">
      <c r="A63" s="231" t="s">
        <v>147</v>
      </c>
      <c r="B63" s="78" t="s">
        <v>148</v>
      </c>
      <c r="C63" s="78" t="s">
        <v>149</v>
      </c>
      <c r="D63" s="239"/>
      <c r="E63" s="239"/>
      <c r="F63" s="239"/>
      <c r="G63" s="239"/>
    </row>
    <row r="64" ht="26" spans="1:7">
      <c r="A64" s="231" t="s">
        <v>150</v>
      </c>
      <c r="B64" s="239"/>
      <c r="C64" s="239"/>
      <c r="D64" s="232" t="s">
        <v>151</v>
      </c>
    </row>
    <row r="65" ht="26" spans="1:7">
      <c r="A65" s="231" t="s">
        <v>152</v>
      </c>
      <c r="B65" s="240" t="s">
        <v>153</v>
      </c>
      <c r="C65" s="239"/>
      <c r="D65" s="239"/>
      <c r="E65" s="239"/>
      <c r="F65" s="239"/>
      <c r="G65" s="239"/>
    </row>
    <row r="66" spans="1:7">
      <c r="A66" s="231" t="s">
        <v>154</v>
      </c>
      <c r="B66" s="239"/>
      <c r="C66" s="232" t="s">
        <v>155</v>
      </c>
      <c r="D66" s="239"/>
      <c r="E66" s="239"/>
      <c r="F66" s="239"/>
      <c r="G66" s="239"/>
    </row>
    <row r="67" spans="1:7">
      <c r="A67" s="231" t="s">
        <v>156</v>
      </c>
      <c r="B67" s="239"/>
      <c r="C67" s="239"/>
    </row>
    <row r="68" ht="78" spans="1:7">
      <c r="A68" s="231" t="s">
        <v>157</v>
      </c>
      <c r="B68" s="239"/>
      <c r="C68" s="239"/>
      <c r="D68" s="232" t="s">
        <v>158</v>
      </c>
    </row>
    <row r="69" spans="1:7">
      <c r="A69" s="231" t="s">
        <v>159</v>
      </c>
      <c r="B69" s="78" t="s">
        <v>160</v>
      </c>
      <c r="C69" s="78"/>
    </row>
    <row r="70" ht="26" spans="1:7">
      <c r="A70" s="231" t="s">
        <v>161</v>
      </c>
      <c r="B70" s="78" t="s">
        <v>162</v>
      </c>
      <c r="C70" s="78"/>
      <c r="D70" s="239"/>
      <c r="E70" s="239"/>
      <c r="F70" s="239"/>
      <c r="G70" s="239"/>
    </row>
    <row r="71" spans="1:7">
      <c r="A71" s="231" t="s">
        <v>163</v>
      </c>
      <c r="B71" s="239"/>
      <c r="C71" s="239"/>
    </row>
    <row r="72" spans="1:7">
      <c r="A72" s="231" t="s">
        <v>164</v>
      </c>
      <c r="B72" s="232" t="s">
        <v>165</v>
      </c>
      <c r="C72" s="232" t="s">
        <v>166</v>
      </c>
      <c r="D72" s="239"/>
      <c r="E72" s="239"/>
      <c r="F72" s="239"/>
      <c r="G72" s="239"/>
    </row>
    <row r="73" spans="1:7">
      <c r="A73" s="231" t="s">
        <v>167</v>
      </c>
      <c r="B73" s="239"/>
      <c r="C73" s="232" t="s">
        <v>168</v>
      </c>
      <c r="D73" s="239"/>
      <c r="E73" s="239"/>
      <c r="F73" s="239"/>
      <c r="G73" s="239"/>
    </row>
    <row r="74" spans="1:7">
      <c r="A74" s="231" t="s">
        <v>169</v>
      </c>
    </row>
    <row r="75" spans="1:7">
      <c r="A75" s="231" t="s">
        <v>170</v>
      </c>
      <c r="D75" s="239"/>
      <c r="E75" s="239"/>
      <c r="F75" s="239"/>
      <c r="G75" s="239"/>
    </row>
    <row r="76" spans="1:7">
      <c r="A76" s="231" t="s">
        <v>171</v>
      </c>
      <c r="B76" s="239"/>
      <c r="C76" s="239"/>
      <c r="D76" s="232" t="s">
        <v>172</v>
      </c>
    </row>
    <row r="77" spans="1:7">
      <c r="A77" s="231" t="s">
        <v>173</v>
      </c>
      <c r="B77" s="78"/>
      <c r="C77" s="78"/>
    </row>
    <row r="78" ht="26" spans="1:7">
      <c r="A78" s="241" t="s">
        <v>174</v>
      </c>
      <c r="B78" s="232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0" sqref="B20"/>
    </sheetView>
  </sheetViews>
  <sheetFormatPr defaultColWidth="8.72727272727273" defaultRowHeight="14" outlineLevelCol="6"/>
  <cols>
    <col min="1" max="1" width="6.64545454545455" style="225" customWidth="1"/>
    <col min="2" max="2" width="32.6181818181818" style="66" customWidth="1"/>
    <col min="3" max="7" width="16.4909090909091" style="66" customWidth="1"/>
    <col min="8" max="16384" width="8.72727272727273" style="226"/>
  </cols>
  <sheetData>
    <row r="1" spans="1:7">
      <c r="A1" s="22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4" customFormat="1" ht="39" spans="1:7">
      <c r="A2" s="228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9" t="s">
        <v>178</v>
      </c>
      <c r="C3" s="66" t="s">
        <v>179</v>
      </c>
    </row>
    <row r="4" spans="1:7">
      <c r="A4" s="229" t="s">
        <v>180</v>
      </c>
      <c r="B4" s="66" t="s">
        <v>181</v>
      </c>
      <c r="D4" s="66" t="s">
        <v>182</v>
      </c>
    </row>
    <row r="5" spans="1:7">
      <c r="A5" s="229" t="s">
        <v>183</v>
      </c>
      <c r="C5" s="66" t="s">
        <v>184</v>
      </c>
      <c r="D5" s="66" t="s">
        <v>185</v>
      </c>
    </row>
    <row r="6" spans="1:7">
      <c r="A6" s="229" t="s">
        <v>186</v>
      </c>
      <c r="B6" s="66" t="s">
        <v>187</v>
      </c>
      <c r="D6" s="66" t="s">
        <v>188</v>
      </c>
    </row>
    <row r="7" spans="1:7">
      <c r="A7" s="229" t="s">
        <v>189</v>
      </c>
      <c r="B7" s="66" t="s">
        <v>190</v>
      </c>
    </row>
    <row r="8" spans="1:7">
      <c r="A8" s="229"/>
      <c r="D8" s="66" t="s">
        <v>191</v>
      </c>
    </row>
    <row r="9" spans="1:7">
      <c r="A9" s="229"/>
    </row>
    <row r="10" spans="1:7">
      <c r="A10" s="229"/>
      <c r="B10" s="66" t="s">
        <v>192</v>
      </c>
    </row>
    <row r="11" spans="1:7">
      <c r="A11" s="229"/>
    </row>
    <row r="12" spans="1:7">
      <c r="A12" s="229"/>
      <c r="B12" s="66" t="s">
        <v>193</v>
      </c>
    </row>
    <row r="13" spans="1:7">
      <c r="A13" s="229"/>
      <c r="B13" s="66" t="s">
        <v>194</v>
      </c>
    </row>
    <row r="14" spans="1:7">
      <c r="A14" s="229"/>
      <c r="B14" s="66" t="s">
        <v>195</v>
      </c>
    </row>
    <row r="15" spans="1:7">
      <c r="A15" s="229"/>
      <c r="B15" s="66" t="s">
        <v>196</v>
      </c>
    </row>
    <row r="16" spans="1:7">
      <c r="A16" s="229"/>
      <c r="B16" s="66" t="s">
        <v>197</v>
      </c>
    </row>
    <row r="17" spans="1:2">
      <c r="A17" s="229"/>
      <c r="B17" s="66" t="s">
        <v>198</v>
      </c>
    </row>
    <row r="18" spans="1:2">
      <c r="A18" s="229"/>
      <c r="B18" s="66" t="s">
        <v>199</v>
      </c>
    </row>
    <row r="19" ht="26" spans="1:2">
      <c r="A19" s="229"/>
      <c r="B19" s="78" t="s">
        <v>200</v>
      </c>
    </row>
    <row r="20" spans="1:2">
      <c r="A20" s="229"/>
      <c r="B20" s="66" t="s">
        <v>201</v>
      </c>
    </row>
    <row r="21" spans="1:2">
      <c r="A21" s="229"/>
    </row>
    <row r="22" spans="1:2">
      <c r="A22" s="229"/>
    </row>
    <row r="23" spans="1:2">
      <c r="A23" s="229"/>
    </row>
    <row r="24" spans="1:2">
      <c r="A24" s="229"/>
    </row>
    <row r="25" spans="1:2">
      <c r="A25" s="229"/>
    </row>
    <row r="26" spans="1:2">
      <c r="A26" s="229"/>
    </row>
    <row r="27" spans="1:2">
      <c r="A27" s="229"/>
    </row>
    <row r="28" spans="1:2">
      <c r="A28" s="229"/>
    </row>
    <row r="29" spans="1:2">
      <c r="A29" s="229"/>
    </row>
    <row r="30" spans="1:2">
      <c r="A30" s="229"/>
    </row>
    <row r="31" spans="1:2">
      <c r="A31" s="229"/>
    </row>
    <row r="32" spans="1:2">
      <c r="A32" s="229"/>
    </row>
    <row r="33" spans="1:7">
      <c r="A33" s="229"/>
    </row>
    <row r="34" spans="1:7">
      <c r="A34" s="229"/>
    </row>
    <row r="35" spans="1:7">
      <c r="A35" s="229"/>
    </row>
    <row r="36" spans="1:7">
      <c r="A36" s="229"/>
    </row>
    <row r="37" spans="1:7">
      <c r="A37" s="229"/>
    </row>
    <row r="38" spans="1:7">
      <c r="A38" s="229"/>
      <c r="B38" s="78"/>
      <c r="C38" s="78"/>
      <c r="D38" s="78"/>
      <c r="E38" s="78"/>
      <c r="F38" s="78"/>
      <c r="G38" s="78"/>
    </row>
    <row r="39" spans="1:7">
      <c r="A39" s="229"/>
      <c r="B39" s="78"/>
      <c r="C39" s="78"/>
      <c r="D39" s="78"/>
      <c r="E39" s="78"/>
      <c r="F39" s="78"/>
      <c r="G39" s="78"/>
    </row>
    <row r="40" spans="1:7">
      <c r="A40" s="229"/>
    </row>
    <row r="41" spans="1:7">
      <c r="A41" s="229"/>
    </row>
    <row r="42" spans="1:7">
      <c r="A42" s="229"/>
    </row>
    <row r="43" spans="1:7">
      <c r="A43" s="229"/>
    </row>
    <row r="44" spans="1:7">
      <c r="A44" s="229"/>
    </row>
    <row r="45" spans="1:7">
      <c r="A45" s="229"/>
    </row>
    <row r="46" spans="1:7">
      <c r="A46" s="229"/>
    </row>
    <row r="47" spans="1:7">
      <c r="A47" s="229"/>
    </row>
    <row r="48" spans="1:7">
      <c r="A48" s="229"/>
    </row>
    <row r="49" spans="1:1">
      <c r="A49" s="229"/>
    </row>
    <row r="50" spans="1:1">
      <c r="A50" s="229"/>
    </row>
    <row r="51" spans="1:1">
      <c r="A51" s="22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54"/>
  <sheetViews>
    <sheetView tabSelected="1" workbookViewId="0">
      <pane ySplit="1" topLeftCell="A16" activePane="bottomLeft" state="frozen"/>
      <selection/>
      <selection pane="bottomLeft" activeCell="H28" sqref="H28"/>
    </sheetView>
  </sheetViews>
  <sheetFormatPr defaultColWidth="8.72727272727273" defaultRowHeight="14" outlineLevelCol="2"/>
  <cols>
    <col min="1" max="1" width="24" style="215" customWidth="1"/>
    <col min="2" max="2" width="10.6363636363636" style="215" customWidth="1"/>
    <col min="3" max="3" width="91.3636363636364" style="215" customWidth="1"/>
    <col min="4" max="16384" width="8.72727272727273" style="93"/>
  </cols>
  <sheetData>
    <row r="1" s="214" customFormat="1" ht="15" spans="1:3">
      <c r="A1" s="216" t="s">
        <v>202</v>
      </c>
      <c r="B1" s="216" t="s">
        <v>203</v>
      </c>
      <c r="C1" s="216" t="s">
        <v>204</v>
      </c>
    </row>
    <row r="2" spans="1:3">
      <c r="A2" s="217" t="s">
        <v>205</v>
      </c>
      <c r="B2" s="217" t="s">
        <v>206</v>
      </c>
      <c r="C2" s="217" t="s">
        <v>207</v>
      </c>
    </row>
    <row r="3" spans="1:3">
      <c r="A3" s="217" t="s">
        <v>208</v>
      </c>
      <c r="B3" s="217" t="s">
        <v>209</v>
      </c>
      <c r="C3" s="217" t="s">
        <v>210</v>
      </c>
    </row>
    <row r="4" spans="1:3">
      <c r="A4" s="217" t="s">
        <v>211</v>
      </c>
      <c r="B4" s="217" t="s">
        <v>209</v>
      </c>
      <c r="C4" s="217" t="s">
        <v>212</v>
      </c>
    </row>
    <row r="5" ht="56" spans="1:3">
      <c r="A5" s="218" t="s">
        <v>213</v>
      </c>
      <c r="B5" s="217" t="s">
        <v>214</v>
      </c>
      <c r="C5" s="217" t="s">
        <v>215</v>
      </c>
    </row>
    <row r="6" ht="28" spans="1:3">
      <c r="A6" s="219"/>
      <c r="B6" s="217" t="s">
        <v>216</v>
      </c>
      <c r="C6" s="217" t="s">
        <v>217</v>
      </c>
    </row>
    <row r="7" spans="1:3">
      <c r="A7" s="220" t="s">
        <v>91</v>
      </c>
      <c r="B7" s="217" t="s">
        <v>218</v>
      </c>
      <c r="C7" s="217" t="s">
        <v>219</v>
      </c>
    </row>
    <row r="8" ht="140" spans="1:3">
      <c r="A8" s="220"/>
      <c r="B8" s="217" t="s">
        <v>220</v>
      </c>
      <c r="C8" s="217" t="s">
        <v>221</v>
      </c>
    </row>
    <row r="9" spans="1:3">
      <c r="A9" s="220"/>
      <c r="B9" s="217" t="s">
        <v>222</v>
      </c>
      <c r="C9" s="217" t="s">
        <v>223</v>
      </c>
    </row>
    <row r="10" spans="1:3">
      <c r="A10" s="220"/>
      <c r="B10" s="217" t="s">
        <v>224</v>
      </c>
      <c r="C10" s="217" t="s">
        <v>225</v>
      </c>
    </row>
    <row r="11" spans="1:3">
      <c r="A11" s="220"/>
      <c r="B11" s="217"/>
      <c r="C11" s="217"/>
    </row>
    <row r="12" spans="1:3">
      <c r="A12" s="220"/>
      <c r="B12" s="217"/>
      <c r="C12" s="217"/>
    </row>
    <row r="13" spans="1:3">
      <c r="A13" s="220"/>
      <c r="B13" s="217"/>
      <c r="C13" s="217"/>
    </row>
    <row r="14" spans="1:3">
      <c r="A14" s="221"/>
      <c r="B14" s="217"/>
      <c r="C14" s="217"/>
    </row>
    <row r="15" spans="1:3">
      <c r="A15" s="217" t="s">
        <v>226</v>
      </c>
      <c r="B15" s="217" t="s">
        <v>227</v>
      </c>
      <c r="C15" s="217" t="s">
        <v>228</v>
      </c>
    </row>
    <row r="16" spans="1:3">
      <c r="A16" s="217" t="s">
        <v>229</v>
      </c>
      <c r="B16" s="217" t="s">
        <v>230</v>
      </c>
      <c r="C16" s="217" t="s">
        <v>231</v>
      </c>
    </row>
    <row r="17" spans="1:3">
      <c r="A17" s="217" t="s">
        <v>232</v>
      </c>
      <c r="B17" s="217" t="s">
        <v>233</v>
      </c>
      <c r="C17" s="222">
        <v>0.440972222222222</v>
      </c>
    </row>
    <row r="18" spans="1:3">
      <c r="A18" s="223" t="s">
        <v>63</v>
      </c>
      <c r="B18" s="217" t="s">
        <v>234</v>
      </c>
      <c r="C18" s="217" t="s">
        <v>235</v>
      </c>
    </row>
    <row r="19" spans="1:3">
      <c r="A19" s="220"/>
      <c r="B19" s="217" t="s">
        <v>236</v>
      </c>
      <c r="C19" s="217" t="s">
        <v>237</v>
      </c>
    </row>
    <row r="20" ht="56" spans="1:3">
      <c r="A20" s="220"/>
      <c r="B20" s="217" t="s">
        <v>238</v>
      </c>
      <c r="C20" s="217" t="s">
        <v>239</v>
      </c>
    </row>
    <row r="21" spans="1:3">
      <c r="A21" s="220"/>
      <c r="B21" s="217" t="s">
        <v>240</v>
      </c>
      <c r="C21" s="217" t="s">
        <v>241</v>
      </c>
    </row>
    <row r="22" ht="28" spans="1:3">
      <c r="A22" s="220"/>
      <c r="B22" s="217" t="s">
        <v>242</v>
      </c>
      <c r="C22" s="217" t="s">
        <v>243</v>
      </c>
    </row>
    <row r="23" spans="1:3">
      <c r="A23" s="220"/>
      <c r="B23" s="217"/>
      <c r="C23" s="217"/>
    </row>
    <row r="24" spans="1:3">
      <c r="A24" s="220"/>
      <c r="B24" s="217"/>
      <c r="C24" s="217"/>
    </row>
    <row r="25" spans="1:3">
      <c r="A25" s="220"/>
      <c r="B25" s="217"/>
      <c r="C25" s="217"/>
    </row>
    <row r="26" spans="1:3">
      <c r="A26" s="218" t="s">
        <v>244</v>
      </c>
      <c r="B26" s="217" t="s">
        <v>236</v>
      </c>
      <c r="C26" s="217" t="s">
        <v>245</v>
      </c>
    </row>
    <row r="27" spans="1:3">
      <c r="A27" s="219"/>
      <c r="B27" s="217" t="s">
        <v>246</v>
      </c>
      <c r="C27" s="217" t="s">
        <v>247</v>
      </c>
    </row>
    <row r="28" ht="28" spans="1:3">
      <c r="A28" s="223" t="s">
        <v>248</v>
      </c>
      <c r="B28" s="217" t="s">
        <v>249</v>
      </c>
      <c r="C28" s="217" t="s">
        <v>250</v>
      </c>
    </row>
    <row r="29" spans="1:3">
      <c r="A29" s="220"/>
      <c r="B29" s="217" t="s">
        <v>220</v>
      </c>
      <c r="C29" s="217" t="s">
        <v>251</v>
      </c>
    </row>
    <row r="30" spans="1:3">
      <c r="A30" s="220"/>
      <c r="B30" s="217" t="s">
        <v>252</v>
      </c>
      <c r="C30" s="217" t="s">
        <v>253</v>
      </c>
    </row>
    <row r="31" spans="1:3">
      <c r="A31" s="220"/>
      <c r="B31" s="217"/>
      <c r="C31" s="217"/>
    </row>
    <row r="32" spans="1:3">
      <c r="A32" s="218" t="s">
        <v>254</v>
      </c>
      <c r="B32" s="217" t="s">
        <v>255</v>
      </c>
      <c r="C32" s="217" t="s">
        <v>256</v>
      </c>
    </row>
    <row r="33" spans="1:3">
      <c r="A33" s="219"/>
      <c r="B33" s="217" t="s">
        <v>218</v>
      </c>
      <c r="C33" s="217" t="s">
        <v>257</v>
      </c>
    </row>
    <row r="34" ht="28" spans="1:3">
      <c r="A34" s="223" t="s">
        <v>47</v>
      </c>
      <c r="B34" s="217" t="s">
        <v>218</v>
      </c>
      <c r="C34" s="217" t="s">
        <v>258</v>
      </c>
    </row>
    <row r="35" spans="1:3">
      <c r="A35" s="220"/>
      <c r="B35" s="215" t="s">
        <v>259</v>
      </c>
      <c r="C35" s="215" t="s">
        <v>260</v>
      </c>
    </row>
    <row r="36" spans="1:3">
      <c r="A36" s="220"/>
      <c r="B36" s="215" t="s">
        <v>240</v>
      </c>
      <c r="C36" s="215" t="s">
        <v>261</v>
      </c>
    </row>
    <row r="37" ht="98" spans="1:3">
      <c r="A37" s="223" t="s">
        <v>262</v>
      </c>
      <c r="B37" s="215" t="s">
        <v>218</v>
      </c>
      <c r="C37" s="215" t="s">
        <v>263</v>
      </c>
    </row>
    <row r="38" ht="84" spans="1:3">
      <c r="A38" s="220"/>
      <c r="B38" s="215" t="s">
        <v>264</v>
      </c>
      <c r="C38" s="215" t="s">
        <v>265</v>
      </c>
    </row>
    <row r="39" ht="28" spans="1:3">
      <c r="A39" s="221"/>
      <c r="B39" s="215" t="s">
        <v>266</v>
      </c>
      <c r="C39" s="215" t="s">
        <v>267</v>
      </c>
    </row>
    <row r="40" spans="1:3">
      <c r="A40" s="215" t="s">
        <v>38</v>
      </c>
      <c r="B40" s="215" t="s">
        <v>268</v>
      </c>
      <c r="C40" s="215" t="s">
        <v>269</v>
      </c>
    </row>
    <row r="41" spans="1:3">
      <c r="A41" s="223" t="s">
        <v>270</v>
      </c>
      <c r="B41" s="215" t="s">
        <v>220</v>
      </c>
      <c r="C41" s="215" t="s">
        <v>271</v>
      </c>
    </row>
    <row r="42" spans="1:3">
      <c r="A42" s="221"/>
      <c r="B42" s="215" t="s">
        <v>264</v>
      </c>
      <c r="C42" s="215" t="s">
        <v>272</v>
      </c>
    </row>
    <row r="43" spans="1:3">
      <c r="A43" s="215" t="s">
        <v>54</v>
      </c>
      <c r="B43" s="215" t="s">
        <v>222</v>
      </c>
      <c r="C43" s="215" t="s">
        <v>273</v>
      </c>
    </row>
    <row r="44" spans="1:3">
      <c r="A44" s="215" t="s">
        <v>274</v>
      </c>
      <c r="B44" s="215" t="s">
        <v>275</v>
      </c>
      <c r="C44" s="215" t="s">
        <v>276</v>
      </c>
    </row>
    <row r="45" spans="1:3">
      <c r="A45" s="215" t="s">
        <v>277</v>
      </c>
      <c r="B45" s="215" t="s">
        <v>278</v>
      </c>
      <c r="C45" s="215" t="s">
        <v>279</v>
      </c>
    </row>
    <row r="46" spans="1:3">
      <c r="A46" s="215" t="s">
        <v>10</v>
      </c>
      <c r="B46" s="215" t="s">
        <v>264</v>
      </c>
      <c r="C46" s="215" t="s">
        <v>280</v>
      </c>
    </row>
    <row r="47" spans="1:3">
      <c r="A47" s="215" t="s">
        <v>281</v>
      </c>
      <c r="B47" s="215" t="s">
        <v>282</v>
      </c>
      <c r="C47" s="215" t="s">
        <v>283</v>
      </c>
    </row>
    <row r="48" spans="1:3">
      <c r="A48" s="215" t="s">
        <v>284</v>
      </c>
      <c r="B48" s="215" t="s">
        <v>285</v>
      </c>
      <c r="C48" s="215" t="s">
        <v>286</v>
      </c>
    </row>
    <row r="49" spans="1:3">
      <c r="A49" s="215" t="s">
        <v>287</v>
      </c>
      <c r="B49" s="215" t="s">
        <v>285</v>
      </c>
      <c r="C49" s="215" t="s">
        <v>288</v>
      </c>
    </row>
    <row r="50" spans="1:3">
      <c r="A50" s="215" t="s">
        <v>289</v>
      </c>
      <c r="B50" s="215" t="s">
        <v>242</v>
      </c>
      <c r="C50" s="215" t="s">
        <v>290</v>
      </c>
    </row>
    <row r="51" ht="28" spans="1:3">
      <c r="A51" s="215" t="s">
        <v>291</v>
      </c>
      <c r="B51" s="215" t="s">
        <v>266</v>
      </c>
      <c r="C51" s="215" t="s">
        <v>292</v>
      </c>
    </row>
    <row r="52" ht="28" spans="1:3">
      <c r="A52" s="215" t="s">
        <v>293</v>
      </c>
      <c r="B52" s="215" t="s">
        <v>266</v>
      </c>
      <c r="C52" s="215" t="s">
        <v>294</v>
      </c>
    </row>
    <row r="53" ht="140" spans="1:3">
      <c r="A53" s="215" t="s">
        <v>295</v>
      </c>
      <c r="B53" s="215" t="s">
        <v>296</v>
      </c>
      <c r="C53" s="215" t="s">
        <v>297</v>
      </c>
    </row>
    <row r="54" spans="1:3">
      <c r="A54" s="215" t="s">
        <v>10</v>
      </c>
      <c r="B54" s="215" t="s">
        <v>298</v>
      </c>
      <c r="C54" s="215" t="s">
        <v>299</v>
      </c>
    </row>
  </sheetData>
  <mergeCells count="9">
    <mergeCell ref="A5:A6"/>
    <mergeCell ref="A7:A14"/>
    <mergeCell ref="A18:A25"/>
    <mergeCell ref="A26:A27"/>
    <mergeCell ref="A28:A31"/>
    <mergeCell ref="A32:A33"/>
    <mergeCell ref="A34:A36"/>
    <mergeCell ref="A37:A39"/>
    <mergeCell ref="A41:A4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9" sqref="G9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3"/>
    <col min="6" max="6" width="9.52727272727273" style="4" customWidth="1"/>
    <col min="7" max="7" width="22.8181818181818" style="4" customWidth="1"/>
    <col min="8" max="16384" width="8.72727272727273" style="4"/>
  </cols>
  <sheetData>
    <row r="1" s="201" customFormat="1" ht="15" spans="1:7">
      <c r="A1" s="204" t="s">
        <v>300</v>
      </c>
      <c r="B1" s="205"/>
      <c r="C1" s="205"/>
      <c r="D1" s="206"/>
      <c r="E1" s="207"/>
      <c r="F1" s="201" t="s">
        <v>301</v>
      </c>
    </row>
    <row r="2" s="202" customFormat="1" spans="1:7">
      <c r="A2" s="208" t="s">
        <v>203</v>
      </c>
      <c r="B2" s="209"/>
      <c r="C2" s="202" t="s">
        <v>302</v>
      </c>
      <c r="D2" s="202" t="s">
        <v>303</v>
      </c>
      <c r="E2" s="142"/>
      <c r="F2" s="202" t="s">
        <v>203</v>
      </c>
      <c r="G2" s="202" t="s">
        <v>304</v>
      </c>
    </row>
    <row r="3" spans="1:7">
      <c r="A3" s="210">
        <v>2025.1</v>
      </c>
      <c r="B3" s="119">
        <v>11</v>
      </c>
      <c r="C3" s="119">
        <v>113</v>
      </c>
      <c r="D3" s="119"/>
      <c r="F3" s="119" t="s">
        <v>305</v>
      </c>
      <c r="G3" s="119" t="s">
        <v>306</v>
      </c>
    </row>
    <row r="4" spans="1:7">
      <c r="A4" s="211"/>
      <c r="B4" s="119">
        <v>15</v>
      </c>
      <c r="C4" s="119">
        <v>163</v>
      </c>
      <c r="D4" s="119"/>
      <c r="F4" s="119" t="s">
        <v>307</v>
      </c>
      <c r="G4" s="119" t="s">
        <v>308</v>
      </c>
    </row>
    <row r="5" spans="1:7">
      <c r="A5" s="211"/>
      <c r="B5" s="119">
        <v>17</v>
      </c>
      <c r="C5" s="119">
        <v>158</v>
      </c>
      <c r="D5" s="119"/>
      <c r="F5" s="119" t="s">
        <v>309</v>
      </c>
      <c r="G5" s="119" t="s">
        <v>310</v>
      </c>
    </row>
    <row r="6" spans="1:7">
      <c r="A6" s="211"/>
      <c r="B6" s="119">
        <v>22</v>
      </c>
      <c r="C6" s="119">
        <v>70</v>
      </c>
      <c r="D6" s="119"/>
      <c r="F6" s="212" t="s">
        <v>311</v>
      </c>
      <c r="G6" s="119" t="s">
        <v>312</v>
      </c>
    </row>
    <row r="7" spans="1:7">
      <c r="A7" s="211"/>
      <c r="B7" s="119">
        <v>24</v>
      </c>
      <c r="C7" s="119">
        <v>180</v>
      </c>
      <c r="D7" s="119"/>
      <c r="F7" s="213"/>
      <c r="G7" s="119" t="s">
        <v>313</v>
      </c>
    </row>
    <row r="8" spans="1:7">
      <c r="A8" s="211"/>
      <c r="B8" s="119">
        <v>29</v>
      </c>
      <c r="C8" s="119">
        <v>135</v>
      </c>
      <c r="D8" s="119"/>
      <c r="F8" s="119" t="s">
        <v>314</v>
      </c>
      <c r="G8" s="119" t="s">
        <v>315</v>
      </c>
    </row>
    <row r="9" spans="1:7">
      <c r="A9" s="213"/>
      <c r="B9" s="119">
        <v>31</v>
      </c>
      <c r="C9" s="119">
        <v>89</v>
      </c>
      <c r="D9" s="119"/>
      <c r="F9" s="119"/>
      <c r="G9" s="119"/>
    </row>
    <row r="10" spans="1:7">
      <c r="A10" s="212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11"/>
      <c r="B11" s="119">
        <v>7</v>
      </c>
      <c r="C11" s="119">
        <v>119</v>
      </c>
      <c r="D11" s="119"/>
      <c r="F11" s="119"/>
      <c r="G11" s="119"/>
    </row>
    <row r="12" spans="1:7">
      <c r="A12" s="213"/>
      <c r="B12" s="119">
        <v>14</v>
      </c>
      <c r="C12" s="119">
        <v>63</v>
      </c>
      <c r="D12" s="119"/>
      <c r="F12" s="119"/>
      <c r="G12" s="119"/>
    </row>
    <row r="13" spans="1:7">
      <c r="A13" s="212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13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5"/>
  <sheetViews>
    <sheetView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BP44" sqref="BP44"/>
    </sheetView>
  </sheetViews>
  <sheetFormatPr defaultColWidth="8.72727272727273" defaultRowHeight="14"/>
  <cols>
    <col min="1" max="1" width="4.96363636363636" customWidth="1"/>
    <col min="2" max="55" width="3.23636363636364" customWidth="1"/>
    <col min="56" max="58" width="5.44545454545455" style="176" customWidth="1"/>
    <col min="59" max="59" width="7.18181818181818" style="176" customWidth="1"/>
    <col min="60" max="62" width="5.44545454545455" style="176" customWidth="1"/>
  </cols>
  <sheetData>
    <row r="1" spans="1:62">
      <c r="A1" s="177" t="s">
        <v>316</v>
      </c>
      <c r="B1" s="178" t="s">
        <v>317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318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319</v>
      </c>
      <c r="AK1" s="181"/>
      <c r="AL1" s="181"/>
      <c r="AM1" s="180" t="s">
        <v>320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2"/>
      <c r="BD1" s="183" t="s">
        <v>321</v>
      </c>
      <c r="BE1" s="184"/>
      <c r="BF1" s="184"/>
      <c r="BG1" s="184"/>
      <c r="BH1" s="184"/>
      <c r="BI1" s="184"/>
      <c r="BJ1" s="185"/>
    </row>
    <row r="2" s="174" customFormat="1" ht="28" spans="1:62">
      <c r="A2" s="177"/>
      <c r="B2" s="186">
        <v>5</v>
      </c>
      <c r="C2" s="186">
        <v>6</v>
      </c>
      <c r="D2" s="186">
        <v>9</v>
      </c>
      <c r="E2" s="186">
        <v>10</v>
      </c>
      <c r="F2" s="186">
        <v>11</v>
      </c>
      <c r="G2" s="186">
        <v>12</v>
      </c>
      <c r="H2" s="186">
        <v>15</v>
      </c>
      <c r="I2" s="186">
        <v>16</v>
      </c>
      <c r="J2" s="186">
        <v>17</v>
      </c>
      <c r="K2" s="186">
        <v>18</v>
      </c>
      <c r="L2" s="186">
        <v>19</v>
      </c>
      <c r="M2" s="186">
        <v>22</v>
      </c>
      <c r="N2" s="186">
        <v>23</v>
      </c>
      <c r="O2" s="186">
        <v>25</v>
      </c>
      <c r="P2" s="186">
        <v>26</v>
      </c>
      <c r="Q2" s="186">
        <v>29</v>
      </c>
      <c r="R2" s="186">
        <v>30</v>
      </c>
      <c r="S2" s="186">
        <v>31</v>
      </c>
      <c r="T2" s="186">
        <v>4</v>
      </c>
      <c r="U2" s="186">
        <v>5</v>
      </c>
      <c r="V2" s="186">
        <v>6</v>
      </c>
      <c r="W2" s="186">
        <v>7</v>
      </c>
      <c r="X2" s="186">
        <v>8</v>
      </c>
      <c r="Y2" s="186">
        <v>11</v>
      </c>
      <c r="Z2" s="186">
        <v>12</v>
      </c>
      <c r="AA2" s="186">
        <v>13</v>
      </c>
      <c r="AB2" s="186">
        <v>14</v>
      </c>
      <c r="AC2" s="186">
        <v>15</v>
      </c>
      <c r="AD2" s="186">
        <v>16</v>
      </c>
      <c r="AE2" s="186">
        <v>19</v>
      </c>
      <c r="AF2" s="186">
        <v>20</v>
      </c>
      <c r="AG2" s="186">
        <v>21</v>
      </c>
      <c r="AH2" s="186">
        <v>22</v>
      </c>
      <c r="AI2" s="186">
        <v>23</v>
      </c>
      <c r="AJ2" s="186">
        <v>26</v>
      </c>
      <c r="AK2" s="186">
        <v>27</v>
      </c>
      <c r="AL2" s="186">
        <v>28</v>
      </c>
      <c r="AM2" s="186">
        <v>2</v>
      </c>
      <c r="AN2" s="186">
        <v>3</v>
      </c>
      <c r="AO2" s="186">
        <v>4</v>
      </c>
      <c r="AP2" s="186">
        <v>5</v>
      </c>
      <c r="AQ2" s="186">
        <v>6</v>
      </c>
      <c r="AR2" s="186">
        <v>9</v>
      </c>
      <c r="AS2" s="186">
        <v>10</v>
      </c>
      <c r="AT2" s="186">
        <v>11</v>
      </c>
      <c r="AU2" s="186">
        <v>12</v>
      </c>
      <c r="AV2" s="186">
        <v>13</v>
      </c>
      <c r="AW2" s="186">
        <v>16</v>
      </c>
      <c r="AX2" s="186">
        <v>17</v>
      </c>
      <c r="AY2" s="186">
        <v>18</v>
      </c>
      <c r="AZ2" s="186">
        <v>19</v>
      </c>
      <c r="BA2" s="186">
        <v>20</v>
      </c>
      <c r="BB2" s="186"/>
      <c r="BC2" s="186"/>
      <c r="BD2" s="187" t="s">
        <v>322</v>
      </c>
      <c r="BE2" s="187" t="s">
        <v>323</v>
      </c>
      <c r="BF2" s="187" t="s">
        <v>324</v>
      </c>
      <c r="BG2" s="187" t="s">
        <v>325</v>
      </c>
      <c r="BH2" s="188" t="s">
        <v>326</v>
      </c>
      <c r="BI2" s="188" t="s">
        <v>327</v>
      </c>
      <c r="BJ2" s="188" t="s">
        <v>328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9">
        <f t="shared" ref="BD3:BD53" si="0">SUM(B3:BC3)</f>
        <v>1</v>
      </c>
      <c r="BE3" s="189" cm="1">
        <f t="array" ref="BE3">SUMPRODUCT(--(B3:BC3=INT(B3:BC3)),--(B3:BC3&gt;0))</f>
        <v>1</v>
      </c>
      <c r="BF3" s="189" cm="1">
        <f t="array" ref="BF3">MAX(FREQUENCY(IF((B3:BC3=INT(B3:BC3))*(B3:BC3&gt;0),COLUMN(B3:BC3)),IF((B3:BC3&lt;&gt;INT(B3:BC3))+(B3:BC3&lt;=0),COLUMN(B3:BC3))))</f>
        <v>1</v>
      </c>
      <c r="BG3" s="190" cm="1">
        <f t="array" ref="BG3">SUMPRODUCT(--(B3:AI3=INT(B3:AI3)),--(B3:AI3&gt;0))/34*100%</f>
        <v>0.0294117647058824</v>
      </c>
      <c r="BH3" s="191">
        <f t="shared" ref="BH3:BH53" si="1">RANK(BD3,BD$3:BD$53,0)</f>
        <v>34</v>
      </c>
      <c r="BI3" s="191">
        <f t="shared" ref="BI3:BI53" si="2">RANK(BE3,BE$3:BE$53,0)</f>
        <v>34</v>
      </c>
      <c r="BJ3" s="191">
        <f t="shared" ref="BJ3:BJ53" si="3">RANK(BF3,BF$3:BF$53,0)</f>
        <v>22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/>
      <c r="AZ4" s="120"/>
      <c r="BA4" s="120"/>
      <c r="BB4" s="120"/>
      <c r="BC4" s="120"/>
      <c r="BD4" s="189">
        <f t="shared" si="0"/>
        <v>20</v>
      </c>
      <c r="BE4" s="189" cm="1">
        <f t="array" ref="BE4">SUMPRODUCT(--(B4:BC4=INT(B4:BC4)),--(B4:BC4&gt;0))</f>
        <v>18</v>
      </c>
      <c r="BF4" s="189" cm="1">
        <f t="array" ref="BF4">MAX(FREQUENCY(IF((B4:BC4=INT(B4:BC4))*(B4:BC4&gt;0),COLUMN(B4:BC4)),IF((B4:BC4&lt;&gt;INT(B4:BC4))+(B4:BC4&lt;=0),COLUMN(B4:BC4))))</f>
        <v>6</v>
      </c>
      <c r="BG4" s="190" cm="1">
        <f t="array" ref="BG4">SUMPRODUCT(--(B4:AI4=INT(B4:AI4)),--(B4:AI4&gt;0))/34*100%</f>
        <v>0.323529411764706</v>
      </c>
      <c r="BH4" s="191">
        <f t="shared" si="1"/>
        <v>6</v>
      </c>
      <c r="BI4" s="191">
        <f t="shared" si="2"/>
        <v>5</v>
      </c>
      <c r="BJ4" s="191">
        <f t="shared" si="3"/>
        <v>3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9">
        <f t="shared" si="0"/>
        <v>2</v>
      </c>
      <c r="BE5" s="189" cm="1">
        <f t="array" ref="BE5">SUMPRODUCT(--(B5:BC5=INT(B5:BC5)),--(B5:BC5&gt;0))</f>
        <v>2</v>
      </c>
      <c r="BF5" s="189" cm="1">
        <f t="array" ref="BF5">MAX(FREQUENCY(IF((B5:BC5=INT(B5:BC5))*(B5:BC5&gt;0),COLUMN(B5:BC5)),IF((B5:BC5&lt;&gt;INT(B5:BC5))+(B5:BC5&lt;=0),COLUMN(B5:BC5))))</f>
        <v>1</v>
      </c>
      <c r="BG5" s="190" cm="1">
        <f t="array" ref="BG5">SUMPRODUCT(--(B5:AI5=INT(B5:AI5)),--(B5:AI5&gt;0))/34*100%</f>
        <v>0.0588235294117647</v>
      </c>
      <c r="BH5" s="191">
        <f t="shared" si="1"/>
        <v>31</v>
      </c>
      <c r="BI5" s="191">
        <f t="shared" si="2"/>
        <v>31</v>
      </c>
      <c r="BJ5" s="191">
        <f t="shared" si="3"/>
        <v>22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/>
      <c r="AZ6" s="120"/>
      <c r="BA6" s="120"/>
      <c r="BB6" s="120"/>
      <c r="BC6" s="120"/>
      <c r="BD6" s="189">
        <f t="shared" si="0"/>
        <v>7</v>
      </c>
      <c r="BE6" s="189" cm="1">
        <f t="array" ref="BE6">SUMPRODUCT(--(B6:BC6=INT(B6:BC6)),--(B6:BC6&gt;0))</f>
        <v>7</v>
      </c>
      <c r="BF6" s="189" cm="1">
        <f t="array" ref="BF6">MAX(FREQUENCY(IF((B6:BC6=INT(B6:BC6))*(B6:BC6&gt;0),COLUMN(B6:BC6)),IF((B6:BC6&lt;&gt;INT(B6:BC6))+(B6:BC6&lt;=0),COLUMN(B6:BC6))))</f>
        <v>3</v>
      </c>
      <c r="BG6" s="190" cm="1">
        <f t="array" ref="BG6">SUMPRODUCT(--(B6:AI6=INT(B6:AI6)),--(B6:AI6&gt;0))/34*100%</f>
        <v>0.0588235294117647</v>
      </c>
      <c r="BH6" s="191">
        <f t="shared" si="1"/>
        <v>22</v>
      </c>
      <c r="BI6" s="191">
        <f t="shared" si="2"/>
        <v>20</v>
      </c>
      <c r="BJ6" s="191">
        <f t="shared" si="3"/>
        <v>10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9">
        <f t="shared" si="0"/>
        <v>4</v>
      </c>
      <c r="BE7" s="189" cm="1">
        <f t="array" ref="BE7">SUMPRODUCT(--(B7:BC7=INT(B7:BC7)),--(B7:BC7&gt;0))</f>
        <v>3</v>
      </c>
      <c r="BF7" s="189" cm="1">
        <f t="array" ref="BF7">MAX(FREQUENCY(IF((B7:BC7=INT(B7:BC7))*(B7:BC7&gt;0),COLUMN(B7:BC7)),IF((B7:BC7&lt;&gt;INT(B7:BC7))+(B7:BC7&lt;=0),COLUMN(B7:BC7))))</f>
        <v>1</v>
      </c>
      <c r="BG7" s="190" cm="1">
        <f t="array" ref="BG7">SUMPRODUCT(--(B7:AI7=INT(B7:AI7)),--(B7:AI7&gt;0))/34*100%</f>
        <v>0.0882352941176471</v>
      </c>
      <c r="BH7" s="191">
        <f t="shared" si="1"/>
        <v>26</v>
      </c>
      <c r="BI7" s="191">
        <f t="shared" si="2"/>
        <v>29</v>
      </c>
      <c r="BJ7" s="191">
        <f t="shared" si="3"/>
        <v>22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/>
      <c r="AZ8" s="120"/>
      <c r="BA8" s="120"/>
      <c r="BB8" s="120"/>
      <c r="BC8" s="120"/>
      <c r="BD8" s="189">
        <f t="shared" si="0"/>
        <v>25</v>
      </c>
      <c r="BE8" s="189" cm="1">
        <f t="array" ref="BE8">SUMPRODUCT(--(B8:BC8=INT(B8:BC8)),--(B8:BC8&gt;0))</f>
        <v>25</v>
      </c>
      <c r="BF8" s="189" cm="1">
        <f t="array" ref="BF8">MAX(FREQUENCY(IF((B8:BC8=INT(B8:BC8))*(B8:BC8&gt;0),COLUMN(B8:BC8)),IF((B8:BC8&lt;&gt;INT(B8:BC8))+(B8:BC8&lt;=0),COLUMN(B8:BC8))))</f>
        <v>5</v>
      </c>
      <c r="BG8" s="190" cm="1">
        <f t="array" ref="BG8">SUMPRODUCT(--(B8:AI8=INT(B8:AI8)),--(B8:AI8&gt;0))/34*100%</f>
        <v>0.470588235294118</v>
      </c>
      <c r="BH8" s="191">
        <f t="shared" si="1"/>
        <v>4</v>
      </c>
      <c r="BI8" s="191">
        <f t="shared" si="2"/>
        <v>3</v>
      </c>
      <c r="BJ8" s="191">
        <f t="shared" si="3"/>
        <v>4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/>
      <c r="BA9" s="120"/>
      <c r="BB9" s="120"/>
      <c r="BC9" s="120"/>
      <c r="BD9" s="189">
        <f t="shared" si="0"/>
        <v>18</v>
      </c>
      <c r="BE9" s="189" cm="1">
        <f t="array" ref="BE9">SUMPRODUCT(--(B9:BC9=INT(B9:BC9)),--(B9:BC9&gt;0))</f>
        <v>18</v>
      </c>
      <c r="BF9" s="189" cm="1">
        <f t="array" ref="BF9">MAX(FREQUENCY(IF((B9:BC9=INT(B9:BC9))*(B9:BC9&gt;0),COLUMN(B9:BC9)),IF((B9:BC9&lt;&gt;INT(B9:BC9))+(B9:BC9&lt;=0),COLUMN(B9:BC9))))</f>
        <v>3</v>
      </c>
      <c r="BG9" s="190" cm="1">
        <f t="array" ref="BG9">SUMPRODUCT(--(B9:AI9=INT(B9:AI9)),--(B9:AI9&gt;0))/34*100%</f>
        <v>0.294117647058824</v>
      </c>
      <c r="BH9" s="191">
        <f t="shared" si="1"/>
        <v>9</v>
      </c>
      <c r="BI9" s="191">
        <f t="shared" si="2"/>
        <v>5</v>
      </c>
      <c r="BJ9" s="191">
        <f t="shared" si="3"/>
        <v>10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9">
        <f t="shared" si="0"/>
        <v>1</v>
      </c>
      <c r="BE10" s="189" cm="1">
        <f t="array" ref="BE10">SUMPRODUCT(--(B10:BC10=INT(B10:BC10)),--(B10:BC10&gt;0))</f>
        <v>1</v>
      </c>
      <c r="BF10" s="189" cm="1">
        <f t="array" ref="BF10">MAX(FREQUENCY(IF((B10:BC10=INT(B10:BC10))*(B10:BC10&gt;0),COLUMN(B10:BC10)),IF((B10:BC10&lt;&gt;INT(B10:BC10))+(B10:BC10&lt;=0),COLUMN(B10:BC10))))</f>
        <v>1</v>
      </c>
      <c r="BG10" s="190" cm="1">
        <f t="array" ref="BG10">SUMPRODUCT(--(B10:AI10=INT(B10:AI10)),--(B10:AI10&gt;0))/34*100%</f>
        <v>0.0294117647058824</v>
      </c>
      <c r="BH10" s="191">
        <f t="shared" si="1"/>
        <v>34</v>
      </c>
      <c r="BI10" s="191">
        <f t="shared" si="2"/>
        <v>34</v>
      </c>
      <c r="BJ10" s="191">
        <f t="shared" si="3"/>
        <v>22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/>
      <c r="BA11" s="120"/>
      <c r="BB11" s="120"/>
      <c r="BC11" s="120"/>
      <c r="BD11" s="189">
        <f t="shared" si="0"/>
        <v>10</v>
      </c>
      <c r="BE11" s="189" cm="1">
        <f t="array" ref="BE11">SUMPRODUCT(--(B11:BC11=INT(B11:BC11)),--(B11:BC11&gt;0))</f>
        <v>10</v>
      </c>
      <c r="BF11" s="189" cm="1">
        <f t="array" ref="BF11">MAX(FREQUENCY(IF((B11:BC11=INT(B11:BC11))*(B11:BC11&gt;0),COLUMN(B11:BC11)),IF((B11:BC11&lt;&gt;INT(B11:BC11))+(B11:BC11&lt;=0),COLUMN(B11:BC11))))</f>
        <v>2</v>
      </c>
      <c r="BG11" s="190" cm="1">
        <f t="array" ref="BG11">SUMPRODUCT(--(B11:AI11=INT(B11:AI11)),--(B11:AI11&gt;0))/34*100%</f>
        <v>0.205882352941176</v>
      </c>
      <c r="BH11" s="191">
        <f t="shared" si="1"/>
        <v>17</v>
      </c>
      <c r="BI11" s="191">
        <f t="shared" si="2"/>
        <v>17</v>
      </c>
      <c r="BJ11" s="191">
        <f t="shared" si="3"/>
        <v>16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9">
        <f t="shared" si="0"/>
        <v>2</v>
      </c>
      <c r="BE12" s="189" cm="1">
        <f t="array" ref="BE12">SUMPRODUCT(--(B12:BC12=INT(B12:BC12)),--(B12:BC12&gt;0))</f>
        <v>2</v>
      </c>
      <c r="BF12" s="189" cm="1">
        <f t="array" ref="BF12">MAX(FREQUENCY(IF((B12:BC12=INT(B12:BC12))*(B12:BC12&gt;0),COLUMN(B12:BC12)),IF((B12:BC12&lt;&gt;INT(B12:BC12))+(B12:BC12&lt;=0),COLUMN(B12:BC12))))</f>
        <v>1</v>
      </c>
      <c r="BG12" s="190" cm="1">
        <f t="array" ref="BG12">SUMPRODUCT(--(B12:AI12=INT(B12:AI12)),--(B12:AI12&gt;0))/34*100%</f>
        <v>0.0588235294117647</v>
      </c>
      <c r="BH12" s="191">
        <f t="shared" si="1"/>
        <v>31</v>
      </c>
      <c r="BI12" s="191">
        <f t="shared" si="2"/>
        <v>31</v>
      </c>
      <c r="BJ12" s="191">
        <f t="shared" si="3"/>
        <v>22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9">
        <f t="shared" si="0"/>
        <v>11</v>
      </c>
      <c r="BE13" s="189" cm="1">
        <f t="array" ref="BE13">SUMPRODUCT(--(B13:BC13=INT(B13:BC13)),--(B13:BC13&gt;0))</f>
        <v>11</v>
      </c>
      <c r="BF13" s="189" cm="1">
        <f t="array" ref="BF13">MAX(FREQUENCY(IF((B13:BC13=INT(B13:BC13))*(B13:BC13&gt;0),COLUMN(B13:BC13)),IF((B13:BC13&lt;&gt;INT(B13:BC13))+(B13:BC13&lt;=0),COLUMN(B13:BC13))))</f>
        <v>1</v>
      </c>
      <c r="BG13" s="190" cm="1">
        <f t="array" ref="BG13">SUMPRODUCT(--(B13:AI13=INT(B13:AI13)),--(B13:AI13&gt;0))/34*100%</f>
        <v>0.235294117647059</v>
      </c>
      <c r="BH13" s="191">
        <f t="shared" si="1"/>
        <v>15</v>
      </c>
      <c r="BI13" s="191">
        <f t="shared" si="2"/>
        <v>14</v>
      </c>
      <c r="BJ13" s="191">
        <f t="shared" si="3"/>
        <v>22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/>
      <c r="AZ14" s="120"/>
      <c r="BA14" s="120"/>
      <c r="BB14" s="120"/>
      <c r="BC14" s="120"/>
      <c r="BD14" s="189">
        <f t="shared" si="0"/>
        <v>4</v>
      </c>
      <c r="BE14" s="189" cm="1">
        <f t="array" ref="BE14">SUMPRODUCT(--(B14:BC14=INT(B14:BC14)),--(B14:BC14&gt;0))</f>
        <v>4</v>
      </c>
      <c r="BF14" s="189" cm="1">
        <f t="array" ref="BF14">MAX(FREQUENCY(IF((B14:BC14=INT(B14:BC14))*(B14:BC14&gt;0),COLUMN(B14:BC14)),IF((B14:BC14&lt;&gt;INT(B14:BC14))+(B14:BC14&lt;=0),COLUMN(B14:BC14))))</f>
        <v>1</v>
      </c>
      <c r="BG14" s="190" cm="1">
        <f t="array" ref="BG14">SUMPRODUCT(--(B14:AI14=INT(B14:AI14)),--(B14:AI14&gt;0))/34*100%</f>
        <v>0.0588235294117647</v>
      </c>
      <c r="BH14" s="191">
        <f t="shared" si="1"/>
        <v>26</v>
      </c>
      <c r="BI14" s="191">
        <f t="shared" si="2"/>
        <v>25</v>
      </c>
      <c r="BJ14" s="191">
        <f t="shared" si="3"/>
        <v>22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>
        <v>2</v>
      </c>
      <c r="AY15" s="120"/>
      <c r="AZ15" s="120"/>
      <c r="BA15" s="120"/>
      <c r="BB15" s="120"/>
      <c r="BC15" s="120"/>
      <c r="BD15" s="189">
        <f t="shared" si="0"/>
        <v>20</v>
      </c>
      <c r="BE15" s="189" cm="1">
        <f t="array" ref="BE15">SUMPRODUCT(--(B15:BC15=INT(B15:BC15)),--(B15:BC15&gt;0))</f>
        <v>17</v>
      </c>
      <c r="BF15" s="189" cm="1">
        <f t="array" ref="BF15">MAX(FREQUENCY(IF((B15:BC15=INT(B15:BC15))*(B15:BC15&gt;0),COLUMN(B15:BC15)),IF((B15:BC15&lt;&gt;INT(B15:BC15))+(B15:BC15&lt;=0),COLUMN(B15:BC15))))</f>
        <v>3</v>
      </c>
      <c r="BG15" s="190" cm="1">
        <f t="array" ref="BG15">SUMPRODUCT(--(B15:AI15=INT(B15:AI15)),--(B15:AI15&gt;0))/34*100%</f>
        <v>0.264705882352941</v>
      </c>
      <c r="BH15" s="191">
        <f t="shared" si="1"/>
        <v>6</v>
      </c>
      <c r="BI15" s="191">
        <f t="shared" si="2"/>
        <v>8</v>
      </c>
      <c r="BJ15" s="191">
        <f t="shared" si="3"/>
        <v>10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9">
        <f t="shared" si="0"/>
        <v>2</v>
      </c>
      <c r="BE16" s="189" cm="1">
        <f t="array" ref="BE16">SUMPRODUCT(--(B16:BC16=INT(B16:BC16)),--(B16:BC16&gt;0))</f>
        <v>2</v>
      </c>
      <c r="BF16" s="189" cm="1">
        <f t="array" ref="BF16">MAX(FREQUENCY(IF((B16:BC16=INT(B16:BC16))*(B16:BC16&gt;0),COLUMN(B16:BC16)),IF((B16:BC16&lt;&gt;INT(B16:BC16))+(B16:BC16&lt;=0),COLUMN(B16:BC16))))</f>
        <v>1</v>
      </c>
      <c r="BG16" s="190" cm="1">
        <f t="array" ref="BG16">SUMPRODUCT(--(B16:AI16=INT(B16:AI16)),--(B16:AI16&gt;0))/34*100%</f>
        <v>0.0588235294117647</v>
      </c>
      <c r="BH16" s="191">
        <f t="shared" si="1"/>
        <v>31</v>
      </c>
      <c r="BI16" s="191">
        <f t="shared" si="2"/>
        <v>31</v>
      </c>
      <c r="BJ16" s="191">
        <f t="shared" si="3"/>
        <v>22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9">
        <f t="shared" si="0"/>
        <v>4</v>
      </c>
      <c r="BE17" s="189" cm="1">
        <f t="array" ref="BE17">SUMPRODUCT(--(B17:BC17=INT(B17:BC17)),--(B17:BC17&gt;0))</f>
        <v>4</v>
      </c>
      <c r="BF17" s="189" cm="1">
        <f t="array" ref="BF17">MAX(FREQUENCY(IF((B17:BC17=INT(B17:BC17))*(B17:BC17&gt;0),COLUMN(B17:BC17)),IF((B17:BC17&lt;&gt;INT(B17:BC17))+(B17:BC17&lt;=0),COLUMN(B17:BC17))))</f>
        <v>1</v>
      </c>
      <c r="BG17" s="190" cm="1">
        <f t="array" ref="BG17">SUMPRODUCT(--(B17:AI17=INT(B17:AI17)),--(B17:AI17&gt;0))/34*100%</f>
        <v>0.0882352941176471</v>
      </c>
      <c r="BH17" s="191">
        <f t="shared" si="1"/>
        <v>26</v>
      </c>
      <c r="BI17" s="191">
        <f t="shared" si="2"/>
        <v>25</v>
      </c>
      <c r="BJ17" s="191">
        <f t="shared" si="3"/>
        <v>22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9">
        <f t="shared" si="0"/>
        <v>1</v>
      </c>
      <c r="BE18" s="189" cm="1">
        <f t="array" ref="BE18">SUMPRODUCT(--(B18:BC18=INT(B18:BC18)),--(B18:BC18&gt;0))</f>
        <v>1</v>
      </c>
      <c r="BF18" s="189" cm="1">
        <f t="array" ref="BF18">MAX(FREQUENCY(IF((B18:BC18=INT(B18:BC18))*(B18:BC18&gt;0),COLUMN(B18:BC18)),IF((B18:BC18&lt;&gt;INT(B18:BC18))+(B18:BC18&lt;=0),COLUMN(B18:BC18))))</f>
        <v>1</v>
      </c>
      <c r="BG18" s="190" cm="1">
        <f t="array" ref="BG18">SUMPRODUCT(--(B18:AI18=INT(B18:AI18)),--(B18:AI18&gt;0))/34*100%</f>
        <v>0.0294117647058824</v>
      </c>
      <c r="BH18" s="191">
        <f t="shared" si="1"/>
        <v>34</v>
      </c>
      <c r="BI18" s="191">
        <f t="shared" si="2"/>
        <v>34</v>
      </c>
      <c r="BJ18" s="191">
        <f t="shared" si="3"/>
        <v>22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/>
      <c r="AZ19" s="120"/>
      <c r="BA19" s="120"/>
      <c r="BB19" s="120"/>
      <c r="BC19" s="120"/>
      <c r="BD19" s="189">
        <f t="shared" si="0"/>
        <v>8</v>
      </c>
      <c r="BE19" s="189" cm="1">
        <f t="array" ref="BE19">SUMPRODUCT(--(B19:BC19=INT(B19:BC19)),--(B19:BC19&gt;0))</f>
        <v>7</v>
      </c>
      <c r="BF19" s="189" cm="1">
        <f t="array" ref="BF19">MAX(FREQUENCY(IF((B19:BC19=INT(B19:BC19))*(B19:BC19&gt;0),COLUMN(B19:BC19)),IF((B19:BC19&lt;&gt;INT(B19:BC19))+(B19:BC19&lt;=0),COLUMN(B19:BC19))))</f>
        <v>2</v>
      </c>
      <c r="BG19" s="190" cm="1">
        <f t="array" ref="BG19">SUMPRODUCT(--(B19:AI19=INT(B19:AI19)),--(B19:AI19&gt;0))/34*100%</f>
        <v>0.147058823529412</v>
      </c>
      <c r="BH19" s="191">
        <f t="shared" si="1"/>
        <v>20</v>
      </c>
      <c r="BI19" s="191">
        <f t="shared" si="2"/>
        <v>20</v>
      </c>
      <c r="BJ19" s="191">
        <f t="shared" si="3"/>
        <v>16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9">
        <f t="shared" si="0"/>
        <v>1</v>
      </c>
      <c r="BE20" s="189" cm="1">
        <f t="array" ref="BE20">SUMPRODUCT(--(B20:BC20=INT(B20:BC20)),--(B20:BC20&gt;0))</f>
        <v>1</v>
      </c>
      <c r="BF20" s="189" cm="1">
        <f t="array" ref="BF20">MAX(FREQUENCY(IF((B20:BC20=INT(B20:BC20))*(B20:BC20&gt;0),COLUMN(B20:BC20)),IF((B20:BC20&lt;&gt;INT(B20:BC20))+(B20:BC20&lt;=0),COLUMN(B20:BC20))))</f>
        <v>1</v>
      </c>
      <c r="BG20" s="190" cm="1">
        <f t="array" ref="BG20">SUMPRODUCT(--(B20:AI20=INT(B20:AI20)),--(B20:AI20&gt;0))/34*100%</f>
        <v>0.0294117647058824</v>
      </c>
      <c r="BH20" s="191">
        <f t="shared" si="1"/>
        <v>34</v>
      </c>
      <c r="BI20" s="191">
        <f t="shared" si="2"/>
        <v>34</v>
      </c>
      <c r="BJ20" s="191">
        <f t="shared" si="3"/>
        <v>22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/>
      <c r="BC21" s="120"/>
      <c r="BD21" s="189">
        <f t="shared" si="0"/>
        <v>5</v>
      </c>
      <c r="BE21" s="189" cm="1">
        <f t="array" ref="BE21">SUMPRODUCT(--(B21:BC21=INT(B21:BC21)),--(B21:BC21&gt;0))</f>
        <v>4</v>
      </c>
      <c r="BF21" s="189" cm="1">
        <f t="array" ref="BF21">MAX(FREQUENCY(IF((B21:BC21=INT(B21:BC21))*(B21:BC21&gt;0),COLUMN(B21:BC21)),IF((B21:BC21&lt;&gt;INT(B21:BC21))+(B21:BC21&lt;=0),COLUMN(B21:BC21))))</f>
        <v>1</v>
      </c>
      <c r="BG21" s="190" cm="1">
        <f t="array" ref="BG21">SUMPRODUCT(--(B21:AI21=INT(B21:AI21)),--(B21:AI21&gt;0))/34*100%</f>
        <v>0.0588235294117647</v>
      </c>
      <c r="BH21" s="191">
        <f t="shared" si="1"/>
        <v>23</v>
      </c>
      <c r="BI21" s="191">
        <f t="shared" si="2"/>
        <v>25</v>
      </c>
      <c r="BJ21" s="191">
        <f t="shared" si="3"/>
        <v>22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>
        <v>1</v>
      </c>
      <c r="AY22" s="120"/>
      <c r="AZ22" s="120"/>
      <c r="BA22" s="120"/>
      <c r="BB22" s="120"/>
      <c r="BC22" s="120"/>
      <c r="BD22" s="189">
        <f t="shared" si="0"/>
        <v>18</v>
      </c>
      <c r="BE22" s="189" cm="1">
        <f t="array" ref="BE22">SUMPRODUCT(--(B22:BC22=INT(B22:BC22)),--(B22:BC22&gt;0))</f>
        <v>15</v>
      </c>
      <c r="BF22" s="189" cm="1">
        <f t="array" ref="BF22">MAX(FREQUENCY(IF((B22:BC22=INT(B22:BC22))*(B22:BC22&gt;0),COLUMN(B22:BC22)),IF((B22:BC22&lt;&gt;INT(B22:BC22))+(B22:BC22&lt;=0),COLUMN(B22:BC22))))</f>
        <v>4</v>
      </c>
      <c r="BG22" s="190" cm="1">
        <f t="array" ref="BG22">SUMPRODUCT(--(B22:AI22=INT(B22:AI22)),--(B22:AI22&gt;0))/34*100%</f>
        <v>0.294117647058824</v>
      </c>
      <c r="BH22" s="191">
        <f t="shared" si="1"/>
        <v>9</v>
      </c>
      <c r="BI22" s="191">
        <f t="shared" si="2"/>
        <v>10</v>
      </c>
      <c r="BJ22" s="191">
        <f t="shared" si="3"/>
        <v>8</v>
      </c>
    </row>
    <row r="23" customHeight="1" spans="1:62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89">
        <f t="shared" si="0"/>
        <v>1</v>
      </c>
      <c r="BE23" s="189" cm="1">
        <f t="array" ref="BE23">SUMPRODUCT(--(B23:BC23=INT(B23:BC23)),--(B23:BC23&gt;0))</f>
        <v>1</v>
      </c>
      <c r="BF23" s="189" cm="1">
        <f t="array" ref="BF23">MAX(FREQUENCY(IF((B23:BC23=INT(B23:BC23))*(B23:BC23&gt;0),COLUMN(B23:BC23)),IF((B23:BC23&lt;&gt;INT(B23:BC23))+(B23:BC23&lt;=0),COLUMN(B23:BC23))))</f>
        <v>1</v>
      </c>
      <c r="BG23" s="190" cm="1">
        <f t="array" ref="BG23">SUMPRODUCT(--(B23:AI23=INT(B23:AI23)),--(B23:AI23&gt;0))/34*100%</f>
        <v>0</v>
      </c>
      <c r="BH23" s="191">
        <f t="shared" si="1"/>
        <v>34</v>
      </c>
      <c r="BI23" s="191">
        <f t="shared" si="2"/>
        <v>34</v>
      </c>
      <c r="BJ23" s="191">
        <f t="shared" si="3"/>
        <v>22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>
        <v>1</v>
      </c>
      <c r="AY24" s="120"/>
      <c r="AZ24" s="120"/>
      <c r="BA24" s="120"/>
      <c r="BB24" s="120"/>
      <c r="BC24" s="120"/>
      <c r="BD24" s="189">
        <f t="shared" si="0"/>
        <v>9</v>
      </c>
      <c r="BE24" s="189" cm="1">
        <f t="array" ref="BE24">SUMPRODUCT(--(B24:BC24=INT(B24:BC24)),--(B24:BC24&gt;0))</f>
        <v>9</v>
      </c>
      <c r="BF24" s="189" cm="1">
        <f t="array" ref="BF24">MAX(FREQUENCY(IF((B24:BC24=INT(B24:BC24))*(B24:BC24&gt;0),COLUMN(B24:BC24)),IF((B24:BC24&lt;&gt;INT(B24:BC24))+(B24:BC24&lt;=0),COLUMN(B24:BC24))))</f>
        <v>3</v>
      </c>
      <c r="BG24" s="190" cm="1">
        <f t="array" ref="BG24">SUMPRODUCT(--(B24:AI24=INT(B24:AI24)),--(B24:AI24&gt;0))/34*100%</f>
        <v>0.235294117647059</v>
      </c>
      <c r="BH24" s="191">
        <f t="shared" si="1"/>
        <v>19</v>
      </c>
      <c r="BI24" s="191">
        <f t="shared" si="2"/>
        <v>18</v>
      </c>
      <c r="BJ24" s="191">
        <f t="shared" si="3"/>
        <v>10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9">
        <f t="shared" si="0"/>
        <v>1</v>
      </c>
      <c r="BE25" s="189" cm="1">
        <f t="array" ref="BE25">SUMPRODUCT(--(B25:BC25=INT(B25:BC25)),--(B25:BC25&gt;0))</f>
        <v>1</v>
      </c>
      <c r="BF25" s="189" cm="1">
        <f t="array" ref="BF25">MAX(FREQUENCY(IF((B25:BC25=INT(B25:BC25))*(B25:BC25&gt;0),COLUMN(B25:BC25)),IF((B25:BC25&lt;&gt;INT(B25:BC25))+(B25:BC25&lt;=0),COLUMN(B25:BC25))))</f>
        <v>1</v>
      </c>
      <c r="BG25" s="190" cm="1">
        <f t="array" ref="BG25">SUMPRODUCT(--(B25:AI25=INT(B25:AI25)),--(B25:AI25&gt;0))/34*100%</f>
        <v>0.0294117647058824</v>
      </c>
      <c r="BH25" s="191">
        <f t="shared" si="1"/>
        <v>34</v>
      </c>
      <c r="BI25" s="191">
        <f t="shared" si="2"/>
        <v>34</v>
      </c>
      <c r="BJ25" s="191">
        <f t="shared" si="3"/>
        <v>22</v>
      </c>
    </row>
    <row r="26" customHeight="1" spans="1:62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9">
        <f t="shared" si="0"/>
        <v>0</v>
      </c>
      <c r="BE26" s="189" cm="1">
        <f t="array" ref="BE26">SUMPRODUCT(--(B26:BC26=INT(B26:BC26)),--(B26:BC26&gt;0))</f>
        <v>0</v>
      </c>
      <c r="BF26" s="189" cm="1">
        <f t="array" ref="BF26">MAX(FREQUENCY(IF((B26:BC26=INT(B26:BC26))*(B26:BC26&gt;0),COLUMN(B26:BC26)),IF((B26:BC26&lt;&gt;INT(B26:BC26))+(B26:BC26&lt;=0),COLUMN(B26:BC26))))</f>
        <v>0</v>
      </c>
      <c r="BG26" s="190" cm="1">
        <f t="array" ref="BG26">SUMPRODUCT(--(B26:AI26=INT(B26:AI26)),--(B26:AI26&gt;0))/34*100%</f>
        <v>0</v>
      </c>
      <c r="BH26" s="191">
        <f t="shared" si="1"/>
        <v>42</v>
      </c>
      <c r="BI26" s="191">
        <f t="shared" si="2"/>
        <v>42</v>
      </c>
      <c r="BJ26" s="191">
        <f t="shared" si="3"/>
        <v>42</v>
      </c>
    </row>
    <row r="27" customHeight="1" spans="1:62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9">
        <f t="shared" si="0"/>
        <v>0</v>
      </c>
      <c r="BE27" s="189" cm="1">
        <f t="array" ref="BE27">SUMPRODUCT(--(B27:BC27=INT(B27:BC27)),--(B27:BC27&gt;0))</f>
        <v>0</v>
      </c>
      <c r="BF27" s="189" cm="1">
        <f t="array" ref="BF27">MAX(FREQUENCY(IF((B27:BC27=INT(B27:BC27))*(B27:BC27&gt;0),COLUMN(B27:BC27)),IF((B27:BC27&lt;&gt;INT(B27:BC27))+(B27:BC27&lt;=0),COLUMN(B27:BC27))))</f>
        <v>0</v>
      </c>
      <c r="BG27" s="190" cm="1">
        <f t="array" ref="BG27">SUMPRODUCT(--(B27:AI27=INT(B27:AI27)),--(B27:AI27&gt;0))/34*100%</f>
        <v>0</v>
      </c>
      <c r="BH27" s="191">
        <f t="shared" si="1"/>
        <v>42</v>
      </c>
      <c r="BI27" s="191">
        <f t="shared" si="2"/>
        <v>42</v>
      </c>
      <c r="BJ27" s="191">
        <f t="shared" si="3"/>
        <v>42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>
        <v>2</v>
      </c>
      <c r="AY28" s="120"/>
      <c r="AZ28" s="120"/>
      <c r="BA28" s="120"/>
      <c r="BB28" s="120"/>
      <c r="BC28" s="120"/>
      <c r="BD28" s="189">
        <f t="shared" si="0"/>
        <v>13</v>
      </c>
      <c r="BE28" s="189" cm="1">
        <f t="array" ref="BE28">SUMPRODUCT(--(B28:BC28=INT(B28:BC28)),--(B28:BC28&gt;0))</f>
        <v>12</v>
      </c>
      <c r="BF28" s="189" cm="1">
        <f t="array" ref="BF28">MAX(FREQUENCY(IF((B28:BC28=INT(B28:BC28))*(B28:BC28&gt;0),COLUMN(B28:BC28)),IF((B28:BC28&lt;&gt;INT(B28:BC28))+(B28:BC28&lt;=0),COLUMN(B28:BC28))))</f>
        <v>2</v>
      </c>
      <c r="BG28" s="190" cm="1">
        <f t="array" ref="BG28">SUMPRODUCT(--(B28:AI28=INT(B28:AI28)),--(B28:AI28&gt;0))/34*100%</f>
        <v>0.235294117647059</v>
      </c>
      <c r="BH28" s="191">
        <f t="shared" si="1"/>
        <v>12</v>
      </c>
      <c r="BI28" s="191">
        <f t="shared" si="2"/>
        <v>12</v>
      </c>
      <c r="BJ28" s="191">
        <f t="shared" si="3"/>
        <v>16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89">
        <f t="shared" si="0"/>
        <v>11</v>
      </c>
      <c r="BE29" s="189" cm="1">
        <f t="array" ref="BE29">SUMPRODUCT(--(B29:BC29=INT(B29:BC29)),--(B29:BC29&gt;0))</f>
        <v>11</v>
      </c>
      <c r="BF29" s="189" cm="1">
        <f t="array" ref="BF29">MAX(FREQUENCY(IF((B29:BC29=INT(B29:BC29))*(B29:BC29&gt;0),COLUMN(B29:BC29)),IF((B29:BC29&lt;&gt;INT(B29:BC29))+(B29:BC29&lt;=0),COLUMN(B29:BC29))))</f>
        <v>5</v>
      </c>
      <c r="BG29" s="190" cm="1">
        <f t="array" ref="BG29">SUMPRODUCT(--(B29:AI29=INT(B29:AI29)),--(B29:AI29&gt;0))/34*100%</f>
        <v>0.117647058823529</v>
      </c>
      <c r="BH29" s="191">
        <f t="shared" si="1"/>
        <v>15</v>
      </c>
      <c r="BI29" s="191">
        <f t="shared" si="2"/>
        <v>14</v>
      </c>
      <c r="BJ29" s="191">
        <f t="shared" si="3"/>
        <v>4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9">
        <f t="shared" si="0"/>
        <v>8</v>
      </c>
      <c r="BE30" s="189" cm="1">
        <f t="array" ref="BE30">SUMPRODUCT(--(B30:BC30=INT(B30:BC30)),--(B30:BC30&gt;0))</f>
        <v>7</v>
      </c>
      <c r="BF30" s="189" cm="1">
        <f t="array" ref="BF30">MAX(FREQUENCY(IF((B30:BC30=INT(B30:BC30))*(B30:BC30&gt;0),COLUMN(B30:BC30)),IF((B30:BC30&lt;&gt;INT(B30:BC30))+(B30:BC30&lt;=0),COLUMN(B30:BC30))))</f>
        <v>4</v>
      </c>
      <c r="BG30" s="190" cm="1">
        <f t="array" ref="BG30">SUMPRODUCT(--(B30:AI30=INT(B30:AI30)),--(B30:AI30&gt;0))/34*100%</f>
        <v>0.205882352941176</v>
      </c>
      <c r="BH30" s="191">
        <f t="shared" si="1"/>
        <v>20</v>
      </c>
      <c r="BI30" s="191">
        <f t="shared" si="2"/>
        <v>20</v>
      </c>
      <c r="BJ30" s="191">
        <f t="shared" si="3"/>
        <v>8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9">
        <f t="shared" si="0"/>
        <v>12</v>
      </c>
      <c r="BE31" s="189" cm="1">
        <f t="array" ref="BE31">SUMPRODUCT(--(B31:BC31=INT(B31:BC31)),--(B31:BC31&gt;0))</f>
        <v>11</v>
      </c>
      <c r="BF31" s="189" cm="1">
        <f t="array" ref="BF31">MAX(FREQUENCY(IF((B31:BC31=INT(B31:BC31))*(B31:BC31&gt;0),COLUMN(B31:BC31)),IF((B31:BC31&lt;&gt;INT(B31:BC31))+(B31:BC31&lt;=0),COLUMN(B31:BC31))))</f>
        <v>2</v>
      </c>
      <c r="BG31" s="190" cm="1">
        <f t="array" ref="BG31">SUMPRODUCT(--(B31:AI31=INT(B31:AI31)),--(B31:AI31&gt;0))/34*100%</f>
        <v>0.205882352941176</v>
      </c>
      <c r="BH31" s="191">
        <f t="shared" si="1"/>
        <v>14</v>
      </c>
      <c r="BI31" s="191">
        <f t="shared" si="2"/>
        <v>14</v>
      </c>
      <c r="BJ31" s="191">
        <f t="shared" si="3"/>
        <v>16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>
        <v>1</v>
      </c>
      <c r="AY32" s="120"/>
      <c r="AZ32" s="120"/>
      <c r="BA32" s="120"/>
      <c r="BB32" s="120"/>
      <c r="BC32" s="120"/>
      <c r="BD32" s="189">
        <f t="shared" si="0"/>
        <v>13</v>
      </c>
      <c r="BE32" s="189" cm="1">
        <f t="array" ref="BE32">SUMPRODUCT(--(B32:BC32=INT(B32:BC32)),--(B32:BC32&gt;0))</f>
        <v>12</v>
      </c>
      <c r="BF32" s="189" cm="1">
        <f t="array" ref="BF32">MAX(FREQUENCY(IF((B32:BC32=INT(B32:BC32))*(B32:BC32&gt;0),COLUMN(B32:BC32)),IF((B32:BC32&lt;&gt;INT(B32:BC32))+(B32:BC32&lt;=0),COLUMN(B32:BC32))))</f>
        <v>3</v>
      </c>
      <c r="BG32" s="190" cm="1">
        <f t="array" ref="BG32">SUMPRODUCT(--(B32:AI32=INT(B32:AI32)),--(B32:AI32&gt;0))/34*100%</f>
        <v>0.264705882352941</v>
      </c>
      <c r="BH32" s="191">
        <f t="shared" si="1"/>
        <v>12</v>
      </c>
      <c r="BI32" s="191">
        <f t="shared" si="2"/>
        <v>12</v>
      </c>
      <c r="BJ32" s="191">
        <f t="shared" si="3"/>
        <v>10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9">
        <f t="shared" si="0"/>
        <v>5</v>
      </c>
      <c r="BE33" s="189" cm="1">
        <f t="array" ref="BE33">SUMPRODUCT(--(B33:BC33=INT(B33:BC33)),--(B33:BC33&gt;0))</f>
        <v>5</v>
      </c>
      <c r="BF33" s="189" cm="1">
        <f t="array" ref="BF33">MAX(FREQUENCY(IF((B33:BC33=INT(B33:BC33))*(B33:BC33&gt;0),COLUMN(B33:BC33)),IF((B33:BC33&lt;&gt;INT(B33:BC33))+(B33:BC33&lt;=0),COLUMN(B33:BC33))))</f>
        <v>1</v>
      </c>
      <c r="BG33" s="190" cm="1">
        <f t="array" ref="BG33">SUMPRODUCT(--(B33:AI33=INT(B33:AI33)),--(B33:AI33&gt;0))/34*100%</f>
        <v>0.0882352941176471</v>
      </c>
      <c r="BH33" s="191">
        <f t="shared" si="1"/>
        <v>23</v>
      </c>
      <c r="BI33" s="191">
        <f t="shared" si="2"/>
        <v>23</v>
      </c>
      <c r="BJ33" s="191">
        <f t="shared" si="3"/>
        <v>22</v>
      </c>
    </row>
    <row r="34" customHeight="1" spans="1:62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9">
        <f t="shared" si="0"/>
        <v>0</v>
      </c>
      <c r="BE34" s="189" cm="1">
        <f t="array" ref="BE34">SUMPRODUCT(--(B34:BC34=INT(B34:BC34)),--(B34:BC34&gt;0))</f>
        <v>0</v>
      </c>
      <c r="BF34" s="189" cm="1">
        <f t="array" ref="BF34">MAX(FREQUENCY(IF((B34:BC34=INT(B34:BC34))*(B34:BC34&gt;0),COLUMN(B34:BC34)),IF((B34:BC34&lt;&gt;INT(B34:BC34))+(B34:BC34&lt;=0),COLUMN(B34:BC34))))</f>
        <v>0</v>
      </c>
      <c r="BG34" s="190" cm="1">
        <f t="array" ref="BG34">SUMPRODUCT(--(B34:AI34=INT(B34:AI34)),--(B34:AI34&gt;0))/34*100%</f>
        <v>0</v>
      </c>
      <c r="BH34" s="191">
        <f t="shared" si="1"/>
        <v>42</v>
      </c>
      <c r="BI34" s="191">
        <f t="shared" si="2"/>
        <v>42</v>
      </c>
      <c r="BJ34" s="191">
        <f t="shared" si="3"/>
        <v>42</v>
      </c>
    </row>
    <row r="35" customHeight="1" spans="1:62">
      <c r="A35" s="192">
        <v>33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  <c r="BD35" s="189">
        <f t="shared" si="0"/>
        <v>0</v>
      </c>
      <c r="BE35" s="189" cm="1">
        <f t="array" ref="BE35">SUMPRODUCT(--(B35:BC35=INT(B35:BC35)),--(B35:BC35&gt;0))</f>
        <v>0</v>
      </c>
      <c r="BF35" s="189" cm="1">
        <f t="array" ref="BF35">MAX(FREQUENCY(IF((B35:BC35=INT(B35:BC35))*(B35:BC35&gt;0),COLUMN(B35:BC35)),IF((B35:BC35&lt;&gt;INT(B35:BC35))+(B35:BC35&lt;=0),COLUMN(B35:BC35))))</f>
        <v>0</v>
      </c>
      <c r="BG35" s="190" cm="1">
        <f t="array" ref="BG35">SUMPRODUCT(--(B35:AI35=INT(B35:AI35)),--(B35:AI35&gt;0))/34*100%</f>
        <v>0</v>
      </c>
      <c r="BH35" s="191">
        <f t="shared" si="1"/>
        <v>42</v>
      </c>
      <c r="BI35" s="191">
        <f t="shared" si="2"/>
        <v>42</v>
      </c>
      <c r="BJ35" s="191">
        <f t="shared" si="3"/>
        <v>42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9">
        <f t="shared" si="0"/>
        <v>1</v>
      </c>
      <c r="BE36" s="189" cm="1">
        <f t="array" ref="BE36">SUMPRODUCT(--(B36:BC36=INT(B36:BC36)),--(B36:BC36&gt;0))</f>
        <v>1</v>
      </c>
      <c r="BF36" s="189" cm="1">
        <f t="array" ref="BF36">MAX(FREQUENCY(IF((B36:BC36=INT(B36:BC36))*(B36:BC36&gt;0),COLUMN(B36:BC36)),IF((B36:BC36&lt;&gt;INT(B36:BC36))+(B36:BC36&lt;=0),COLUMN(B36:BC36))))</f>
        <v>1</v>
      </c>
      <c r="BG36" s="190" cm="1">
        <f t="array" ref="BG36">SUMPRODUCT(--(B36:AI36=INT(B36:AI36)),--(B36:AI36&gt;0))/34*100%</f>
        <v>0.0294117647058824</v>
      </c>
      <c r="BH36" s="191">
        <f t="shared" si="1"/>
        <v>34</v>
      </c>
      <c r="BI36" s="191">
        <f t="shared" si="2"/>
        <v>34</v>
      </c>
      <c r="BJ36" s="191">
        <f t="shared" si="3"/>
        <v>22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>
        <v>1</v>
      </c>
      <c r="AY37" s="120"/>
      <c r="AZ37" s="120"/>
      <c r="BA37" s="120"/>
      <c r="BB37" s="120"/>
      <c r="BC37" s="120"/>
      <c r="BD37" s="189">
        <f t="shared" si="0"/>
        <v>10</v>
      </c>
      <c r="BE37" s="189" cm="1">
        <f t="array" ref="BE37">SUMPRODUCT(--(B37:BC37=INT(B37:BC37)),--(B37:BC37&gt;0))</f>
        <v>9</v>
      </c>
      <c r="BF37" s="189" cm="1">
        <f t="array" ref="BF37">MAX(FREQUENCY(IF((B37:BC37=INT(B37:BC37))*(B37:BC37&gt;0),COLUMN(B37:BC37)),IF((B37:BC37&lt;&gt;INT(B37:BC37))+(B37:BC37&lt;=0),COLUMN(B37:BC37))))</f>
        <v>3</v>
      </c>
      <c r="BG37" s="190" cm="1">
        <f t="array" ref="BG37">SUMPRODUCT(--(B37:AI37=INT(B37:AI37)),--(B37:AI37&gt;0))/34*100%</f>
        <v>0.176470588235294</v>
      </c>
      <c r="BH37" s="191">
        <f t="shared" si="1"/>
        <v>17</v>
      </c>
      <c r="BI37" s="191">
        <f t="shared" si="2"/>
        <v>18</v>
      </c>
      <c r="BJ37" s="191">
        <f t="shared" si="3"/>
        <v>10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9">
        <f t="shared" si="0"/>
        <v>4</v>
      </c>
      <c r="BE38" s="189" cm="1">
        <f t="array" ref="BE38">SUMPRODUCT(--(B38:BC38=INT(B38:BC38)),--(B38:BC38&gt;0))</f>
        <v>3</v>
      </c>
      <c r="BF38" s="189" cm="1">
        <f t="array" ref="BF38">MAX(FREQUENCY(IF((B38:BC38=INT(B38:BC38))*(B38:BC38&gt;0),COLUMN(B38:BC38)),IF((B38:BC38&lt;&gt;INT(B38:BC38))+(B38:BC38&lt;=0),COLUMN(B38:BC38))))</f>
        <v>1</v>
      </c>
      <c r="BG38" s="190" cm="1">
        <f t="array" ref="BG38">SUMPRODUCT(--(B38:AI38=INT(B38:AI38)),--(B38:AI38&gt;0))/34*100%</f>
        <v>0.0882352941176471</v>
      </c>
      <c r="BH38" s="191">
        <f t="shared" si="1"/>
        <v>26</v>
      </c>
      <c r="BI38" s="191">
        <f t="shared" si="2"/>
        <v>29</v>
      </c>
      <c r="BJ38" s="191">
        <f t="shared" si="3"/>
        <v>22</v>
      </c>
    </row>
    <row r="39" customHeight="1" spans="1:62">
      <c r="A39" s="192">
        <v>37</v>
      </c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  <c r="BD39" s="189">
        <f t="shared" si="0"/>
        <v>0</v>
      </c>
      <c r="BE39" s="189" cm="1">
        <f t="array" ref="BE39">SUMPRODUCT(--(B39:BC39=INT(B39:BC39)),--(B39:BC39&gt;0))</f>
        <v>0</v>
      </c>
      <c r="BF39" s="189" cm="1">
        <f t="array" ref="BF39">MAX(FREQUENCY(IF((B39:BC39=INT(B39:BC39))*(B39:BC39&gt;0),COLUMN(B39:BC39)),IF((B39:BC39&lt;&gt;INT(B39:BC39))+(B39:BC39&lt;=0),COLUMN(B39:BC39))))</f>
        <v>0</v>
      </c>
      <c r="BG39" s="190" cm="1">
        <f t="array" ref="BG39">SUMPRODUCT(--(B39:AI39=INT(B39:AI39)),--(B39:AI39&gt;0))/34*100%</f>
        <v>0</v>
      </c>
      <c r="BH39" s="193">
        <f t="shared" si="1"/>
        <v>42</v>
      </c>
      <c r="BI39" s="193">
        <f t="shared" si="2"/>
        <v>42</v>
      </c>
      <c r="BJ39" s="193">
        <f t="shared" si="3"/>
        <v>42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>
        <v>2</v>
      </c>
      <c r="AY40" s="120"/>
      <c r="AZ40" s="120"/>
      <c r="BA40" s="120"/>
      <c r="BB40" s="120"/>
      <c r="BC40" s="120"/>
      <c r="BD40" s="189">
        <f t="shared" si="0"/>
        <v>31</v>
      </c>
      <c r="BE40" s="189" cm="1">
        <f t="array" ref="BE40">SUMPRODUCT(--(B40:BC40=INT(B40:BC40)),--(B40:BC40&gt;0))</f>
        <v>26</v>
      </c>
      <c r="BF40" s="189" cm="1">
        <f t="array" ref="BF40">MAX(FREQUENCY(IF((B40:BC40=INT(B40:BC40))*(B40:BC40&gt;0),COLUMN(B40:BC40)),IF((B40:BC40&lt;&gt;INT(B40:BC40))+(B40:BC40&lt;=0),COLUMN(B40:BC40))))</f>
        <v>12</v>
      </c>
      <c r="BG40" s="190" cm="1">
        <f t="array" ref="BG40">SUMPRODUCT(--(B40:AI40=INT(B40:AI40)),--(B40:AI40&gt;0))/34*100%</f>
        <v>0.617647058823529</v>
      </c>
      <c r="BH40" s="191">
        <f t="shared" si="1"/>
        <v>2</v>
      </c>
      <c r="BI40" s="191">
        <f t="shared" si="2"/>
        <v>2</v>
      </c>
      <c r="BJ40" s="191">
        <f t="shared" si="3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/>
      <c r="BA41" s="120"/>
      <c r="BB41" s="120"/>
      <c r="BC41" s="120"/>
      <c r="BD41" s="189">
        <f t="shared" si="0"/>
        <v>20</v>
      </c>
      <c r="BE41" s="189" cm="1">
        <f t="array" ref="BE41">SUMPRODUCT(--(B41:BC41=INT(B41:BC41)),--(B41:BC41&gt;0))</f>
        <v>16</v>
      </c>
      <c r="BF41" s="189" cm="1">
        <f t="array" ref="BF41">MAX(FREQUENCY(IF((B41:BC41=INT(B41:BC41))*(B41:BC41&gt;0),COLUMN(B41:BC41)),IF((B41:BC41&lt;&gt;INT(B41:BC41))+(B41:BC41&lt;=0),COLUMN(B41:BC41))))</f>
        <v>2</v>
      </c>
      <c r="BG41" s="190" cm="1">
        <f t="array" ref="BG41">SUMPRODUCT(--(B41:AI41=INT(B41:AI41)),--(B41:AI41&gt;0))/34*100%</f>
        <v>0.235294117647059</v>
      </c>
      <c r="BH41" s="191">
        <f t="shared" si="1"/>
        <v>6</v>
      </c>
      <c r="BI41" s="191">
        <f t="shared" si="2"/>
        <v>9</v>
      </c>
      <c r="BJ41" s="191">
        <f t="shared" si="3"/>
        <v>16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>
        <v>2</v>
      </c>
      <c r="AY42" s="120"/>
      <c r="AZ42" s="120"/>
      <c r="BA42" s="120"/>
      <c r="BB42" s="120"/>
      <c r="BC42" s="120"/>
      <c r="BD42" s="189">
        <f t="shared" si="0"/>
        <v>27</v>
      </c>
      <c r="BE42" s="189" cm="1">
        <f t="array" ref="BE42">SUMPRODUCT(--(B42:BC42=INT(B42:BC42)),--(B42:BC42&gt;0))</f>
        <v>20</v>
      </c>
      <c r="BF42" s="189" cm="1">
        <f t="array" ref="BF42">MAX(FREQUENCY(IF((B42:BC42=INT(B42:BC42))*(B42:BC42&gt;0),COLUMN(B42:BC42)),IF((B42:BC42&lt;&gt;INT(B42:BC42))+(B42:BC42&lt;=0),COLUMN(B42:BC42))))</f>
        <v>5</v>
      </c>
      <c r="BG42" s="190" cm="1">
        <f t="array" ref="BG42">SUMPRODUCT(--(B42:AI42=INT(B42:AI42)),--(B42:AI42&gt;0))/34*100%</f>
        <v>0.352941176470588</v>
      </c>
      <c r="BH42" s="191">
        <f t="shared" si="1"/>
        <v>3</v>
      </c>
      <c r="BI42" s="191">
        <f t="shared" si="2"/>
        <v>4</v>
      </c>
      <c r="BJ42" s="191">
        <f t="shared" si="3"/>
        <v>4</v>
      </c>
    </row>
    <row r="43" customHeight="1" spans="1:62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9">
        <f t="shared" si="0"/>
        <v>0</v>
      </c>
      <c r="BE43" s="189" cm="1">
        <f t="array" ref="BE43">SUMPRODUCT(--(B43:BC43=INT(B43:BC43)),--(B43:BC43&gt;0))</f>
        <v>0</v>
      </c>
      <c r="BF43" s="189" cm="1">
        <f t="array" ref="BF43">MAX(FREQUENCY(IF((B43:BC43=INT(B43:BC43))*(B43:BC43&gt;0),COLUMN(B43:BC43)),IF((B43:BC43&lt;&gt;INT(B43:BC43))+(B43:BC43&lt;=0),COLUMN(B43:BC43))))</f>
        <v>0</v>
      </c>
      <c r="BG43" s="190" cm="1">
        <f t="array" ref="BG43">SUMPRODUCT(--(B43:AI43=INT(B43:AI43)),--(B43:AI43&gt;0))/34*100%</f>
        <v>0</v>
      </c>
      <c r="BH43" s="191">
        <f t="shared" si="1"/>
        <v>42</v>
      </c>
      <c r="BI43" s="191">
        <f t="shared" si="2"/>
        <v>42</v>
      </c>
      <c r="BJ43" s="191">
        <f t="shared" si="3"/>
        <v>42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/>
      <c r="AZ44" s="120"/>
      <c r="BA44" s="120"/>
      <c r="BB44" s="120"/>
      <c r="BC44" s="120"/>
      <c r="BD44" s="189">
        <f t="shared" si="0"/>
        <v>22</v>
      </c>
      <c r="BE44" s="189" cm="1">
        <f t="array" ref="BE44">SUMPRODUCT(--(B44:BC44=INT(B44:BC44)),--(B44:BC44&gt;0))</f>
        <v>18</v>
      </c>
      <c r="BF44" s="189" cm="1">
        <f t="array" ref="BF44">MAX(FREQUENCY(IF((B44:BC44=INT(B44:BC44))*(B44:BC44&gt;0),COLUMN(B44:BC44)),IF((B44:BC44&lt;&gt;INT(B44:BC44))+(B44:BC44&lt;=0),COLUMN(B44:BC44))))</f>
        <v>5</v>
      </c>
      <c r="BG44" s="190" cm="1">
        <f t="array" ref="BG44">SUMPRODUCT(--(B44:AI44=INT(B44:AI44)),--(B44:AI44&gt;0))/34*100%</f>
        <v>0.411764705882353</v>
      </c>
      <c r="BH44" s="191">
        <f t="shared" si="1"/>
        <v>5</v>
      </c>
      <c r="BI44" s="191">
        <f t="shared" si="2"/>
        <v>5</v>
      </c>
      <c r="BJ44" s="191">
        <f t="shared" si="3"/>
        <v>4</v>
      </c>
    </row>
    <row r="45" customHeight="1" spans="1:62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9">
        <f t="shared" si="0"/>
        <v>0</v>
      </c>
      <c r="BE45" s="189" cm="1">
        <f t="array" ref="BE45">SUMPRODUCT(--(B45:BC45=INT(B45:BC45)),--(B45:BC45&gt;0))</f>
        <v>0</v>
      </c>
      <c r="BF45" s="189" cm="1">
        <f t="array" ref="BF45">MAX(FREQUENCY(IF((B45:BC45=INT(B45:BC45))*(B45:BC45&gt;0),COLUMN(B45:BC45)),IF((B45:BC45&lt;&gt;INT(B45:BC45))+(B45:BC45&lt;=0),COLUMN(B45:BC45))))</f>
        <v>0</v>
      </c>
      <c r="BG45" s="190" cm="1">
        <f t="array" ref="BG45">SUMPRODUCT(--(B45:AI45=INT(B45:AI45)),--(B45:AI45&gt;0))/34*100%</f>
        <v>0</v>
      </c>
      <c r="BH45" s="191">
        <f t="shared" si="1"/>
        <v>42</v>
      </c>
      <c r="BI45" s="191">
        <f t="shared" si="2"/>
        <v>42</v>
      </c>
      <c r="BJ45" s="191">
        <f t="shared" si="3"/>
        <v>42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>
        <v>1</v>
      </c>
      <c r="AY46" s="120"/>
      <c r="AZ46" s="120"/>
      <c r="BA46" s="120"/>
      <c r="BB46" s="120"/>
      <c r="BC46" s="120"/>
      <c r="BD46" s="189">
        <f t="shared" si="0"/>
        <v>43</v>
      </c>
      <c r="BE46" s="189" cm="1">
        <f t="array" ref="BE46">SUMPRODUCT(--(B46:BC46=INT(B46:BC46)),--(B46:BC46&gt;0))</f>
        <v>32</v>
      </c>
      <c r="BF46" s="189" cm="1">
        <f t="array" ref="BF46">MAX(FREQUENCY(IF((B46:BC46=INT(B46:BC46))*(B46:BC46&gt;0),COLUMN(B46:BC46)),IF((B46:BC46&lt;&gt;INT(B46:BC46))+(B46:BC46&lt;=0),COLUMN(B46:BC46))))</f>
        <v>8</v>
      </c>
      <c r="BG46" s="190" cm="1">
        <f t="array" ref="BG46">SUMPRODUCT(--(B46:AI46=INT(B46:AI46)),--(B46:AI46&gt;0))/34*100%</f>
        <v>0.617647058823529</v>
      </c>
      <c r="BH46" s="191">
        <f t="shared" si="1"/>
        <v>1</v>
      </c>
      <c r="BI46" s="191">
        <f t="shared" si="2"/>
        <v>1</v>
      </c>
      <c r="BJ46" s="191">
        <f t="shared" si="3"/>
        <v>2</v>
      </c>
    </row>
    <row r="47" customHeight="1" spans="1:62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9">
        <f t="shared" si="0"/>
        <v>0</v>
      </c>
      <c r="BE47" s="189" cm="1">
        <f t="array" ref="BE47">SUMPRODUCT(--(B47:BC47=INT(B47:BC47)),--(B47:BC47&gt;0))</f>
        <v>0</v>
      </c>
      <c r="BF47" s="189" cm="1">
        <f t="array" ref="BF47">MAX(FREQUENCY(IF((B47:BC47=INT(B47:BC47))*(B47:BC47&gt;0),COLUMN(B47:BC47)),IF((B47:BC47&lt;&gt;INT(B47:BC47))+(B47:BC47&lt;=0),COLUMN(B47:BC47))))</f>
        <v>0</v>
      </c>
      <c r="BG47" s="190" cm="1">
        <f t="array" ref="BG47">SUMPRODUCT(--(B47:AI47=INT(B47:AI47)),--(B47:AI47&gt;0))/34*100%</f>
        <v>0</v>
      </c>
      <c r="BH47" s="191">
        <f t="shared" si="1"/>
        <v>42</v>
      </c>
      <c r="BI47" s="191">
        <f t="shared" si="2"/>
        <v>42</v>
      </c>
      <c r="BJ47" s="191">
        <f t="shared" si="3"/>
        <v>42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>
        <v>1</v>
      </c>
      <c r="AY48" s="120"/>
      <c r="AZ48" s="120"/>
      <c r="BA48" s="120"/>
      <c r="BB48" s="120"/>
      <c r="BC48" s="120"/>
      <c r="BD48" s="189">
        <f t="shared" si="0"/>
        <v>18</v>
      </c>
      <c r="BE48" s="189" cm="1">
        <f t="array" ref="BE48">SUMPRODUCT(--(B48:BC48=INT(B48:BC48)),--(B48:BC48&gt;0))</f>
        <v>15</v>
      </c>
      <c r="BF48" s="189" cm="1">
        <f t="array" ref="BF48">MAX(FREQUENCY(IF((B48:BC48=INT(B48:BC48))*(B48:BC48&gt;0),COLUMN(B48:BC48)),IF((B48:BC48&lt;&gt;INT(B48:BC48))+(B48:BC48&lt;=0),COLUMN(B48:BC48))))</f>
        <v>2</v>
      </c>
      <c r="BG48" s="190" cm="1">
        <f t="array" ref="BG48">SUMPRODUCT(--(B48:AI48=INT(B48:AI48)),--(B48:AI48&gt;0))/34*100%</f>
        <v>0.264705882352941</v>
      </c>
      <c r="BH48" s="191">
        <f t="shared" si="1"/>
        <v>9</v>
      </c>
      <c r="BI48" s="191">
        <f t="shared" si="2"/>
        <v>10</v>
      </c>
      <c r="BJ48" s="191">
        <f t="shared" si="3"/>
        <v>16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9">
        <f t="shared" si="0"/>
        <v>4</v>
      </c>
      <c r="BE49" s="189" cm="1">
        <f t="array" ref="BE49">SUMPRODUCT(--(B49:BC49=INT(B49:BC49)),--(B49:BC49&gt;0))</f>
        <v>4</v>
      </c>
      <c r="BF49" s="189" cm="1">
        <f t="array" ref="BF49">MAX(FREQUENCY(IF((B49:BC49=INT(B49:BC49))*(B49:BC49&gt;0),COLUMN(B49:BC49)),IF((B49:BC49&lt;&gt;INT(B49:BC49))+(B49:BC49&lt;=0),COLUMN(B49:BC49))))</f>
        <v>1</v>
      </c>
      <c r="BG49" s="190" cm="1">
        <f t="array" ref="BG49">SUMPRODUCT(--(B49:AI49=INT(B49:AI49)),--(B49:AI49&gt;0))/34*100%</f>
        <v>0.0882352941176471</v>
      </c>
      <c r="BH49" s="191">
        <f t="shared" si="1"/>
        <v>26</v>
      </c>
      <c r="BI49" s="191">
        <f t="shared" si="2"/>
        <v>25</v>
      </c>
      <c r="BJ49" s="191">
        <f t="shared" si="3"/>
        <v>22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9">
        <f t="shared" si="0"/>
        <v>5</v>
      </c>
      <c r="BE50" s="189" cm="1">
        <f t="array" ref="BE50">SUMPRODUCT(--(B50:BC50=INT(B50:BC50)),--(B50:BC50&gt;0))</f>
        <v>5</v>
      </c>
      <c r="BF50" s="189" cm="1">
        <f t="array" ref="BF50">MAX(FREQUENCY(IF((B50:BC50=INT(B50:BC50))*(B50:BC50&gt;0),COLUMN(B50:BC50)),IF((B50:BC50&lt;&gt;INT(B50:BC50))+(B50:BC50&lt;=0),COLUMN(B50:BC50))))</f>
        <v>1</v>
      </c>
      <c r="BG50" s="190" cm="1">
        <f t="array" ref="BG50">SUMPRODUCT(--(B50:AI50=INT(B50:AI50)),--(B50:AI50&gt;0))/34*100%</f>
        <v>0.117647058823529</v>
      </c>
      <c r="BH50" s="191">
        <f t="shared" si="1"/>
        <v>23</v>
      </c>
      <c r="BI50" s="191">
        <f t="shared" si="2"/>
        <v>23</v>
      </c>
      <c r="BJ50" s="191">
        <f t="shared" si="3"/>
        <v>22</v>
      </c>
    </row>
    <row r="51" customHeight="1" spans="1:62">
      <c r="A51" s="117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9">
        <f t="shared" si="0"/>
        <v>0</v>
      </c>
      <c r="BE51" s="189" cm="1">
        <f t="array" ref="BE51">SUMPRODUCT(--(B51:BC51=INT(B51:BC51)),--(B51:BC51&gt;0))</f>
        <v>0</v>
      </c>
      <c r="BF51" s="189" cm="1">
        <f t="array" ref="BF51">MAX(FREQUENCY(IF((B51:BC51=INT(B51:BC51))*(B51:BC51&gt;0),COLUMN(B51:BC51)),IF((B51:BC51&lt;&gt;INT(B51:BC51))+(B51:BC51&lt;=0),COLUMN(B51:BC51))))</f>
        <v>0</v>
      </c>
      <c r="BG51" s="190" cm="1">
        <f t="array" ref="BG51">SUMPRODUCT(--(B51:AI51=INT(B51:AI51)),--(B51:AI51&gt;0))/34*100%</f>
        <v>0</v>
      </c>
      <c r="BH51" s="191">
        <f t="shared" si="1"/>
        <v>42</v>
      </c>
      <c r="BI51" s="191">
        <f t="shared" si="2"/>
        <v>42</v>
      </c>
      <c r="BJ51" s="191">
        <f t="shared" si="3"/>
        <v>42</v>
      </c>
    </row>
    <row r="52" customHeight="1" spans="1:62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9">
        <f t="shared" si="0"/>
        <v>0</v>
      </c>
      <c r="BE52" s="189" cm="1">
        <f t="array" ref="BE52">SUMPRODUCT(--(B52:BC52=INT(B52:BC52)),--(B52:BC52&gt;0))</f>
        <v>0</v>
      </c>
      <c r="BF52" s="189" cm="1">
        <f t="array" ref="BF52">MAX(FREQUENCY(IF((B52:BC52=INT(B52:BC52))*(B52:BC52&gt;0),COLUMN(B52:BC52)),IF((B52:BC52&lt;&gt;INT(B52:BC52))+(B52:BC52&lt;=0),COLUMN(B52:BC52))))</f>
        <v>0</v>
      </c>
      <c r="BG52" s="190" cm="1">
        <f t="array" ref="BG52">SUMPRODUCT(--(B52:AI52=INT(B52:AI52)),--(B52:AI52&gt;0))/34*100%</f>
        <v>0</v>
      </c>
      <c r="BH52" s="191">
        <f t="shared" si="1"/>
        <v>42</v>
      </c>
      <c r="BI52" s="191">
        <f t="shared" si="2"/>
        <v>42</v>
      </c>
      <c r="BJ52" s="191">
        <f t="shared" si="3"/>
        <v>42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9">
        <f t="shared" si="0"/>
        <v>1</v>
      </c>
      <c r="BE53" s="189" cm="1">
        <f t="array" ref="BE53">SUMPRODUCT(--(B53:BC53=INT(B53:BC53)),--(B53:BC53&gt;0))</f>
        <v>1</v>
      </c>
      <c r="BF53" s="189" cm="1">
        <f t="array" ref="BF53">MAX(FREQUENCY(IF((B53:BC53=INT(B53:BC53))*(B53:BC53&gt;0),COLUMN(B53:BC53)),IF((B53:BC53&lt;&gt;INT(B53:BC53))+(B53:BC53&lt;=0),COLUMN(B53:BC53))))</f>
        <v>1</v>
      </c>
      <c r="BG53" s="190" cm="1">
        <f t="array" ref="BG53">SUMPRODUCT(--(B53:AI53=INT(B53:AI53)),--(B53:AI53&gt;0))/34*100%</f>
        <v>0</v>
      </c>
      <c r="BH53" s="191">
        <f t="shared" si="1"/>
        <v>34</v>
      </c>
      <c r="BI53" s="191">
        <f t="shared" si="2"/>
        <v>34</v>
      </c>
      <c r="BJ53" s="191">
        <f t="shared" si="3"/>
        <v>22</v>
      </c>
    </row>
    <row r="54" s="175" customFormat="1" ht="28" spans="1:62">
      <c r="A54" s="194" t="s">
        <v>329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0</v>
      </c>
      <c r="AZ54" s="17" cm="1">
        <f t="array" ref="AZ54">SUMPRODUCT(--(AZ3:AZ53=INT(AZ3:AZ53)),--(AZ3:AZ53&gt;0))</f>
        <v>0</v>
      </c>
      <c r="BA54" s="17" cm="1">
        <f t="array" ref="BA54">SUMPRODUCT(--(BA3:BA53=INT(BA3:BA53)),--(BA3:BA53&gt;0))</f>
        <v>0</v>
      </c>
      <c r="BB54" s="17" cm="1">
        <f t="array" ref="BB54">SUMPRODUCT(--(BB3:BB53=INT(BB3:BB53)),--(BB3:BB53&gt;0))</f>
        <v>0</v>
      </c>
      <c r="BC54" s="17" cm="1">
        <f t="array" ref="BC54">SUMPRODUCT(--(BC3:BC53=INT(BC3:BC53)),--(BC3:BC53&gt;0))</f>
        <v>0</v>
      </c>
      <c r="BD54" s="195" t="s">
        <v>330</v>
      </c>
      <c r="BE54" s="196"/>
      <c r="BF54" s="196"/>
      <c r="BG54" s="196"/>
      <c r="BH54" s="196"/>
      <c r="BI54" s="196"/>
      <c r="BJ54" s="197"/>
    </row>
    <row r="55" s="175" customFormat="1" ht="28" spans="1:62">
      <c r="A55" s="194" t="s">
        <v>331</v>
      </c>
      <c r="B55" s="17">
        <f>SUM(B3:B53)</f>
        <v>11</v>
      </c>
      <c r="C55" s="17">
        <f t="shared" ref="C55:AH55" si="4">SUM(C3:C53)</f>
        <v>9</v>
      </c>
      <c r="D55" s="17">
        <f t="shared" si="4"/>
        <v>12</v>
      </c>
      <c r="E55" s="17">
        <f t="shared" si="4"/>
        <v>6</v>
      </c>
      <c r="F55" s="17">
        <f t="shared" si="4"/>
        <v>2</v>
      </c>
      <c r="G55" s="17">
        <f t="shared" si="4"/>
        <v>7</v>
      </c>
      <c r="H55" s="17">
        <f t="shared" si="4"/>
        <v>12</v>
      </c>
      <c r="I55" s="17">
        <f t="shared" si="4"/>
        <v>16</v>
      </c>
      <c r="J55" s="17">
        <f t="shared" si="4"/>
        <v>14</v>
      </c>
      <c r="K55" s="17">
        <f t="shared" si="4"/>
        <v>6</v>
      </c>
      <c r="L55" s="17">
        <f t="shared" si="4"/>
        <v>12</v>
      </c>
      <c r="M55" s="17">
        <f t="shared" si="4"/>
        <v>7</v>
      </c>
      <c r="N55" s="17">
        <f t="shared" si="4"/>
        <v>10</v>
      </c>
      <c r="O55" s="17">
        <f t="shared" si="4"/>
        <v>0</v>
      </c>
      <c r="P55" s="17">
        <f t="shared" si="4"/>
        <v>1</v>
      </c>
      <c r="Q55" s="17">
        <f t="shared" si="4"/>
        <v>13</v>
      </c>
      <c r="R55" s="17">
        <f t="shared" si="4"/>
        <v>13</v>
      </c>
      <c r="S55" s="17">
        <f t="shared" si="4"/>
        <v>15</v>
      </c>
      <c r="T55" s="17">
        <f t="shared" si="4"/>
        <v>28</v>
      </c>
      <c r="U55" s="17">
        <f t="shared" si="4"/>
        <v>5</v>
      </c>
      <c r="V55" s="17">
        <f t="shared" si="4"/>
        <v>13</v>
      </c>
      <c r="W55" s="17">
        <f t="shared" si="4"/>
        <v>3</v>
      </c>
      <c r="X55" s="17">
        <f t="shared" si="4"/>
        <v>2</v>
      </c>
      <c r="Y55" s="17">
        <f t="shared" si="4"/>
        <v>31</v>
      </c>
      <c r="Z55" s="17">
        <f t="shared" si="4"/>
        <v>3</v>
      </c>
      <c r="AA55" s="17">
        <f t="shared" si="4"/>
        <v>4</v>
      </c>
      <c r="AB55" s="17">
        <f t="shared" si="4"/>
        <v>2</v>
      </c>
      <c r="AC55" s="17">
        <f t="shared" si="4"/>
        <v>3</v>
      </c>
      <c r="AD55" s="17">
        <f t="shared" si="4"/>
        <v>2</v>
      </c>
      <c r="AE55" s="17">
        <f t="shared" si="4"/>
        <v>5</v>
      </c>
      <c r="AF55" s="17">
        <f t="shared" si="4"/>
        <v>9</v>
      </c>
      <c r="AG55" s="17">
        <f t="shared" si="4"/>
        <v>1</v>
      </c>
      <c r="AH55" s="17">
        <f t="shared" si="4"/>
        <v>0</v>
      </c>
      <c r="AI55" s="17">
        <f t="shared" ref="AI55:BC55" si="5">SUM(AI3:AI53)</f>
        <v>0</v>
      </c>
      <c r="AJ55" s="17">
        <f t="shared" si="5"/>
        <v>20</v>
      </c>
      <c r="AK55" s="17">
        <f t="shared" si="5"/>
        <v>7</v>
      </c>
      <c r="AL55" s="17">
        <f t="shared" si="5"/>
        <v>2</v>
      </c>
      <c r="AM55" s="17">
        <f t="shared" si="5"/>
        <v>3</v>
      </c>
      <c r="AN55" s="17">
        <f t="shared" si="5"/>
        <v>11</v>
      </c>
      <c r="AO55" s="17">
        <f t="shared" si="5"/>
        <v>9</v>
      </c>
      <c r="AP55" s="17">
        <f t="shared" si="5"/>
        <v>2</v>
      </c>
      <c r="AQ55" s="17">
        <f t="shared" si="5"/>
        <v>6</v>
      </c>
      <c r="AR55" s="17">
        <f t="shared" si="5"/>
        <v>18</v>
      </c>
      <c r="AS55" s="17">
        <f t="shared" si="5"/>
        <v>10</v>
      </c>
      <c r="AT55" s="17">
        <f t="shared" si="5"/>
        <v>9</v>
      </c>
      <c r="AU55" s="17">
        <f t="shared" si="5"/>
        <v>23</v>
      </c>
      <c r="AV55" s="17">
        <f t="shared" si="5"/>
        <v>8</v>
      </c>
      <c r="AW55" s="17">
        <f t="shared" si="5"/>
        <v>4</v>
      </c>
      <c r="AX55" s="17">
        <f t="shared" si="5"/>
        <v>14</v>
      </c>
      <c r="AY55" s="17">
        <f t="shared" si="5"/>
        <v>0</v>
      </c>
      <c r="AZ55" s="17">
        <f t="shared" si="5"/>
        <v>0</v>
      </c>
      <c r="BA55" s="17">
        <f t="shared" si="5"/>
        <v>0</v>
      </c>
      <c r="BB55" s="17">
        <f t="shared" si="5"/>
        <v>0</v>
      </c>
      <c r="BC55" s="17">
        <f t="shared" si="5"/>
        <v>0</v>
      </c>
      <c r="BD55" s="198"/>
      <c r="BE55" s="199"/>
      <c r="BF55" s="199"/>
      <c r="BG55" s="199"/>
      <c r="BH55" s="199"/>
      <c r="BI55" s="199"/>
      <c r="BJ55" s="200"/>
    </row>
  </sheetData>
  <mergeCells count="7">
    <mergeCell ref="B1:S1"/>
    <mergeCell ref="T1:AI1"/>
    <mergeCell ref="AJ1:AL1"/>
    <mergeCell ref="AM1:BC1"/>
    <mergeCell ref="BD1:BJ1"/>
    <mergeCell ref="A1:A2"/>
    <mergeCell ref="BD54:BJ55"/>
  </mergeCells>
  <conditionalFormatting sqref="B54:BC54">
    <cfRule type="colorScale" priority="2">
      <colorScale>
        <cfvo type="min"/>
        <cfvo type="max"/>
        <color theme="6" tint="0.8"/>
        <color theme="6" tint="-0.25"/>
      </colorScale>
    </cfRule>
  </conditionalFormatting>
  <conditionalFormatting sqref="B55:BC55">
    <cfRule type="colorScale" priority="1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8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7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00">
      <colorScale>
        <cfvo type="min"/>
        <cfvo type="max"/>
        <color theme="4" tint="-0.25"/>
        <color theme="4" tint="0.8"/>
      </colorScale>
    </cfRule>
    <cfRule type="colorScale" priority="96">
      <colorScale>
        <cfvo type="min"/>
        <cfvo type="max"/>
        <color theme="4" tint="0.8"/>
        <color theme="4" tint="-0.25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9">
      <colorScale>
        <cfvo type="min"/>
        <cfvo type="max"/>
        <color theme="4" tint="-0.25"/>
        <color theme="4" tint="0.8"/>
      </colorScale>
    </cfRule>
    <cfRule type="colorScale" priority="95">
      <colorScale>
        <cfvo type="min"/>
        <cfvo type="max"/>
        <color theme="4" tint="0.8"/>
        <color theme="4" tint="-0.25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6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4">
      <colorScale>
        <cfvo type="min"/>
        <cfvo type="max"/>
        <color theme="4" tint="-0.25"/>
        <color theme="4" tint="0.8"/>
      </colorScale>
    </cfRule>
    <cfRule type="colorScale" priority="64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/>
        <color theme="4" tint="0.8"/>
      </colorScale>
    </cfRule>
    <cfRule type="colorScale" priority="24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3">
      <colorScale>
        <cfvo type="min"/>
        <cfvo type="max"/>
        <color theme="4" tint="-0.25"/>
        <color theme="4" tint="0.8"/>
      </colorScale>
    </cfRule>
    <cfRule type="colorScale" priority="63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/>
        <color theme="4" tint="0.8"/>
      </colorScale>
    </cfRule>
    <cfRule type="colorScale" priority="23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5">
      <colorScale>
        <cfvo type="min"/>
        <cfvo type="max"/>
        <color theme="9" tint="-0.5"/>
        <color theme="9" tint="0.8"/>
      </colorScale>
    </cfRule>
    <cfRule type="colorScale" priority="106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4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3">
      <colorScale>
        <cfvo type="min"/>
        <cfvo type="max"/>
        <color theme="4" tint="0.8"/>
        <color theme="4" tint="-0.25"/>
      </colorScale>
    </cfRule>
    <cfRule type="colorScale" priority="1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01">
      <colorScale>
        <cfvo type="min"/>
        <cfvo type="max"/>
        <color theme="4" tint="0.8"/>
        <color theme="4"/>
      </colorScale>
    </cfRule>
    <cfRule type="colorScale" priority="102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3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5:AF7 A8:V8 X8:AF8 Z41:AE41 BH36:BJ38 A34:AF34 A28:X32 Z24:AF24 A24:X24 BH11:BJ11 BD1:BJ1" unlockedFormula="1"/>
    <ignoredError sqref="BH4:BJ8 A3:X4 Z42:AE42 A9:X10 AE48 Z48:AB48 A47:AF47 AF46 AC46:AD46 AA46 A46:X46 A43:AF43 AF44 Z44:AD44 A44:W44 A45:AF45 Z10:AF10 BI9:BJ9 Z9:AB9 AD9:AF9 A39:AF39 A37:AF37 BH24:BJ28 BI35:BJ35 BH39:BJ39 BH36:BJ36 BH38:BJ38 A40:V40 AC40:AD40 AC40:AD40 AD38:AF38 AD38:AF38 Z38:AB38 Z38:AB38 A38:X38 A38:X38 Z36:AF36 Z36:AF36 A36:X36 A36:X36 A35:AF35 A34:AF34 Z29:AF29 A33:X33 A29:X31 A28:X33 A26:AF27 Z25:AF25 Z24:AF25 A25:X25 A24:X24 A23:AF23 AF22 AA22:AD22 AA22:AD22 A22:X22 A12:X15 BH12:BJ14 A19:AF21 Z17:AF18 A17:X18 A17:X18 A16:AF16 A16:AF16 Z12:AF12 Z12:AF12 Z13 Z13 AB13:AF13 AB13:AF13 Z14:AF14 Z14:AF14 Z15 AB15:AE15 AB15:AE15 AE11 AB11:AC11 AB11:AC11 A11:Z11 A2:AF2 BD2:BJ2 BD1:BJ2 U1:AF1 C1:S1 C1:S1 A1 Z3:AF3 BI3 Z4:AE4 Z49:AF49 AF50 A50:AD50 A50:AD50 A51:AF53 A42:X42 A49:X49 X41" formulaRange="1" unlockedFormula="1"/>
    <ignoredError sqref="Y24:AW24 AY24:BG24 Y28:AW28 AY28:BG28 Y32:AW32 AY32:BJ32 AY37:BG37 AY40:BJ40 AY15:BJ15 AX4:BG4 A54:BJ55 AF41:BJ41 AY42:BJ42 AY22:BJ22 Y41:Y42 AF42:AW42 Y9:Y10 AG10:BJ10 AX9:BH9 AC9 AG9:AV9 AG39:BJ39 AG37:AW37 A35:BH35 A36:BJ36 A38:BG38 W40:AW40 A33:BJ33 AG34:BJ34 A28:X32 AG29:BJ29 A30:BJ31 A25:BG25 AG26:BG27 AG23:BJ23 Y22:AE22 AG22:AV22 Y12:BG14 AG17:BJ21 A16:BJ16 A17:Y18 Y15 AA15:AW15 AA11:AD11 AF11:BG11 AG2:BJ2 AG1:BJ1 B1:T1 AG3:BH3 BJ3 Y4 AF4:AV4 Y49 AG49:BJ53 A50:AE50 A41:W4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332</v>
      </c>
      <c r="B2" s="153" t="s">
        <v>333</v>
      </c>
      <c r="C2" s="154" t="s">
        <v>334</v>
      </c>
      <c r="D2" s="155"/>
      <c r="E2" s="153" t="s">
        <v>333</v>
      </c>
      <c r="F2" s="153"/>
      <c r="G2" s="156" t="s">
        <v>335</v>
      </c>
      <c r="H2" s="148"/>
      <c r="I2" s="148"/>
      <c r="J2" s="157"/>
    </row>
    <row r="3" ht="16.5" spans="1:10">
      <c r="A3" s="149" t="s">
        <v>336</v>
      </c>
      <c r="B3" s="158" t="s">
        <v>337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338</v>
      </c>
      <c r="B4" s="159" t="s">
        <v>248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339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340</v>
      </c>
      <c r="B6" s="162">
        <v>1</v>
      </c>
      <c r="C6" s="162"/>
      <c r="D6" s="162"/>
      <c r="E6" s="162"/>
      <c r="F6" s="162"/>
      <c r="G6" s="163" t="s">
        <v>341</v>
      </c>
      <c r="H6" s="148"/>
      <c r="I6" s="148"/>
      <c r="J6" s="157"/>
    </row>
    <row r="7" ht="16.5" spans="1:10">
      <c r="A7" s="149" t="s">
        <v>342</v>
      </c>
      <c r="B7" s="164" t="s">
        <v>343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344</v>
      </c>
      <c r="B8" s="166">
        <v>1</v>
      </c>
      <c r="C8" s="166"/>
      <c r="D8" s="167" t="s">
        <v>345</v>
      </c>
      <c r="E8" s="167"/>
      <c r="F8" s="167"/>
      <c r="G8" s="166"/>
      <c r="H8" s="148"/>
      <c r="I8" s="148"/>
      <c r="J8" s="157"/>
    </row>
    <row r="9" ht="16.5" spans="1:10">
      <c r="A9" s="149" t="s">
        <v>346</v>
      </c>
      <c r="B9" s="153" t="s">
        <v>347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348</v>
      </c>
      <c r="B10" s="158">
        <v>1</v>
      </c>
      <c r="C10" s="158"/>
      <c r="D10" s="168" t="s">
        <v>349</v>
      </c>
      <c r="E10" s="158">
        <v>1</v>
      </c>
      <c r="F10" s="168" t="s">
        <v>349</v>
      </c>
      <c r="G10" s="148" t="s">
        <v>350</v>
      </c>
      <c r="H10" s="148"/>
      <c r="I10" s="148"/>
      <c r="J10" s="157"/>
    </row>
    <row r="11" ht="16.5" spans="1:10">
      <c r="A11" s="149" t="s">
        <v>351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352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353</v>
      </c>
      <c r="B13" s="2" t="s">
        <v>350</v>
      </c>
      <c r="C13" s="2"/>
      <c r="D13" s="2"/>
      <c r="E13" s="2"/>
      <c r="F13" s="2"/>
      <c r="G13" s="169" t="s">
        <v>354</v>
      </c>
      <c r="H13" s="1"/>
      <c r="I13" s="1"/>
      <c r="J13" s="170"/>
    </row>
    <row r="14" s="1" customFormat="1" ht="16.5" spans="1:10">
      <c r="A14" s="149" t="s">
        <v>355</v>
      </c>
      <c r="B14" s="171" t="s">
        <v>350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356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357</v>
      </c>
      <c r="B2" s="126" t="s">
        <v>358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359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360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361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362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363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364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365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366</v>
      </c>
      <c r="B12" s="136" t="s">
        <v>367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368</v>
      </c>
      <c r="C14" s="137" t="s">
        <v>369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370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371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372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373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374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375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376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377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378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379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380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381</v>
      </c>
      <c r="B1" s="83" t="s">
        <v>382</v>
      </c>
      <c r="C1" s="84" t="s">
        <v>204</v>
      </c>
    </row>
    <row r="2" spans="1:3">
      <c r="A2" s="85" t="s">
        <v>1</v>
      </c>
      <c r="B2" s="80" t="s">
        <v>383</v>
      </c>
      <c r="C2" s="81" t="s">
        <v>384</v>
      </c>
    </row>
    <row r="3" spans="1:3">
      <c r="A3" s="85"/>
      <c r="B3" s="80" t="s">
        <v>385</v>
      </c>
      <c r="C3" s="81" t="s">
        <v>386</v>
      </c>
    </row>
    <row r="4" spans="1:3">
      <c r="A4" s="85"/>
      <c r="B4" s="80" t="s">
        <v>387</v>
      </c>
      <c r="C4" s="81" t="s">
        <v>388</v>
      </c>
    </row>
    <row r="5" spans="1:3">
      <c r="A5" s="85"/>
      <c r="B5" s="80" t="s">
        <v>389</v>
      </c>
      <c r="C5" s="81" t="s">
        <v>390</v>
      </c>
    </row>
    <row r="6" spans="1:3">
      <c r="A6" s="85"/>
      <c r="B6" s="80" t="s">
        <v>391</v>
      </c>
      <c r="C6" s="81" t="s">
        <v>392</v>
      </c>
    </row>
    <row r="7" spans="1:3">
      <c r="A7" s="85"/>
      <c r="B7" s="80" t="s">
        <v>393</v>
      </c>
      <c r="C7" s="81" t="s">
        <v>394</v>
      </c>
    </row>
    <row r="8" spans="1:3">
      <c r="A8" s="85"/>
      <c r="B8" s="80" t="s">
        <v>395</v>
      </c>
      <c r="C8" s="81" t="s">
        <v>396</v>
      </c>
    </row>
    <row r="9" spans="1:3">
      <c r="A9" s="85"/>
      <c r="B9" s="80" t="s">
        <v>397</v>
      </c>
      <c r="C9" s="81" t="s">
        <v>398</v>
      </c>
    </row>
    <row r="10" spans="1:3">
      <c r="A10" s="85"/>
      <c r="B10" s="80" t="s">
        <v>399</v>
      </c>
      <c r="C10" s="81" t="s">
        <v>400</v>
      </c>
    </row>
    <row r="11" spans="1:3">
      <c r="A11" s="85"/>
      <c r="B11" s="80" t="s">
        <v>401</v>
      </c>
      <c r="C11" s="81" t="s">
        <v>402</v>
      </c>
    </row>
    <row r="12" spans="1:3">
      <c r="A12" s="85"/>
      <c r="B12" s="80" t="s">
        <v>403</v>
      </c>
      <c r="C12" s="81" t="s">
        <v>404</v>
      </c>
    </row>
    <row r="13" spans="1:3">
      <c r="A13" s="85"/>
      <c r="B13" s="80" t="s">
        <v>405</v>
      </c>
      <c r="C13" s="81" t="s">
        <v>406</v>
      </c>
    </row>
    <row r="14" spans="1:3">
      <c r="A14" s="85"/>
      <c r="B14" s="80" t="s">
        <v>407</v>
      </c>
      <c r="C14" s="81" t="s">
        <v>408</v>
      </c>
    </row>
    <row r="15" spans="1:3">
      <c r="A15" s="85"/>
      <c r="B15" s="80" t="s">
        <v>409</v>
      </c>
      <c r="C15" s="81" t="s">
        <v>410</v>
      </c>
    </row>
    <row r="16" spans="1:3">
      <c r="A16" s="85"/>
      <c r="B16" s="80" t="s">
        <v>411</v>
      </c>
      <c r="C16" s="81" t="s">
        <v>412</v>
      </c>
    </row>
    <row r="17" spans="1:3">
      <c r="A17" s="85"/>
      <c r="B17" s="80" t="s">
        <v>413</v>
      </c>
      <c r="C17" s="81" t="s">
        <v>414</v>
      </c>
    </row>
    <row r="18" spans="1:3">
      <c r="A18" s="85"/>
      <c r="B18" s="80" t="s">
        <v>415</v>
      </c>
      <c r="C18" s="81" t="s">
        <v>416</v>
      </c>
    </row>
    <row r="19" spans="1:3">
      <c r="A19" s="85"/>
      <c r="B19" s="80" t="s">
        <v>417</v>
      </c>
      <c r="C19" s="81" t="s">
        <v>418</v>
      </c>
    </row>
    <row r="20" spans="1:3">
      <c r="A20" s="85"/>
      <c r="B20" s="80" t="s">
        <v>419</v>
      </c>
      <c r="C20" s="81" t="s">
        <v>420</v>
      </c>
    </row>
    <row r="21" spans="1:3">
      <c r="A21" s="85"/>
      <c r="B21" s="80" t="s">
        <v>419</v>
      </c>
      <c r="C21" s="81" t="s">
        <v>421</v>
      </c>
    </row>
    <row r="22" spans="1:3">
      <c r="A22" s="85"/>
      <c r="B22" s="80" t="s">
        <v>422</v>
      </c>
      <c r="C22" s="81" t="s">
        <v>423</v>
      </c>
    </row>
    <row r="23" spans="1:3">
      <c r="A23" s="85"/>
      <c r="B23" s="80" t="s">
        <v>424</v>
      </c>
      <c r="C23" s="81" t="s">
        <v>425</v>
      </c>
    </row>
    <row r="24" spans="1:3">
      <c r="A24" s="85"/>
      <c r="B24" s="80" t="s">
        <v>426</v>
      </c>
      <c r="C24" s="81" t="s">
        <v>427</v>
      </c>
    </row>
    <row r="25" spans="1:3">
      <c r="A25" s="86" t="s">
        <v>2</v>
      </c>
      <c r="B25" s="80" t="s">
        <v>428</v>
      </c>
      <c r="C25" s="81" t="s">
        <v>429</v>
      </c>
    </row>
    <row r="26" spans="1:3">
      <c r="A26" s="86"/>
      <c r="B26" s="80" t="s">
        <v>430</v>
      </c>
      <c r="C26" s="81" t="s">
        <v>431</v>
      </c>
    </row>
    <row r="27" spans="1:3">
      <c r="A27" s="86"/>
      <c r="B27" s="80" t="s">
        <v>432</v>
      </c>
      <c r="C27" s="81" t="s">
        <v>433</v>
      </c>
    </row>
    <row r="28" spans="1:3">
      <c r="A28" s="86"/>
      <c r="B28" s="80" t="s">
        <v>434</v>
      </c>
      <c r="C28" s="81" t="s">
        <v>435</v>
      </c>
    </row>
    <row r="29" spans="1:3">
      <c r="A29" s="86"/>
      <c r="B29" s="80" t="s">
        <v>436</v>
      </c>
      <c r="C29" s="81" t="s">
        <v>437</v>
      </c>
    </row>
    <row r="30" spans="1:3">
      <c r="A30" s="86"/>
      <c r="B30" s="80" t="s">
        <v>438</v>
      </c>
      <c r="C30" s="81" t="s">
        <v>439</v>
      </c>
    </row>
    <row r="31" spans="1:3">
      <c r="A31" s="86"/>
      <c r="B31" s="80" t="s">
        <v>440</v>
      </c>
      <c r="C31" s="81" t="s">
        <v>441</v>
      </c>
    </row>
    <row r="32" spans="1:3">
      <c r="A32" s="86"/>
      <c r="B32" s="80" t="s">
        <v>442</v>
      </c>
      <c r="C32" s="81" t="s">
        <v>443</v>
      </c>
    </row>
    <row r="33" spans="1:3">
      <c r="A33" s="86"/>
      <c r="B33" s="80" t="s">
        <v>444</v>
      </c>
      <c r="C33" s="81" t="s">
        <v>445</v>
      </c>
    </row>
    <row r="34" spans="1:3">
      <c r="A34" s="86"/>
      <c r="B34" s="80" t="s">
        <v>446</v>
      </c>
      <c r="C34" s="81" t="s">
        <v>447</v>
      </c>
    </row>
    <row r="35" spans="1:3">
      <c r="A35" s="86"/>
      <c r="B35" s="80" t="s">
        <v>448</v>
      </c>
      <c r="C35" s="81" t="s">
        <v>449</v>
      </c>
    </row>
    <row r="36" spans="1:3">
      <c r="A36" s="86"/>
      <c r="B36" s="80" t="s">
        <v>450</v>
      </c>
      <c r="C36" s="81" t="s">
        <v>451</v>
      </c>
    </row>
    <row r="37" spans="1:3">
      <c r="A37" s="87"/>
      <c r="B37" s="80" t="s">
        <v>452</v>
      </c>
      <c r="C37" s="81" t="s">
        <v>453</v>
      </c>
    </row>
    <row r="38" spans="1:3">
      <c r="A38" s="88" t="s">
        <v>3</v>
      </c>
      <c r="B38" s="80" t="s">
        <v>454</v>
      </c>
      <c r="C38" s="81" t="s">
        <v>455</v>
      </c>
    </row>
    <row r="39" spans="1:3">
      <c r="A39" s="89"/>
      <c r="B39" s="80" t="s">
        <v>456</v>
      </c>
      <c r="C39" s="81" t="s">
        <v>457</v>
      </c>
    </row>
    <row r="40" spans="1:3">
      <c r="A40" s="89"/>
      <c r="B40" s="80" t="s">
        <v>458</v>
      </c>
      <c r="C40" s="81" t="s">
        <v>459</v>
      </c>
    </row>
    <row r="41" spans="1:3">
      <c r="A41" s="89"/>
      <c r="B41" s="80" t="s">
        <v>460</v>
      </c>
      <c r="C41" s="81" t="s">
        <v>392</v>
      </c>
    </row>
    <row r="42" spans="1:3">
      <c r="A42" s="89"/>
      <c r="B42" s="80" t="s">
        <v>461</v>
      </c>
      <c r="C42" s="81" t="s">
        <v>462</v>
      </c>
    </row>
    <row r="43" spans="1:3">
      <c r="A43" s="89"/>
      <c r="B43" s="80" t="s">
        <v>463</v>
      </c>
      <c r="C43" s="81" t="s">
        <v>464</v>
      </c>
    </row>
    <row r="44" spans="1:3">
      <c r="A44" s="89"/>
      <c r="B44" s="80" t="s">
        <v>465</v>
      </c>
      <c r="C44" s="81" t="s">
        <v>466</v>
      </c>
    </row>
    <row r="45" spans="1:3">
      <c r="A45" s="89"/>
      <c r="B45" s="80" t="s">
        <v>467</v>
      </c>
      <c r="C45" s="81" t="s">
        <v>468</v>
      </c>
    </row>
    <row r="46" spans="1:3">
      <c r="A46" s="89"/>
      <c r="B46" s="80" t="s">
        <v>469</v>
      </c>
      <c r="C46" s="81" t="s">
        <v>470</v>
      </c>
    </row>
    <row r="47" spans="1:3">
      <c r="A47" s="89"/>
      <c r="B47" s="80" t="s">
        <v>471</v>
      </c>
      <c r="C47" s="81" t="s">
        <v>472</v>
      </c>
    </row>
    <row r="48" spans="1:3">
      <c r="A48" s="89"/>
      <c r="B48" s="80" t="s">
        <v>473</v>
      </c>
      <c r="C48" s="81" t="s">
        <v>474</v>
      </c>
    </row>
    <row r="49" spans="1:3">
      <c r="A49" s="89"/>
      <c r="B49" s="80" t="s">
        <v>475</v>
      </c>
      <c r="C49" s="81" t="s">
        <v>476</v>
      </c>
    </row>
    <row r="50" spans="1:3">
      <c r="A50" s="90"/>
      <c r="B50" s="80" t="s">
        <v>477</v>
      </c>
      <c r="C50" s="81" t="s">
        <v>478</v>
      </c>
    </row>
    <row r="51" customFormat="1" spans="1:3">
      <c r="A51" s="79"/>
      <c r="B51" s="80" t="s">
        <v>479</v>
      </c>
      <c r="C51" s="81"/>
    </row>
    <row r="52" customFormat="1" spans="1:3">
      <c r="A52" s="79"/>
      <c r="B52" s="80" t="s">
        <v>479</v>
      </c>
      <c r="C52" s="81"/>
    </row>
    <row r="53" customFormat="1" spans="1:3">
      <c r="A53" s="79"/>
      <c r="B53" s="80" t="s">
        <v>479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316</v>
      </c>
      <c r="B1" s="68" t="s">
        <v>0</v>
      </c>
      <c r="C1" s="69" t="s">
        <v>480</v>
      </c>
      <c r="D1" s="70" t="s">
        <v>481</v>
      </c>
    </row>
    <row r="2" spans="1:4">
      <c r="A2" s="71">
        <v>1</v>
      </c>
      <c r="B2" s="72" t="s">
        <v>7</v>
      </c>
      <c r="C2" s="73">
        <v>20111216</v>
      </c>
      <c r="D2" s="66" t="s">
        <v>482</v>
      </c>
    </row>
    <row r="3" spans="1:4">
      <c r="A3" s="71">
        <v>2</v>
      </c>
      <c r="B3" s="72" t="s">
        <v>10</v>
      </c>
      <c r="C3" s="74">
        <v>20111227</v>
      </c>
      <c r="D3" s="66" t="s">
        <v>483</v>
      </c>
    </row>
    <row r="4" spans="1:4">
      <c r="A4" s="71">
        <v>3</v>
      </c>
      <c r="B4" s="72" t="s">
        <v>13</v>
      </c>
      <c r="C4" s="74">
        <v>20120518</v>
      </c>
      <c r="D4" s="66" t="s">
        <v>484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333</v>
      </c>
    </row>
    <row r="7" spans="1:4">
      <c r="A7" s="71">
        <v>6</v>
      </c>
      <c r="B7" s="72" t="s">
        <v>20</v>
      </c>
      <c r="C7" s="74">
        <v>20120809</v>
      </c>
      <c r="D7" s="66" t="s">
        <v>485</v>
      </c>
    </row>
    <row r="8" spans="1:4">
      <c r="A8" s="71">
        <v>7</v>
      </c>
      <c r="B8" s="72" t="s">
        <v>24</v>
      </c>
      <c r="C8" s="74">
        <v>20120227</v>
      </c>
      <c r="D8" s="66" t="s">
        <v>486</v>
      </c>
    </row>
    <row r="9" spans="1:4">
      <c r="A9" s="71">
        <v>8</v>
      </c>
      <c r="B9" s="72" t="s">
        <v>26</v>
      </c>
      <c r="C9" s="74">
        <v>20120127</v>
      </c>
      <c r="D9" s="66" t="s">
        <v>487</v>
      </c>
    </row>
    <row r="10" spans="1:4">
      <c r="A10" s="71">
        <v>9</v>
      </c>
      <c r="B10" s="72" t="s">
        <v>27</v>
      </c>
      <c r="C10" s="74">
        <v>20111202</v>
      </c>
      <c r="D10" s="66" t="s">
        <v>488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489</v>
      </c>
    </row>
    <row r="13" spans="1:4">
      <c r="A13" s="71">
        <v>12</v>
      </c>
      <c r="B13" s="72" t="s">
        <v>31</v>
      </c>
      <c r="C13" s="74">
        <v>20110908</v>
      </c>
      <c r="D13" s="66" t="s">
        <v>490</v>
      </c>
    </row>
    <row r="14" spans="1:4">
      <c r="A14" s="71">
        <v>13</v>
      </c>
      <c r="B14" s="72" t="s">
        <v>33</v>
      </c>
      <c r="C14" s="74">
        <v>20120228</v>
      </c>
      <c r="D14" s="66" t="s">
        <v>491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492</v>
      </c>
    </row>
    <row r="17" spans="1:4">
      <c r="A17" s="71">
        <v>16</v>
      </c>
      <c r="B17" s="72" t="s">
        <v>38</v>
      </c>
      <c r="C17" s="74">
        <v>20120722</v>
      </c>
      <c r="D17" s="66" t="s">
        <v>493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494</v>
      </c>
    </row>
    <row r="21" spans="1:4">
      <c r="A21" s="71">
        <v>20</v>
      </c>
      <c r="B21" s="72" t="s">
        <v>47</v>
      </c>
      <c r="C21" s="74">
        <v>20120827</v>
      </c>
      <c r="D21" s="66" t="s">
        <v>495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496</v>
      </c>
    </row>
    <row r="24" spans="1:4">
      <c r="A24" s="71">
        <v>23</v>
      </c>
      <c r="B24" s="72" t="s">
        <v>54</v>
      </c>
      <c r="C24" s="74">
        <v>20120413</v>
      </c>
      <c r="D24" s="66" t="s">
        <v>497</v>
      </c>
    </row>
    <row r="25" spans="1:4">
      <c r="A25" s="71">
        <v>24</v>
      </c>
      <c r="B25" s="72" t="s">
        <v>58</v>
      </c>
      <c r="C25" s="74">
        <v>20120629</v>
      </c>
      <c r="D25" s="66" t="s">
        <v>498</v>
      </c>
    </row>
    <row r="26" spans="1:4">
      <c r="A26" s="71">
        <v>25</v>
      </c>
      <c r="B26" s="72" t="s">
        <v>59</v>
      </c>
      <c r="C26" s="74">
        <v>20111105</v>
      </c>
      <c r="D26" s="66" t="s">
        <v>499</v>
      </c>
    </row>
    <row r="27" spans="1:4">
      <c r="A27" s="71">
        <v>26</v>
      </c>
      <c r="B27" s="72" t="s">
        <v>60</v>
      </c>
      <c r="C27" s="74">
        <v>20120112</v>
      </c>
      <c r="D27" s="66" t="s">
        <v>500</v>
      </c>
    </row>
    <row r="28" spans="1:4">
      <c r="A28" s="71">
        <v>27</v>
      </c>
      <c r="B28" s="72" t="s">
        <v>63</v>
      </c>
      <c r="C28" s="74">
        <v>20111119</v>
      </c>
      <c r="D28" s="66" t="s">
        <v>501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502</v>
      </c>
    </row>
    <row r="31" spans="1:4">
      <c r="A31" s="71">
        <v>30</v>
      </c>
      <c r="B31" s="72" t="s">
        <v>72</v>
      </c>
      <c r="C31" s="74">
        <v>20111109</v>
      </c>
      <c r="D31" s="66" t="s">
        <v>503</v>
      </c>
    </row>
    <row r="32" spans="1:4">
      <c r="A32" s="71">
        <v>31</v>
      </c>
      <c r="B32" s="72" t="s">
        <v>73</v>
      </c>
      <c r="C32" s="74">
        <v>20120824</v>
      </c>
      <c r="D32" s="66" t="s">
        <v>504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505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506</v>
      </c>
    </row>
    <row r="37" spans="1:5">
      <c r="A37" s="71">
        <v>36</v>
      </c>
      <c r="B37" s="72" t="s">
        <v>79</v>
      </c>
      <c r="C37" s="73">
        <v>20120326</v>
      </c>
      <c r="D37" s="66" t="s">
        <v>507</v>
      </c>
    </row>
    <row r="38" spans="1:5">
      <c r="A38" s="75">
        <v>37</v>
      </c>
      <c r="B38" s="75" t="s">
        <v>82</v>
      </c>
      <c r="C38" s="76">
        <v>20111106</v>
      </c>
      <c r="D38" s="77" t="s">
        <v>508</v>
      </c>
      <c r="E38" t="s">
        <v>509</v>
      </c>
    </row>
    <row r="39" spans="1:5">
      <c r="A39" s="71">
        <v>38</v>
      </c>
      <c r="B39" s="72" t="s">
        <v>84</v>
      </c>
      <c r="C39" s="74">
        <v>20120811</v>
      </c>
      <c r="D39" s="78" t="s">
        <v>510</v>
      </c>
    </row>
    <row r="40" spans="1:5">
      <c r="A40" s="71">
        <v>39</v>
      </c>
      <c r="B40" s="72" t="s">
        <v>87</v>
      </c>
      <c r="C40" s="74">
        <v>20111217</v>
      </c>
      <c r="D40" s="78" t="s">
        <v>511</v>
      </c>
    </row>
    <row r="41" spans="1:5">
      <c r="A41" s="71">
        <v>40</v>
      </c>
      <c r="B41" s="72" t="s">
        <v>91</v>
      </c>
      <c r="C41" s="74">
        <v>20111013</v>
      </c>
      <c r="D41" s="66" t="s">
        <v>512</v>
      </c>
      <c r="E41" t="s">
        <v>509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513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514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515</v>
      </c>
      <c r="E47" t="s">
        <v>509</v>
      </c>
    </row>
    <row r="48" spans="1:5">
      <c r="A48" s="71">
        <v>47</v>
      </c>
      <c r="B48" s="72" t="s">
        <v>110</v>
      </c>
      <c r="C48" s="74">
        <v>20120311</v>
      </c>
      <c r="D48" s="66" t="s">
        <v>516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517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518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519</v>
      </c>
      <c r="B1" s="35" t="s">
        <v>520</v>
      </c>
      <c r="C1" s="36" t="s">
        <v>521</v>
      </c>
      <c r="D1" s="37"/>
      <c r="E1" s="38" t="s">
        <v>522</v>
      </c>
    </row>
    <row r="2" s="28" customFormat="1" ht="409" customHeight="1" spans="1:5">
      <c r="A2" s="39" t="s">
        <v>338</v>
      </c>
      <c r="B2" s="40" t="s">
        <v>248</v>
      </c>
      <c r="C2" s="41" t="s">
        <v>523</v>
      </c>
      <c r="D2" s="32" t="s">
        <v>524</v>
      </c>
      <c r="E2" s="33" t="s">
        <v>525</v>
      </c>
    </row>
    <row r="3" s="28" customFormat="1" ht="56" spans="1:5">
      <c r="A3" s="42"/>
      <c r="B3" s="43"/>
      <c r="C3" s="44"/>
      <c r="D3" s="32" t="s">
        <v>526</v>
      </c>
      <c r="E3" s="33" t="s">
        <v>527</v>
      </c>
    </row>
    <row r="4" s="28" customFormat="1" spans="1:5">
      <c r="A4" s="42"/>
      <c r="B4" s="43"/>
      <c r="C4" s="44"/>
      <c r="D4" s="32" t="s">
        <v>528</v>
      </c>
      <c r="E4" s="33" t="s">
        <v>529</v>
      </c>
    </row>
    <row r="5" s="28" customFormat="1" ht="56" spans="1:5">
      <c r="A5" s="42"/>
      <c r="B5" s="43"/>
      <c r="C5" s="44"/>
      <c r="D5" s="32" t="s">
        <v>530</v>
      </c>
      <c r="E5" s="33" t="s">
        <v>531</v>
      </c>
    </row>
    <row r="6" s="28" customFormat="1" ht="238" spans="1:5">
      <c r="A6" s="42"/>
      <c r="B6" s="43"/>
      <c r="C6" s="44"/>
      <c r="D6" s="32" t="s">
        <v>532</v>
      </c>
      <c r="E6" s="33" t="s">
        <v>533</v>
      </c>
    </row>
    <row r="7" s="28" customFormat="1" ht="238" spans="1:5">
      <c r="A7" s="42"/>
      <c r="B7" s="43"/>
      <c r="C7" s="41" t="s">
        <v>534</v>
      </c>
      <c r="D7" s="32" t="s">
        <v>535</v>
      </c>
      <c r="E7" s="33" t="s">
        <v>536</v>
      </c>
    </row>
    <row r="8" s="28" customFormat="1" ht="56" spans="1:5">
      <c r="A8" s="42"/>
      <c r="B8" s="43"/>
      <c r="C8" s="44"/>
      <c r="D8" s="32" t="s">
        <v>537</v>
      </c>
      <c r="E8" s="33" t="s">
        <v>538</v>
      </c>
    </row>
    <row r="9" s="28" customFormat="1" ht="84" spans="1:5">
      <c r="A9" s="42"/>
      <c r="B9" s="43"/>
      <c r="C9" s="44"/>
      <c r="D9" s="32" t="s">
        <v>539</v>
      </c>
      <c r="E9" s="33" t="s">
        <v>540</v>
      </c>
    </row>
    <row r="10" s="28" customFormat="1" ht="28" spans="1:5">
      <c r="A10" s="42"/>
      <c r="B10" s="43"/>
      <c r="C10" s="44"/>
      <c r="D10" s="32" t="s">
        <v>541</v>
      </c>
      <c r="E10" s="33" t="s">
        <v>542</v>
      </c>
    </row>
    <row r="11" s="28" customFormat="1" spans="1:5">
      <c r="A11" s="42"/>
      <c r="B11" s="43"/>
      <c r="C11" s="45"/>
      <c r="D11" s="32" t="s">
        <v>543</v>
      </c>
      <c r="E11" s="33" t="s">
        <v>544</v>
      </c>
    </row>
    <row r="12" s="28" customFormat="1" ht="154" spans="1:5">
      <c r="A12" s="42"/>
      <c r="B12" s="43"/>
      <c r="C12" s="31"/>
      <c r="D12" s="32" t="s">
        <v>545</v>
      </c>
      <c r="E12" s="33" t="s">
        <v>546</v>
      </c>
    </row>
    <row r="13" s="28" customFormat="1" ht="56" spans="1:5">
      <c r="A13" s="42"/>
      <c r="B13" s="43"/>
      <c r="C13" s="46" t="s">
        <v>547</v>
      </c>
      <c r="D13" s="37"/>
      <c r="E13" s="33" t="s">
        <v>548</v>
      </c>
    </row>
    <row r="14" s="28" customFormat="1" ht="84" spans="1:5">
      <c r="A14" s="42"/>
      <c r="B14" s="43"/>
      <c r="C14" s="46" t="s">
        <v>549</v>
      </c>
      <c r="D14" s="37"/>
      <c r="E14" s="33" t="s">
        <v>550</v>
      </c>
    </row>
    <row r="15" s="28" customFormat="1" ht="28" spans="1:5">
      <c r="A15" s="42"/>
      <c r="B15" s="43"/>
      <c r="C15" s="46" t="s">
        <v>551</v>
      </c>
      <c r="D15" s="37"/>
      <c r="E15" s="33" t="s">
        <v>552</v>
      </c>
    </row>
    <row r="16" s="28" customFormat="1" spans="1:5">
      <c r="A16" s="42"/>
      <c r="B16" s="43"/>
      <c r="C16" s="46" t="s">
        <v>553</v>
      </c>
      <c r="D16" s="37"/>
      <c r="E16" s="33"/>
    </row>
    <row r="17" s="28" customFormat="1" spans="1:5">
      <c r="A17" s="42"/>
      <c r="B17" s="43"/>
      <c r="C17" s="46" t="s">
        <v>554</v>
      </c>
      <c r="D17" s="37"/>
      <c r="E17" s="33" t="s">
        <v>555</v>
      </c>
    </row>
    <row r="18" s="28" customFormat="1" spans="1:5">
      <c r="A18" s="42"/>
      <c r="B18" s="43"/>
      <c r="C18" s="41" t="s">
        <v>556</v>
      </c>
      <c r="D18" s="32" t="s">
        <v>557</v>
      </c>
      <c r="E18" s="33" t="s">
        <v>558</v>
      </c>
    </row>
    <row r="19" s="28" customFormat="1" spans="1:5">
      <c r="A19" s="42"/>
      <c r="B19" s="43"/>
      <c r="C19" s="45"/>
      <c r="D19" s="32" t="s">
        <v>559</v>
      </c>
      <c r="E19" s="33" t="s">
        <v>560</v>
      </c>
    </row>
    <row r="20" s="28" customFormat="1" spans="1:5">
      <c r="A20" s="42"/>
      <c r="B20" s="43"/>
      <c r="C20" s="46" t="s">
        <v>561</v>
      </c>
      <c r="D20" s="37"/>
      <c r="E20" s="33"/>
    </row>
    <row r="21" s="28" customFormat="1" spans="1:5">
      <c r="A21" s="42"/>
      <c r="B21" s="43"/>
      <c r="C21" s="46" t="s">
        <v>562</v>
      </c>
      <c r="D21" s="37"/>
      <c r="E21" s="33" t="s">
        <v>563</v>
      </c>
    </row>
    <row r="22" s="28" customFormat="1" ht="28" spans="1:5">
      <c r="A22" s="42"/>
      <c r="B22" s="43"/>
      <c r="C22" s="46" t="s">
        <v>564</v>
      </c>
      <c r="D22" s="47"/>
      <c r="E22" s="33" t="s">
        <v>565</v>
      </c>
    </row>
    <row r="23" s="28" customFormat="1" spans="1:5">
      <c r="A23" s="42"/>
      <c r="B23" s="43"/>
      <c r="C23" s="31" t="s">
        <v>304</v>
      </c>
      <c r="D23" s="31"/>
      <c r="E23" s="33" t="s">
        <v>566</v>
      </c>
    </row>
    <row r="24" s="28" customFormat="1" spans="1:5">
      <c r="A24" s="42"/>
      <c r="B24" s="43"/>
      <c r="C24" s="31" t="s">
        <v>567</v>
      </c>
      <c r="D24" s="31"/>
      <c r="E24" s="33" t="s">
        <v>568</v>
      </c>
    </row>
    <row r="25" s="28" customFormat="1" ht="28" spans="1:5">
      <c r="A25" s="39" t="s">
        <v>336</v>
      </c>
      <c r="B25" s="40" t="s">
        <v>337</v>
      </c>
      <c r="C25" s="44" t="s">
        <v>523</v>
      </c>
      <c r="D25" s="48" t="s">
        <v>569</v>
      </c>
      <c r="E25" s="33" t="s">
        <v>570</v>
      </c>
    </row>
    <row r="26" s="28" customFormat="1" spans="1:5">
      <c r="A26" s="42"/>
      <c r="B26" s="43"/>
      <c r="C26" s="44"/>
      <c r="D26" s="32" t="s">
        <v>571</v>
      </c>
      <c r="E26" s="33" t="s">
        <v>572</v>
      </c>
    </row>
    <row r="27" s="28" customFormat="1" ht="28" spans="1:5">
      <c r="A27" s="42"/>
      <c r="B27" s="43"/>
      <c r="C27" s="44"/>
      <c r="D27" s="32" t="s">
        <v>573</v>
      </c>
      <c r="E27" s="33" t="s">
        <v>574</v>
      </c>
    </row>
    <row r="28" s="28" customFormat="1" ht="42" spans="1:5">
      <c r="A28" s="42"/>
      <c r="B28" s="43"/>
      <c r="C28" s="44"/>
      <c r="D28" s="32" t="s">
        <v>575</v>
      </c>
      <c r="E28" s="33" t="s">
        <v>576</v>
      </c>
    </row>
    <row r="29" s="28" customFormat="1" ht="42" spans="1:5">
      <c r="A29" s="39" t="s">
        <v>332</v>
      </c>
      <c r="B29" s="40" t="s">
        <v>333</v>
      </c>
      <c r="C29" s="41" t="s">
        <v>523</v>
      </c>
      <c r="D29" s="32" t="s">
        <v>524</v>
      </c>
      <c r="E29" s="33" t="s">
        <v>577</v>
      </c>
    </row>
    <row r="30" s="28" customFormat="1" ht="70" spans="1:5">
      <c r="A30" s="42"/>
      <c r="B30" s="43"/>
      <c r="C30" s="44"/>
      <c r="D30" s="32" t="s">
        <v>578</v>
      </c>
      <c r="E30" s="33" t="s">
        <v>579</v>
      </c>
    </row>
    <row r="31" s="28" customFormat="1" spans="1:5">
      <c r="A31" s="42"/>
      <c r="B31" s="43"/>
      <c r="C31" s="44"/>
      <c r="D31" s="32" t="s">
        <v>569</v>
      </c>
      <c r="E31" s="33" t="s">
        <v>580</v>
      </c>
    </row>
    <row r="32" s="28" customFormat="1" ht="28" spans="1:5">
      <c r="A32" s="42"/>
      <c r="B32" s="43"/>
      <c r="C32" s="45"/>
      <c r="D32" s="32" t="s">
        <v>581</v>
      </c>
      <c r="E32" s="33" t="s">
        <v>582</v>
      </c>
    </row>
    <row r="33" s="28" customFormat="1" ht="42" spans="1:5">
      <c r="A33" s="42"/>
      <c r="B33" s="49"/>
      <c r="C33" s="46" t="s">
        <v>534</v>
      </c>
      <c r="D33" s="47"/>
      <c r="E33" s="33" t="s">
        <v>583</v>
      </c>
    </row>
    <row r="34" s="28" customFormat="1" ht="42" spans="1:5">
      <c r="A34" s="42"/>
      <c r="B34" s="50" t="s">
        <v>584</v>
      </c>
      <c r="C34" s="36" t="s">
        <v>534</v>
      </c>
      <c r="D34" s="51"/>
      <c r="E34" s="52" t="s">
        <v>585</v>
      </c>
    </row>
    <row r="35" s="28" customFormat="1" ht="42" spans="1:5">
      <c r="A35" s="53"/>
      <c r="B35" s="54"/>
      <c r="C35" s="36" t="s">
        <v>523</v>
      </c>
      <c r="D35" s="51"/>
      <c r="E35" s="52" t="s">
        <v>586</v>
      </c>
    </row>
    <row r="36" s="28" customFormat="1" spans="1:5">
      <c r="A36" s="39" t="s">
        <v>339</v>
      </c>
      <c r="B36" s="55" t="s">
        <v>587</v>
      </c>
      <c r="C36" s="56"/>
      <c r="D36" s="57"/>
      <c r="E36" s="52" t="s">
        <v>136</v>
      </c>
    </row>
    <row r="37" s="28" customFormat="1" spans="1:5">
      <c r="A37" s="53"/>
      <c r="B37" s="58" t="s">
        <v>588</v>
      </c>
      <c r="C37" s="59"/>
      <c r="D37" s="60"/>
      <c r="E37" s="33" t="s">
        <v>589</v>
      </c>
    </row>
    <row r="38" s="28" customFormat="1" spans="1:5">
      <c r="A38" s="29" t="s">
        <v>340</v>
      </c>
      <c r="B38" s="58" t="s">
        <v>590</v>
      </c>
      <c r="C38" s="59"/>
      <c r="D38" s="60"/>
      <c r="E38" s="33" t="s">
        <v>591</v>
      </c>
    </row>
    <row r="39" s="28" customFormat="1" spans="1:5">
      <c r="A39" s="39" t="s">
        <v>342</v>
      </c>
      <c r="B39" s="40" t="s">
        <v>592</v>
      </c>
      <c r="C39" s="41" t="s">
        <v>523</v>
      </c>
      <c r="D39" s="32" t="s">
        <v>593</v>
      </c>
      <c r="E39" s="33" t="s">
        <v>594</v>
      </c>
    </row>
    <row r="40" s="28" customFormat="1" spans="1:5">
      <c r="A40" s="42"/>
      <c r="B40" s="43"/>
      <c r="C40" s="45"/>
      <c r="D40" s="32" t="s">
        <v>595</v>
      </c>
      <c r="E40" s="33" t="s">
        <v>596</v>
      </c>
    </row>
    <row r="41" s="28" customFormat="1" spans="1:5">
      <c r="A41" s="42"/>
      <c r="B41" s="43"/>
      <c r="C41" s="46" t="s">
        <v>597</v>
      </c>
      <c r="D41" s="47"/>
      <c r="E41" s="33" t="s">
        <v>598</v>
      </c>
    </row>
    <row r="42" s="28" customFormat="1" spans="1:5">
      <c r="A42" s="53"/>
      <c r="B42" s="49"/>
      <c r="C42" s="46" t="s">
        <v>534</v>
      </c>
      <c r="D42" s="47"/>
      <c r="E42" s="33" t="s">
        <v>599</v>
      </c>
    </row>
    <row r="43" s="28" customFormat="1" spans="1:5">
      <c r="A43" s="39" t="s">
        <v>344</v>
      </c>
      <c r="B43" s="50" t="s">
        <v>590</v>
      </c>
      <c r="C43" s="61" t="s">
        <v>600</v>
      </c>
      <c r="D43" s="62"/>
      <c r="E43" s="52" t="s">
        <v>601</v>
      </c>
    </row>
    <row r="44" s="28" customFormat="1" ht="28" spans="1:5">
      <c r="A44" s="42"/>
      <c r="B44" s="54"/>
      <c r="C44" s="61" t="s">
        <v>575</v>
      </c>
      <c r="D44" s="62"/>
      <c r="E44" s="52" t="s">
        <v>602</v>
      </c>
    </row>
    <row r="45" s="28" customFormat="1" spans="1:5">
      <c r="A45" s="53"/>
      <c r="B45" s="58" t="s">
        <v>603</v>
      </c>
      <c r="C45" s="59"/>
      <c r="D45" s="60"/>
      <c r="E45" s="33" t="s">
        <v>155</v>
      </c>
    </row>
    <row r="46" s="28" customFormat="1" spans="1:5">
      <c r="A46" s="39" t="s">
        <v>352</v>
      </c>
      <c r="B46" s="40" t="s">
        <v>604</v>
      </c>
      <c r="C46" s="41" t="s">
        <v>523</v>
      </c>
      <c r="D46" s="32" t="s">
        <v>605</v>
      </c>
      <c r="E46" s="33"/>
    </row>
    <row r="47" s="28" customFormat="1" spans="1:5">
      <c r="A47" s="42"/>
      <c r="B47" s="43"/>
      <c r="C47" s="44"/>
      <c r="D47" s="32" t="s">
        <v>606</v>
      </c>
      <c r="E47" s="33"/>
    </row>
    <row r="48" s="28" customFormat="1" spans="1:5">
      <c r="A48" s="53"/>
      <c r="B48" s="49"/>
      <c r="C48" s="45"/>
      <c r="D48" s="32" t="s">
        <v>575</v>
      </c>
      <c r="E48" s="33" t="s">
        <v>607</v>
      </c>
    </row>
    <row r="49" s="28" customFormat="1" spans="1:5">
      <c r="A49" s="29" t="s">
        <v>346</v>
      </c>
      <c r="B49" s="58" t="s">
        <v>347</v>
      </c>
      <c r="C49" s="59"/>
      <c r="D49" s="60"/>
      <c r="E49" s="33" t="s">
        <v>608</v>
      </c>
    </row>
    <row r="50" s="28" customFormat="1" spans="1:5">
      <c r="A50" s="39" t="s">
        <v>348</v>
      </c>
      <c r="B50" s="58" t="s">
        <v>590</v>
      </c>
      <c r="C50" s="59"/>
      <c r="D50" s="60"/>
      <c r="E50" s="33" t="s">
        <v>609</v>
      </c>
    </row>
    <row r="51" s="28" customFormat="1" spans="1:5">
      <c r="A51" s="53"/>
      <c r="B51" s="58" t="s">
        <v>590</v>
      </c>
      <c r="C51" s="59"/>
      <c r="D51" s="60"/>
      <c r="E51" s="33" t="s">
        <v>168</v>
      </c>
    </row>
    <row r="52" s="28" customFormat="1" spans="1:5">
      <c r="A52" s="29" t="s">
        <v>351</v>
      </c>
      <c r="B52" s="58" t="s">
        <v>590</v>
      </c>
      <c r="C52" s="59"/>
      <c r="D52" s="60"/>
      <c r="E52" s="33"/>
    </row>
    <row r="53" s="28" customFormat="1" spans="1:5">
      <c r="A53" s="39" t="s">
        <v>610</v>
      </c>
      <c r="B53" s="58" t="s">
        <v>590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611</v>
      </c>
    </row>
    <row r="55" s="28" customFormat="1" spans="1:5">
      <c r="A55" s="29" t="s">
        <v>353</v>
      </c>
      <c r="B55" s="30"/>
      <c r="C55" s="31"/>
      <c r="D55" s="32"/>
      <c r="E55" s="33" t="s">
        <v>612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613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614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615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616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617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618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619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620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621</v>
      </c>
      <c r="C20" s="9" t="s">
        <v>622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623</v>
      </c>
      <c r="C21" s="9" t="s">
        <v>624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625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626</v>
      </c>
      <c r="C24" s="22" t="s">
        <v>627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628</v>
      </c>
      <c r="C27" s="22" t="s">
        <v>629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630</v>
      </c>
      <c r="C28" s="22" t="s">
        <v>631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632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633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634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635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636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637</v>
      </c>
      <c r="C40" s="22" t="s">
        <v>638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639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640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641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642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643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644</v>
      </c>
      <c r="C52" s="22" t="s">
        <v>645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646</v>
      </c>
      <c r="C1" s="3" t="s">
        <v>647</v>
      </c>
      <c r="E1" s="3" t="s">
        <v>465</v>
      </c>
      <c r="F1" s="3" t="s">
        <v>648</v>
      </c>
    </row>
    <row r="2" spans="2:6">
      <c r="B2" s="4" t="s">
        <v>649</v>
      </c>
      <c r="C2" s="4">
        <v>13</v>
      </c>
      <c r="E2" s="4" t="s">
        <v>650</v>
      </c>
      <c r="F2" s="4">
        <v>6</v>
      </c>
    </row>
    <row r="3" spans="2:6">
      <c r="B3" s="4" t="s">
        <v>651</v>
      </c>
      <c r="C3" s="4">
        <v>13</v>
      </c>
      <c r="E3" s="4" t="s">
        <v>652</v>
      </c>
      <c r="F3" s="4">
        <v>13</v>
      </c>
    </row>
    <row r="4" spans="2:6">
      <c r="B4" s="4" t="s">
        <v>653</v>
      </c>
      <c r="C4" s="4">
        <v>12</v>
      </c>
      <c r="E4" s="4" t="s">
        <v>520</v>
      </c>
      <c r="F4" s="4">
        <v>4</v>
      </c>
    </row>
    <row r="5" spans="2:6">
      <c r="B5" s="4" t="s">
        <v>654</v>
      </c>
      <c r="C5" s="4">
        <v>2</v>
      </c>
      <c r="E5" s="4" t="s">
        <v>655</v>
      </c>
      <c r="F5" s="4">
        <v>6</v>
      </c>
    </row>
    <row r="6" spans="2:6">
      <c r="B6" s="4" t="s">
        <v>656</v>
      </c>
      <c r="C6" s="4">
        <v>2</v>
      </c>
      <c r="E6" s="4" t="s">
        <v>657</v>
      </c>
      <c r="F6" s="4">
        <v>4</v>
      </c>
    </row>
    <row r="7" spans="2:6">
      <c r="B7" s="4" t="s">
        <v>658</v>
      </c>
      <c r="C7" s="4">
        <v>1</v>
      </c>
      <c r="E7" s="4" t="s">
        <v>659</v>
      </c>
      <c r="F7" s="4">
        <v>1</v>
      </c>
    </row>
    <row r="8" spans="2:6">
      <c r="B8" s="4" t="s">
        <v>660</v>
      </c>
      <c r="C8" s="4">
        <v>4</v>
      </c>
      <c r="E8" s="4" t="s">
        <v>661</v>
      </c>
      <c r="F8" s="4">
        <v>3</v>
      </c>
    </row>
    <row r="9" spans="2:6">
      <c r="E9" s="4" t="s">
        <v>662</v>
      </c>
      <c r="F9" s="4">
        <v>1</v>
      </c>
    </row>
    <row r="10" spans="2:6">
      <c r="E10" s="4" t="s">
        <v>663</v>
      </c>
      <c r="F10" s="4">
        <v>5</v>
      </c>
    </row>
    <row r="11" spans="2:6">
      <c r="E11" s="4" t="s">
        <v>664</v>
      </c>
      <c r="F11" s="4">
        <v>1</v>
      </c>
    </row>
    <row r="12" spans="2:6">
      <c r="E12" s="4" t="s">
        <v>660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2026-03-17T11:50:36Z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