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<sst xmlns="http://schemas.openxmlformats.org/spreadsheetml/2006/main" count="1093" uniqueCount="693">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</sst>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7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50" workbookViewId="0">
      <selection activeCell="E56" sqref="E56"/>
    </sheetView>
  </sheetViews>
  <sheetFormatPr defaultColWidth="8.72727272727273" defaultRowHeight="14"/>
  <cols>
    <col min="1" max="1" width="7.59090909090909" style="230" customWidth="1"/>
    <col min="2" max="7" width="25.8727272727273" style="231" customWidth="1"/>
    <col min="8" max="10" width="16.6818181818182" style="232" customWidth="1"/>
    <col min="11" max="16384" width="8.72727272727273" style="233"/>
  </cols>
  <sheetData>
    <row r="1" s="229" customFormat="1" spans="1:10">
      <c r="A1" s="234" t="s">
        <v>0</v>
      </c>
      <c r="B1" s="235" t="s">
        <v>1</v>
      </c>
      <c r="C1" s="235" t="s">
        <v>2</v>
      </c>
      <c r="D1" s="235" t="s">
        <v>3</v>
      </c>
      <c r="E1" s="235" t="s">
        <v>4</v>
      </c>
      <c r="F1" s="235" t="s">
        <v>5</v>
      </c>
      <c r="G1" s="235" t="s">
        <v>6</v>
      </c>
      <c r="H1" s="236"/>
      <c r="I1" s="236"/>
      <c r="J1" s="236"/>
    </row>
    <row r="2" spans="1:10">
      <c r="A2" s="237" t="s">
        <v>7</v>
      </c>
      <c r="B2" s="231" t="s">
        <v>8</v>
      </c>
      <c r="C2" s="231" t="s">
        <v>9</v>
      </c>
    </row>
    <row r="3" ht="52" spans="1:10">
      <c r="A3" s="237" t="s">
        <v>10</v>
      </c>
      <c r="C3" s="231" t="s">
        <v>11</v>
      </c>
      <c r="D3" s="231" t="s">
        <v>12</v>
      </c>
    </row>
    <row r="4" ht="26" spans="1:10">
      <c r="A4" s="237" t="s">
        <v>13</v>
      </c>
      <c r="D4" s="231" t="s">
        <v>14</v>
      </c>
    </row>
    <row r="5" spans="1:10">
      <c r="A5" s="237" t="s">
        <v>15</v>
      </c>
      <c r="C5" s="231" t="s">
        <v>16</v>
      </c>
      <c r="D5" s="231" t="s">
        <v>17</v>
      </c>
    </row>
    <row r="6" spans="1:10">
      <c r="A6" s="237" t="s">
        <v>18</v>
      </c>
      <c r="C6" s="231" t="s">
        <v>19</v>
      </c>
    </row>
    <row r="7" ht="221" spans="1:10">
      <c r="A7" s="237" t="s">
        <v>20</v>
      </c>
      <c r="B7" s="231" t="s">
        <v>21</v>
      </c>
      <c r="C7" s="231" t="s">
        <v>22</v>
      </c>
      <c r="D7" s="231" t="s">
        <v>23</v>
      </c>
    </row>
    <row r="8" ht="26" spans="1:10">
      <c r="A8" s="237" t="s">
        <v>24</v>
      </c>
      <c r="D8" s="231" t="s">
        <v>25</v>
      </c>
    </row>
    <row r="9" spans="1:10">
      <c r="A9" s="237" t="s">
        <v>26</v>
      </c>
    </row>
    <row r="10" spans="1:10">
      <c r="A10" s="237" t="s">
        <v>27</v>
      </c>
      <c r="B10" s="231" t="s">
        <v>28</v>
      </c>
    </row>
    <row r="11" spans="1:10">
      <c r="A11" s="237" t="s">
        <v>29</v>
      </c>
    </row>
    <row r="12" spans="1:10">
      <c r="A12" s="237" t="s">
        <v>30</v>
      </c>
    </row>
    <row r="13" ht="39" spans="1:10">
      <c r="A13" s="237" t="s">
        <v>31</v>
      </c>
      <c r="D13" s="231" t="s">
        <v>32</v>
      </c>
    </row>
    <row r="14" spans="1:10">
      <c r="A14" s="237" t="s">
        <v>33</v>
      </c>
      <c r="B14" s="231" t="s">
        <v>34</v>
      </c>
    </row>
    <row r="15" spans="1:10">
      <c r="A15" s="237" t="s">
        <v>35</v>
      </c>
    </row>
    <row r="16" spans="1:10">
      <c r="A16" s="237" t="s">
        <v>36</v>
      </c>
      <c r="C16" s="231" t="s">
        <v>37</v>
      </c>
    </row>
    <row r="17" ht="26" spans="1:5">
      <c r="A17" s="237" t="s">
        <v>38</v>
      </c>
      <c r="C17" s="231" t="s">
        <v>39</v>
      </c>
    </row>
    <row r="18" spans="1:5">
      <c r="A18" s="237" t="s">
        <v>40</v>
      </c>
      <c r="D18" s="231" t="s">
        <v>41</v>
      </c>
    </row>
    <row r="19" ht="26" spans="1:5">
      <c r="A19" s="237" t="s">
        <v>42</v>
      </c>
      <c r="D19" s="231" t="s">
        <v>43</v>
      </c>
    </row>
    <row r="20" ht="26" spans="1:5">
      <c r="A20" s="237" t="s">
        <v>44</v>
      </c>
      <c r="B20" s="231" t="s">
        <v>45</v>
      </c>
      <c r="C20" s="231" t="s">
        <v>46</v>
      </c>
    </row>
    <row r="21" ht="52" spans="1:5">
      <c r="A21" s="237" t="s">
        <v>47</v>
      </c>
      <c r="B21" s="231" t="s">
        <v>48</v>
      </c>
      <c r="C21" s="231" t="s">
        <v>49</v>
      </c>
      <c r="D21" s="231" t="s">
        <v>50</v>
      </c>
    </row>
    <row r="22" spans="1:5">
      <c r="A22" s="237" t="s">
        <v>51</v>
      </c>
    </row>
    <row r="23" ht="26" spans="1:5">
      <c r="A23" s="237" t="s">
        <v>52</v>
      </c>
      <c r="B23" s="231" t="s">
        <v>53</v>
      </c>
    </row>
    <row r="24" ht="52" spans="1:5">
      <c r="A24" s="237" t="s">
        <v>54</v>
      </c>
      <c r="B24" s="231" t="s">
        <v>55</v>
      </c>
      <c r="C24" s="231" t="s">
        <v>56</v>
      </c>
      <c r="D24" s="231" t="s">
        <v>57</v>
      </c>
    </row>
    <row r="25" spans="1:5">
      <c r="A25" s="237" t="s">
        <v>58</v>
      </c>
    </row>
    <row r="26" spans="1:5">
      <c r="A26" s="237" t="s">
        <v>59</v>
      </c>
    </row>
    <row r="27" spans="1:5">
      <c r="A27" s="237" t="s">
        <v>60</v>
      </c>
      <c r="B27" s="231" t="s">
        <v>61</v>
      </c>
      <c r="C27" s="231" t="s">
        <v>62</v>
      </c>
    </row>
    <row r="28" ht="91" spans="1:5">
      <c r="A28" s="237" t="s">
        <v>63</v>
      </c>
      <c r="B28" s="231" t="s">
        <v>64</v>
      </c>
      <c r="C28" s="231" t="s">
        <v>65</v>
      </c>
      <c r="D28" s="231" t="s">
        <v>66</v>
      </c>
      <c r="E28" s="231" t="s">
        <v>67</v>
      </c>
    </row>
    <row r="29" spans="1:5">
      <c r="A29" s="237" t="s">
        <v>68</v>
      </c>
    </row>
    <row r="30" spans="1:5">
      <c r="A30" s="237" t="s">
        <v>69</v>
      </c>
      <c r="B30" s="231" t="s">
        <v>70</v>
      </c>
      <c r="C30" s="231" t="s">
        <v>71</v>
      </c>
    </row>
    <row r="31" spans="1:5">
      <c r="A31" s="237" t="s">
        <v>72</v>
      </c>
    </row>
    <row r="32" spans="1:5">
      <c r="A32" s="237" t="s">
        <v>73</v>
      </c>
    </row>
    <row r="33" spans="1:10">
      <c r="A33" s="237" t="s">
        <v>74</v>
      </c>
    </row>
    <row r="34" spans="1:10">
      <c r="A34" s="237" t="s">
        <v>75</v>
      </c>
    </row>
    <row r="35" spans="1:10">
      <c r="A35" s="237" t="s">
        <v>76</v>
      </c>
    </row>
    <row r="36" spans="1:10">
      <c r="A36" s="237" t="s">
        <v>77</v>
      </c>
      <c r="B36" s="231" t="s">
        <v>78</v>
      </c>
    </row>
    <row r="37" ht="26" spans="1:10">
      <c r="A37" s="237" t="s">
        <v>79</v>
      </c>
      <c r="C37" s="231" t="s">
        <v>80</v>
      </c>
      <c r="D37" s="231" t="s">
        <v>81</v>
      </c>
    </row>
    <row r="38" spans="1:10">
      <c r="A38" s="237" t="s">
        <v>82</v>
      </c>
      <c r="B38" s="231" t="s">
        <v>83</v>
      </c>
      <c r="C38" s="238"/>
      <c r="D38" s="238"/>
      <c r="E38" s="238"/>
      <c r="F38" s="238"/>
      <c r="G38" s="238"/>
    </row>
    <row r="39" ht="26" spans="1:10">
      <c r="A39" s="237" t="s">
        <v>84</v>
      </c>
      <c r="C39" s="231" t="s">
        <v>85</v>
      </c>
      <c r="D39" s="231" t="s">
        <v>86</v>
      </c>
    </row>
    <row r="40" spans="1:10">
      <c r="A40" s="237" t="s">
        <v>87</v>
      </c>
      <c r="B40" s="231" t="s">
        <v>88</v>
      </c>
      <c r="C40" s="231" t="s">
        <v>89</v>
      </c>
      <c r="D40" s="231" t="s">
        <v>90</v>
      </c>
    </row>
    <row r="41" ht="208" spans="1:10">
      <c r="A41" s="237" t="s">
        <v>91</v>
      </c>
      <c r="C41" s="231" t="s">
        <v>92</v>
      </c>
      <c r="D41" s="231" t="s">
        <v>93</v>
      </c>
      <c r="E41" s="231" t="s">
        <v>94</v>
      </c>
      <c r="H41" s="232" t="s">
        <v>95</v>
      </c>
      <c r="I41" s="232" t="s">
        <v>96</v>
      </c>
      <c r="J41" s="232" t="s">
        <v>97</v>
      </c>
    </row>
    <row r="42" spans="1:10">
      <c r="A42" s="237" t="s">
        <v>98</v>
      </c>
    </row>
    <row r="43" ht="28" spans="1:10">
      <c r="A43" s="237" t="s">
        <v>99</v>
      </c>
      <c r="B43" s="231" t="s">
        <v>100</v>
      </c>
      <c r="H43" s="232" t="s">
        <v>101</v>
      </c>
    </row>
    <row r="44" ht="26" spans="1:10">
      <c r="A44" s="237" t="s">
        <v>102</v>
      </c>
      <c r="B44" s="231" t="s">
        <v>103</v>
      </c>
    </row>
    <row r="45" ht="26" spans="1:10">
      <c r="A45" s="237" t="s">
        <v>104</v>
      </c>
      <c r="C45" s="231" t="s">
        <v>105</v>
      </c>
      <c r="D45" s="231" t="s">
        <v>106</v>
      </c>
    </row>
    <row r="46" spans="1:10">
      <c r="A46" s="237" t="s">
        <v>107</v>
      </c>
    </row>
    <row r="47" spans="1:10">
      <c r="A47" s="237" t="s">
        <v>108</v>
      </c>
      <c r="D47" s="231" t="s">
        <v>109</v>
      </c>
    </row>
    <row r="48" spans="1:10">
      <c r="A48" s="237" t="s">
        <v>110</v>
      </c>
      <c r="C48" s="231" t="s">
        <v>111</v>
      </c>
      <c r="D48" s="231" t="s">
        <v>112</v>
      </c>
    </row>
    <row r="49" spans="1:7">
      <c r="A49" s="237" t="s">
        <v>113</v>
      </c>
    </row>
    <row r="50" ht="78" spans="1:7">
      <c r="A50" s="237" t="s">
        <v>114</v>
      </c>
      <c r="C50" s="231" t="s">
        <v>115</v>
      </c>
    </row>
    <row r="51" spans="1:7">
      <c r="A51" s="237" t="s">
        <v>116</v>
      </c>
    </row>
    <row r="52" ht="26" spans="1:7">
      <c r="A52" s="237" t="s">
        <v>117</v>
      </c>
      <c r="B52" s="231" t="s">
        <v>118</v>
      </c>
      <c r="C52" s="231" t="s">
        <v>119</v>
      </c>
      <c r="E52" s="231" t="s">
        <v>120</v>
      </c>
    </row>
    <row r="53" ht="26" spans="1:7">
      <c r="A53" s="230" t="s">
        <v>121</v>
      </c>
      <c r="B53" s="231" t="s">
        <v>122</v>
      </c>
      <c r="D53" s="238"/>
      <c r="E53" s="238"/>
      <c r="F53" s="238"/>
      <c r="G53" s="238"/>
    </row>
    <row r="54" spans="1:7">
      <c r="A54" s="230" t="s">
        <v>123</v>
      </c>
      <c r="B54" s="231" t="s">
        <v>124</v>
      </c>
      <c r="C54" s="231" t="s">
        <v>125</v>
      </c>
      <c r="D54" s="238"/>
      <c r="E54" s="238"/>
      <c r="F54" s="238"/>
      <c r="G54" s="238"/>
    </row>
    <row r="55" ht="65" spans="1:7">
      <c r="A55" s="230" t="s">
        <v>126</v>
      </c>
      <c r="B55" s="238"/>
      <c r="C55" s="238"/>
      <c r="D55" s="231" t="s">
        <v>127</v>
      </c>
      <c r="E55" s="231" t="s">
        <v>128</v>
      </c>
    </row>
    <row r="56" ht="65" spans="1:7">
      <c r="A56" s="230" t="s">
        <v>129</v>
      </c>
      <c r="B56" s="78" t="s">
        <v>130</v>
      </c>
      <c r="C56" s="78"/>
      <c r="D56" s="231" t="s">
        <v>131</v>
      </c>
    </row>
    <row r="57" ht="117" spans="1:7">
      <c r="A57" s="230" t="s">
        <v>132</v>
      </c>
      <c r="B57" s="78" t="s">
        <v>133</v>
      </c>
      <c r="C57" s="78" t="s">
        <v>134</v>
      </c>
      <c r="D57" s="231" t="s">
        <v>135</v>
      </c>
    </row>
    <row r="58" spans="1:7">
      <c r="A58" s="230" t="s">
        <v>136</v>
      </c>
      <c r="B58" s="231" t="s">
        <v>137</v>
      </c>
      <c r="C58" s="238"/>
      <c r="D58" s="238"/>
      <c r="E58" s="238"/>
      <c r="F58" s="238"/>
      <c r="G58" s="238"/>
    </row>
    <row r="59" spans="1:7">
      <c r="A59" s="230" t="s">
        <v>138</v>
      </c>
      <c r="B59" s="238"/>
      <c r="C59" s="231" t="s">
        <v>139</v>
      </c>
      <c r="D59" s="238"/>
      <c r="E59" s="238"/>
      <c r="F59" s="238"/>
      <c r="G59" s="238"/>
    </row>
    <row r="60" ht="65" spans="1:7">
      <c r="A60" s="230" t="s">
        <v>140</v>
      </c>
      <c r="B60" s="238" t="s">
        <v>141</v>
      </c>
      <c r="C60" s="238"/>
      <c r="D60" s="231" t="s">
        <v>142</v>
      </c>
    </row>
    <row r="61" spans="1:7">
      <c r="A61" s="230" t="s">
        <v>143</v>
      </c>
      <c r="B61" s="78" t="s">
        <v>144</v>
      </c>
      <c r="C61" s="78"/>
      <c r="D61" s="238"/>
      <c r="E61" s="238"/>
      <c r="F61" s="238"/>
      <c r="G61" s="238"/>
    </row>
    <row r="62" ht="52" spans="1:7">
      <c r="A62" s="230" t="s">
        <v>145</v>
      </c>
      <c r="B62" s="238"/>
      <c r="C62" s="238"/>
      <c r="D62" s="231" t="s">
        <v>146</v>
      </c>
      <c r="E62" s="231" t="s">
        <v>147</v>
      </c>
    </row>
    <row r="63" ht="26" spans="1:7">
      <c r="A63" s="230" t="s">
        <v>148</v>
      </c>
      <c r="B63" s="78" t="s">
        <v>149</v>
      </c>
      <c r="C63" s="78" t="s">
        <v>150</v>
      </c>
      <c r="D63" s="238"/>
      <c r="E63" s="238"/>
      <c r="F63" s="238"/>
      <c r="G63" s="238"/>
    </row>
    <row r="64" ht="26" spans="1:7">
      <c r="A64" s="230" t="s">
        <v>151</v>
      </c>
      <c r="B64" s="238"/>
      <c r="C64" s="238"/>
      <c r="D64" s="231" t="s">
        <v>152</v>
      </c>
    </row>
    <row r="65" ht="26" spans="1:7">
      <c r="A65" s="230" t="s">
        <v>153</v>
      </c>
      <c r="B65" s="239" t="s">
        <v>154</v>
      </c>
      <c r="C65" s="238"/>
      <c r="D65" s="238"/>
      <c r="E65" s="238"/>
      <c r="F65" s="238"/>
      <c r="G65" s="238"/>
    </row>
    <row r="66" spans="1:7">
      <c r="A66" s="230" t="s">
        <v>155</v>
      </c>
      <c r="B66" s="238"/>
      <c r="C66" s="231" t="s">
        <v>156</v>
      </c>
      <c r="D66" s="238"/>
      <c r="E66" s="238"/>
      <c r="F66" s="238"/>
      <c r="G66" s="238"/>
    </row>
    <row r="67" spans="1:7">
      <c r="A67" s="230" t="s">
        <v>157</v>
      </c>
      <c r="B67" s="238"/>
      <c r="C67" s="238"/>
    </row>
    <row r="68" ht="78" spans="1:7">
      <c r="A68" s="230" t="s">
        <v>158</v>
      </c>
      <c r="B68" s="238"/>
      <c r="C68" s="238"/>
      <c r="D68" s="231" t="s">
        <v>159</v>
      </c>
    </row>
    <row r="69" spans="1:7">
      <c r="A69" s="230" t="s">
        <v>160</v>
      </c>
      <c r="B69" s="78" t="s">
        <v>161</v>
      </c>
      <c r="C69" s="78"/>
    </row>
    <row r="70" ht="26" spans="1:7">
      <c r="A70" s="230" t="s">
        <v>162</v>
      </c>
      <c r="B70" s="78" t="s">
        <v>163</v>
      </c>
      <c r="C70" s="78"/>
      <c r="D70" s="238"/>
      <c r="E70" s="238"/>
      <c r="F70" s="238"/>
      <c r="G70" s="238"/>
    </row>
    <row r="71" spans="1:7">
      <c r="A71" s="230" t="s">
        <v>164</v>
      </c>
      <c r="B71" s="238"/>
      <c r="C71" s="238"/>
    </row>
    <row r="72" spans="1:7">
      <c r="A72" s="230" t="s">
        <v>165</v>
      </c>
      <c r="B72" s="231" t="s">
        <v>166</v>
      </c>
      <c r="C72" s="231" t="s">
        <v>167</v>
      </c>
      <c r="D72" s="238"/>
      <c r="E72" s="238"/>
      <c r="F72" s="238"/>
      <c r="G72" s="238"/>
    </row>
    <row r="73" spans="1:7">
      <c r="A73" s="230" t="s">
        <v>168</v>
      </c>
      <c r="B73" s="238"/>
      <c r="C73" s="231" t="s">
        <v>169</v>
      </c>
      <c r="D73" s="238"/>
      <c r="E73" s="238"/>
      <c r="F73" s="238"/>
      <c r="G73" s="238"/>
    </row>
    <row r="74" spans="1:7">
      <c r="A74" s="230" t="s">
        <v>170</v>
      </c>
    </row>
    <row r="75" spans="1:7">
      <c r="A75" s="230" t="s">
        <v>171</v>
      </c>
      <c r="D75" s="238"/>
      <c r="E75" s="238"/>
      <c r="F75" s="238"/>
      <c r="G75" s="238"/>
    </row>
    <row r="76" spans="1:7">
      <c r="A76" s="230" t="s">
        <v>172</v>
      </c>
      <c r="B76" s="238"/>
      <c r="C76" s="238"/>
      <c r="D76" s="231" t="s">
        <v>173</v>
      </c>
    </row>
    <row r="77" spans="1:7">
      <c r="A77" s="230" t="s">
        <v>174</v>
      </c>
      <c r="B77" s="78"/>
      <c r="C77" s="78"/>
    </row>
    <row r="78" ht="26" spans="1:7">
      <c r="A78" s="240" t="s">
        <v>175</v>
      </c>
      <c r="B78" s="231" t="s">
        <v>176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4" workbookViewId="0">
      <selection activeCell="B21" sqref="B21"/>
    </sheetView>
  </sheetViews>
  <sheetFormatPr defaultColWidth="8.72727272727273" defaultRowHeight="14" outlineLevelCol="6"/>
  <cols>
    <col min="1" max="1" width="6.64545454545455" style="224" customWidth="1"/>
    <col min="2" max="2" width="32.6181818181818" style="66" customWidth="1"/>
    <col min="3" max="7" width="16.4909090909091" style="66" customWidth="1"/>
    <col min="8" max="16384" width="8.72727272727273" style="225"/>
  </cols>
  <sheetData>
    <row r="1" spans="1:7">
      <c r="A1" s="226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3" customFormat="1" ht="39" spans="1:7">
      <c r="A2" s="227" t="s">
        <v>177</v>
      </c>
      <c r="B2" s="78"/>
      <c r="C2" s="78"/>
      <c r="D2" s="78" t="s">
        <v>178</v>
      </c>
      <c r="E2" s="78"/>
      <c r="F2" s="78"/>
      <c r="G2" s="78"/>
    </row>
    <row r="3" spans="1:7">
      <c r="A3" s="228" t="s">
        <v>179</v>
      </c>
      <c r="C3" s="66" t="s">
        <v>180</v>
      </c>
    </row>
    <row r="4" spans="1:7">
      <c r="A4" s="228" t="s">
        <v>181</v>
      </c>
      <c r="B4" s="66" t="s">
        <v>182</v>
      </c>
      <c r="D4" s="66" t="s">
        <v>183</v>
      </c>
    </row>
    <row r="5" spans="1:7">
      <c r="A5" s="228" t="s">
        <v>184</v>
      </c>
      <c r="C5" s="66" t="s">
        <v>185</v>
      </c>
      <c r="D5" s="66" t="s">
        <v>186</v>
      </c>
    </row>
    <row r="6" spans="1:7">
      <c r="A6" s="228" t="s">
        <v>187</v>
      </c>
      <c r="B6" s="66" t="s">
        <v>188</v>
      </c>
      <c r="D6" s="66" t="s">
        <v>189</v>
      </c>
    </row>
    <row r="7" spans="1:7">
      <c r="A7" s="228" t="s">
        <v>190</v>
      </c>
      <c r="B7" s="66" t="s">
        <v>191</v>
      </c>
    </row>
    <row r="8" spans="1:7">
      <c r="A8" s="228"/>
      <c r="D8" s="66" t="s">
        <v>192</v>
      </c>
    </row>
    <row r="9" spans="1:7">
      <c r="A9" s="228"/>
    </row>
    <row r="10" spans="1:7">
      <c r="A10" s="228"/>
      <c r="B10" s="66" t="s">
        <v>193</v>
      </c>
    </row>
    <row r="11" spans="1:7">
      <c r="A11" s="228"/>
    </row>
    <row r="12" spans="1:7">
      <c r="A12" s="228"/>
      <c r="B12" s="66" t="s">
        <v>194</v>
      </c>
    </row>
    <row r="13" spans="1:7">
      <c r="A13" s="228"/>
      <c r="B13" s="66" t="s">
        <v>195</v>
      </c>
    </row>
    <row r="14" spans="1:7">
      <c r="A14" s="228"/>
      <c r="B14" s="66" t="s">
        <v>196</v>
      </c>
    </row>
    <row r="15" spans="1:7">
      <c r="A15" s="228"/>
      <c r="B15" s="66" t="s">
        <v>197</v>
      </c>
    </row>
    <row r="16" spans="1:7">
      <c r="A16" s="228"/>
      <c r="B16" s="66" t="s">
        <v>198</v>
      </c>
    </row>
    <row r="17" spans="1:2">
      <c r="A17" s="228"/>
      <c r="B17" s="66" t="s">
        <v>199</v>
      </c>
    </row>
    <row r="18" spans="1:2">
      <c r="A18" s="228"/>
      <c r="B18" s="66" t="s">
        <v>200</v>
      </c>
    </row>
    <row r="19" ht="26" spans="1:2">
      <c r="A19" s="228"/>
      <c r="B19" s="78" t="s">
        <v>201</v>
      </c>
    </row>
    <row r="20" spans="1:2">
      <c r="A20" s="228"/>
      <c r="B20" s="66" t="s">
        <v>202</v>
      </c>
    </row>
    <row r="21" spans="1:2">
      <c r="A21" s="228"/>
      <c r="B21" s="66" t="s">
        <v>203</v>
      </c>
    </row>
    <row r="22" spans="1:2">
      <c r="A22" s="228"/>
    </row>
    <row r="23" spans="1:2">
      <c r="A23" s="228"/>
    </row>
    <row r="24" spans="1:2">
      <c r="A24" s="228"/>
    </row>
    <row r="25" spans="1:2">
      <c r="A25" s="228"/>
    </row>
    <row r="26" spans="1:2">
      <c r="A26" s="228"/>
    </row>
    <row r="27" spans="1:2">
      <c r="A27" s="228"/>
    </row>
    <row r="28" spans="1:2">
      <c r="A28" s="228"/>
    </row>
    <row r="29" spans="1:2">
      <c r="A29" s="228"/>
    </row>
    <row r="30" spans="1:2">
      <c r="A30" s="228"/>
    </row>
    <row r="31" spans="1:2">
      <c r="A31" s="228"/>
    </row>
    <row r="32" spans="1:2">
      <c r="A32" s="228"/>
    </row>
    <row r="33" spans="1:7">
      <c r="A33" s="228"/>
    </row>
    <row r="34" spans="1:7">
      <c r="A34" s="228"/>
    </row>
    <row r="35" spans="1:7">
      <c r="A35" s="228"/>
    </row>
    <row r="36" spans="1:7">
      <c r="A36" s="228"/>
    </row>
    <row r="37" spans="1:7">
      <c r="A37" s="228"/>
    </row>
    <row r="38" spans="1:7">
      <c r="A38" s="228"/>
      <c r="B38" s="78"/>
      <c r="C38" s="78"/>
      <c r="D38" s="78"/>
      <c r="E38" s="78"/>
      <c r="F38" s="78"/>
      <c r="G38" s="78"/>
    </row>
    <row r="39" spans="1:7">
      <c r="A39" s="228"/>
      <c r="B39" s="78"/>
      <c r="C39" s="78"/>
      <c r="D39" s="78"/>
      <c r="E39" s="78"/>
      <c r="F39" s="78"/>
      <c r="G39" s="78"/>
    </row>
    <row r="40" spans="1:7">
      <c r="A40" s="228"/>
    </row>
    <row r="41" spans="1:7">
      <c r="A41" s="228"/>
    </row>
    <row r="42" spans="1:7">
      <c r="A42" s="228"/>
    </row>
    <row r="43" spans="1:7">
      <c r="A43" s="228"/>
    </row>
    <row r="44" spans="1:7">
      <c r="A44" s="228"/>
    </row>
    <row r="45" spans="1:7">
      <c r="A45" s="228"/>
    </row>
    <row r="46" spans="1:7">
      <c r="A46" s="228"/>
    </row>
    <row r="47" spans="1:7">
      <c r="A47" s="228"/>
    </row>
    <row r="48" spans="1:7">
      <c r="A48" s="228"/>
    </row>
    <row r="49" spans="1:1">
      <c r="A49" s="228"/>
    </row>
    <row r="50" spans="1:1">
      <c r="A50" s="228"/>
    </row>
    <row r="51" spans="1:1">
      <c r="A51" s="22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7"/>
  <sheetViews>
    <sheetView workbookViewId="0">
      <pane ySplit="1" topLeftCell="A50" activePane="bottomLeft" state="frozen"/>
      <selection/>
      <selection pane="bottomLeft" activeCell="B66" sqref="B66"/>
    </sheetView>
  </sheetViews>
  <sheetFormatPr defaultColWidth="8.72727272727273" defaultRowHeight="14" outlineLevelCol="2"/>
  <cols>
    <col min="1" max="1" width="24" style="214" customWidth="1"/>
    <col min="2" max="2" width="10.6363636363636" style="214" customWidth="1"/>
    <col min="3" max="3" width="91.3636363636364" style="214" customWidth="1"/>
    <col min="4" max="16384" width="8.72727272727273" style="93"/>
  </cols>
  <sheetData>
    <row r="1" s="213" customFormat="1" ht="15" spans="1:3">
      <c r="A1" s="215" t="s">
        <v>204</v>
      </c>
      <c r="B1" s="215" t="s">
        <v>205</v>
      </c>
      <c r="C1" s="215" t="s">
        <v>206</v>
      </c>
    </row>
    <row r="2" spans="1:3">
      <c r="A2" s="216" t="s">
        <v>207</v>
      </c>
      <c r="B2" s="216" t="s">
        <v>208</v>
      </c>
      <c r="C2" s="216" t="s">
        <v>209</v>
      </c>
    </row>
    <row r="3" spans="1:3">
      <c r="A3" s="216" t="s">
        <v>210</v>
      </c>
      <c r="B3" s="216" t="s">
        <v>211</v>
      </c>
      <c r="C3" s="216" t="s">
        <v>212</v>
      </c>
    </row>
    <row r="4" spans="1:3">
      <c r="A4" s="216" t="s">
        <v>213</v>
      </c>
      <c r="B4" s="216" t="s">
        <v>211</v>
      </c>
      <c r="C4" s="216" t="s">
        <v>214</v>
      </c>
    </row>
    <row r="5" ht="56" spans="1:3">
      <c r="A5" s="217" t="s">
        <v>215</v>
      </c>
      <c r="B5" s="216" t="s">
        <v>216</v>
      </c>
      <c r="C5" s="216" t="s">
        <v>217</v>
      </c>
    </row>
    <row r="6" ht="28" spans="1:3">
      <c r="A6" s="218"/>
      <c r="B6" s="216" t="s">
        <v>218</v>
      </c>
      <c r="C6" s="216" t="s">
        <v>219</v>
      </c>
    </row>
    <row r="7" spans="1:3">
      <c r="A7" s="219" t="s">
        <v>91</v>
      </c>
      <c r="B7" s="216" t="s">
        <v>220</v>
      </c>
      <c r="C7" s="216" t="s">
        <v>221</v>
      </c>
    </row>
    <row r="8" ht="140" spans="1:3">
      <c r="A8" s="219"/>
      <c r="B8" s="216" t="s">
        <v>222</v>
      </c>
      <c r="C8" s="216" t="s">
        <v>223</v>
      </c>
    </row>
    <row r="9" spans="1:3">
      <c r="A9" s="219"/>
      <c r="B9" s="216" t="s">
        <v>224</v>
      </c>
      <c r="C9" s="216" t="s">
        <v>225</v>
      </c>
    </row>
    <row r="10" spans="1:3">
      <c r="A10" s="219"/>
      <c r="B10" s="216" t="s">
        <v>226</v>
      </c>
      <c r="C10" s="216" t="s">
        <v>227</v>
      </c>
    </row>
    <row r="11" spans="1:3">
      <c r="A11" s="219"/>
      <c r="B11" s="216"/>
      <c r="C11" s="216"/>
    </row>
    <row r="12" spans="1:3">
      <c r="A12" s="219"/>
      <c r="B12" s="216"/>
      <c r="C12" s="216"/>
    </row>
    <row r="13" spans="1:3">
      <c r="A13" s="219"/>
      <c r="B13" s="216"/>
      <c r="C13" s="216"/>
    </row>
    <row r="14" spans="1:3">
      <c r="A14" s="220"/>
      <c r="B14" s="216"/>
      <c r="C14" s="216"/>
    </row>
    <row r="15" spans="1:3">
      <c r="A15" s="216" t="s">
        <v>228</v>
      </c>
      <c r="B15" s="216" t="s">
        <v>229</v>
      </c>
      <c r="C15" s="216" t="s">
        <v>230</v>
      </c>
    </row>
    <row r="16" spans="1:3">
      <c r="A16" s="216" t="s">
        <v>231</v>
      </c>
      <c r="B16" s="216" t="s">
        <v>232</v>
      </c>
      <c r="C16" s="216" t="s">
        <v>233</v>
      </c>
    </row>
    <row r="17" spans="1:3">
      <c r="A17" s="216" t="s">
        <v>234</v>
      </c>
      <c r="B17" s="216" t="s">
        <v>235</v>
      </c>
      <c r="C17" s="221">
        <v>0.440972222222222</v>
      </c>
    </row>
    <row r="18" spans="1:3">
      <c r="A18" s="222" t="s">
        <v>63</v>
      </c>
      <c r="B18" s="216" t="s">
        <v>236</v>
      </c>
      <c r="C18" s="216" t="s">
        <v>237</v>
      </c>
    </row>
    <row r="19" spans="1:3">
      <c r="A19" s="219"/>
      <c r="B19" s="216" t="s">
        <v>238</v>
      </c>
      <c r="C19" s="216" t="s">
        <v>239</v>
      </c>
    </row>
    <row r="20" ht="56" spans="1:3">
      <c r="A20" s="219"/>
      <c r="B20" s="216" t="s">
        <v>240</v>
      </c>
      <c r="C20" s="216" t="s">
        <v>241</v>
      </c>
    </row>
    <row r="21" spans="1:3">
      <c r="A21" s="219"/>
      <c r="B21" s="216" t="s">
        <v>242</v>
      </c>
      <c r="C21" s="216" t="s">
        <v>243</v>
      </c>
    </row>
    <row r="22" ht="28" spans="1:3">
      <c r="A22" s="219"/>
      <c r="B22" s="216" t="s">
        <v>244</v>
      </c>
      <c r="C22" s="216" t="s">
        <v>245</v>
      </c>
    </row>
    <row r="23" spans="1:3">
      <c r="A23" s="219"/>
      <c r="B23" s="216" t="s">
        <v>246</v>
      </c>
      <c r="C23" s="216" t="s">
        <v>247</v>
      </c>
    </row>
    <row r="24" spans="1:3">
      <c r="A24" s="219"/>
      <c r="B24" s="216" t="s">
        <v>248</v>
      </c>
      <c r="C24" s="216" t="s">
        <v>249</v>
      </c>
    </row>
    <row r="25" spans="1:3">
      <c r="A25" s="219"/>
      <c r="B25" s="216" t="s">
        <v>250</v>
      </c>
      <c r="C25" s="216" t="s">
        <v>251</v>
      </c>
    </row>
    <row r="26" spans="1:3">
      <c r="A26" s="219"/>
      <c r="B26" s="216" t="s">
        <v>248</v>
      </c>
      <c r="C26" s="216" t="s">
        <v>252</v>
      </c>
    </row>
    <row r="27" spans="1:3">
      <c r="A27" s="219"/>
      <c r="B27" s="216"/>
      <c r="C27" s="216"/>
    </row>
    <row r="28" spans="1:3">
      <c r="A28" s="219"/>
      <c r="B28" s="216"/>
      <c r="C28" s="216"/>
    </row>
    <row r="29" spans="1:3">
      <c r="A29" s="219"/>
      <c r="B29" s="216"/>
      <c r="C29" s="216"/>
    </row>
    <row r="30" spans="1:3">
      <c r="A30" s="219"/>
      <c r="B30" s="216"/>
      <c r="C30" s="216"/>
    </row>
    <row r="31" spans="1:3">
      <c r="A31" s="219"/>
      <c r="B31" s="216"/>
      <c r="C31" s="216"/>
    </row>
    <row r="32" spans="1:3">
      <c r="A32" s="219"/>
      <c r="B32" s="216"/>
      <c r="C32" s="216"/>
    </row>
    <row r="33" spans="1:3">
      <c r="A33" s="219"/>
      <c r="B33" s="216"/>
      <c r="C33" s="216"/>
    </row>
    <row r="34" spans="1:3">
      <c r="A34" s="217" t="s">
        <v>253</v>
      </c>
      <c r="B34" s="216" t="s">
        <v>238</v>
      </c>
      <c r="C34" s="216" t="s">
        <v>254</v>
      </c>
    </row>
    <row r="35" spans="1:3">
      <c r="A35" s="218"/>
      <c r="B35" s="216" t="s">
        <v>255</v>
      </c>
      <c r="C35" s="216" t="s">
        <v>256</v>
      </c>
    </row>
    <row r="36" ht="28" spans="1:3">
      <c r="A36" s="222" t="s">
        <v>257</v>
      </c>
      <c r="B36" s="216" t="s">
        <v>258</v>
      </c>
      <c r="C36" s="216" t="s">
        <v>259</v>
      </c>
    </row>
    <row r="37" spans="1:3">
      <c r="A37" s="219"/>
      <c r="B37" s="216" t="s">
        <v>222</v>
      </c>
      <c r="C37" s="216" t="s">
        <v>260</v>
      </c>
    </row>
    <row r="38" spans="1:3">
      <c r="A38" s="219"/>
      <c r="B38" s="216" t="s">
        <v>261</v>
      </c>
      <c r="C38" s="216" t="s">
        <v>262</v>
      </c>
    </row>
    <row r="39" spans="1:3">
      <c r="A39" s="219"/>
      <c r="B39" s="216"/>
      <c r="C39" s="216"/>
    </row>
    <row r="40" spans="1:3">
      <c r="A40" s="217" t="s">
        <v>263</v>
      </c>
      <c r="B40" s="216" t="s">
        <v>264</v>
      </c>
      <c r="C40" s="216" t="s">
        <v>265</v>
      </c>
    </row>
    <row r="41" spans="1:3">
      <c r="A41" s="218"/>
      <c r="B41" s="216" t="s">
        <v>220</v>
      </c>
      <c r="C41" s="216" t="s">
        <v>266</v>
      </c>
    </row>
    <row r="42" ht="28" spans="1:3">
      <c r="A42" s="222" t="s">
        <v>47</v>
      </c>
      <c r="B42" s="216" t="s">
        <v>220</v>
      </c>
      <c r="C42" s="216" t="s">
        <v>267</v>
      </c>
    </row>
    <row r="43" spans="1:3">
      <c r="A43" s="219"/>
      <c r="B43" s="214" t="s">
        <v>268</v>
      </c>
      <c r="C43" s="214" t="s">
        <v>269</v>
      </c>
    </row>
    <row r="44" spans="1:3">
      <c r="A44" s="219"/>
      <c r="B44" s="214" t="s">
        <v>242</v>
      </c>
      <c r="C44" s="214" t="s">
        <v>270</v>
      </c>
    </row>
    <row r="45" spans="1:3">
      <c r="A45" s="219"/>
      <c r="B45" s="214" t="s">
        <v>248</v>
      </c>
      <c r="C45" s="214" t="s">
        <v>271</v>
      </c>
    </row>
    <row r="46" ht="28" spans="1:3">
      <c r="A46" s="219"/>
      <c r="B46" s="214" t="s">
        <v>248</v>
      </c>
      <c r="C46" s="214" t="s">
        <v>272</v>
      </c>
    </row>
    <row r="47" spans="1:3">
      <c r="A47" s="219"/>
    </row>
    <row r="48" ht="98" spans="1:3">
      <c r="A48" s="222" t="s">
        <v>273</v>
      </c>
      <c r="B48" s="214" t="s">
        <v>220</v>
      </c>
      <c r="C48" s="214" t="s">
        <v>274</v>
      </c>
    </row>
    <row r="49" ht="84" spans="1:3">
      <c r="A49" s="219"/>
      <c r="B49" s="214" t="s">
        <v>275</v>
      </c>
      <c r="C49" s="214" t="s">
        <v>276</v>
      </c>
    </row>
    <row r="50" ht="28" spans="1:3">
      <c r="A50" s="220"/>
      <c r="B50" s="214" t="s">
        <v>277</v>
      </c>
      <c r="C50" s="214" t="s">
        <v>278</v>
      </c>
    </row>
    <row r="51" spans="1:3">
      <c r="A51" s="214" t="s">
        <v>38</v>
      </c>
      <c r="B51" s="214" t="s">
        <v>279</v>
      </c>
      <c r="C51" s="214" t="s">
        <v>280</v>
      </c>
    </row>
    <row r="52" spans="1:3">
      <c r="A52" s="222" t="s">
        <v>281</v>
      </c>
      <c r="B52" s="214" t="s">
        <v>222</v>
      </c>
      <c r="C52" s="214" t="s">
        <v>282</v>
      </c>
    </row>
    <row r="53" spans="1:3">
      <c r="A53" s="220"/>
      <c r="B53" s="214" t="s">
        <v>275</v>
      </c>
      <c r="C53" s="214" t="s">
        <v>283</v>
      </c>
    </row>
    <row r="54" spans="1:3">
      <c r="A54" s="214" t="s">
        <v>54</v>
      </c>
      <c r="B54" s="214" t="s">
        <v>224</v>
      </c>
      <c r="C54" s="214" t="s">
        <v>284</v>
      </c>
    </row>
    <row r="55" spans="1:3">
      <c r="A55" s="222" t="s">
        <v>285</v>
      </c>
      <c r="B55" s="214" t="s">
        <v>286</v>
      </c>
      <c r="C55" s="214" t="s">
        <v>287</v>
      </c>
    </row>
    <row r="56" spans="1:3">
      <c r="A56" s="220"/>
      <c r="B56" s="214" t="s">
        <v>248</v>
      </c>
      <c r="C56" s="214" t="s">
        <v>288</v>
      </c>
    </row>
    <row r="57" spans="1:3">
      <c r="A57" s="214" t="s">
        <v>289</v>
      </c>
      <c r="B57" s="214" t="s">
        <v>290</v>
      </c>
      <c r="C57" s="214" t="s">
        <v>291</v>
      </c>
    </row>
    <row r="58" spans="1:3">
      <c r="A58" s="214" t="s">
        <v>10</v>
      </c>
      <c r="B58" s="214" t="s">
        <v>275</v>
      </c>
      <c r="C58" s="214" t="s">
        <v>292</v>
      </c>
    </row>
    <row r="59" spans="1:3">
      <c r="A59" s="214" t="s">
        <v>293</v>
      </c>
      <c r="B59" s="214" t="s">
        <v>294</v>
      </c>
      <c r="C59" s="214" t="s">
        <v>295</v>
      </c>
    </row>
    <row r="60" spans="1:3">
      <c r="A60" s="214" t="s">
        <v>296</v>
      </c>
      <c r="B60" s="214" t="s">
        <v>297</v>
      </c>
      <c r="C60" s="214" t="s">
        <v>298</v>
      </c>
    </row>
    <row r="61" spans="1:3">
      <c r="A61" s="214" t="s">
        <v>299</v>
      </c>
      <c r="B61" s="214" t="s">
        <v>297</v>
      </c>
      <c r="C61" s="214" t="s">
        <v>300</v>
      </c>
    </row>
    <row r="62" spans="1:3">
      <c r="A62" s="214" t="s">
        <v>301</v>
      </c>
      <c r="B62" s="214" t="s">
        <v>244</v>
      </c>
      <c r="C62" s="214" t="s">
        <v>302</v>
      </c>
    </row>
    <row r="63" ht="28" spans="1:3">
      <c r="A63" s="214" t="s">
        <v>303</v>
      </c>
      <c r="B63" s="214" t="s">
        <v>277</v>
      </c>
      <c r="C63" s="214" t="s">
        <v>304</v>
      </c>
    </row>
    <row r="64" ht="28" spans="1:3">
      <c r="A64" s="214" t="s">
        <v>305</v>
      </c>
      <c r="B64" s="214" t="s">
        <v>277</v>
      </c>
      <c r="C64" s="214" t="s">
        <v>306</v>
      </c>
    </row>
    <row r="65" ht="140" spans="1:3">
      <c r="A65" s="214" t="s">
        <v>307</v>
      </c>
      <c r="B65" s="214" t="s">
        <v>308</v>
      </c>
      <c r="C65" s="214" t="s">
        <v>309</v>
      </c>
    </row>
    <row r="66" spans="1:3">
      <c r="A66" s="214" t="s">
        <v>10</v>
      </c>
      <c r="B66" s="214" t="s">
        <v>246</v>
      </c>
      <c r="C66" s="214" t="s">
        <v>310</v>
      </c>
    </row>
    <row r="67" spans="1:3">
      <c r="A67" s="214" t="s">
        <v>311</v>
      </c>
      <c r="B67" s="214" t="s">
        <v>312</v>
      </c>
      <c r="C67" s="214" t="s">
        <v>313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7"/>
  <sheetViews>
    <sheetView zoomScale="190" zoomScaleNormal="190" workbookViewId="0">
      <pane ySplit="1" topLeftCell="A2" activePane="bottomLeft" state="frozen"/>
      <selection/>
      <selection pane="bottomLeft" activeCell="J14" sqref="J14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202"/>
    <col min="6" max="6" width="9.52727272727273" style="4" customWidth="1"/>
    <col min="7" max="7" width="22.8181818181818" style="4" customWidth="1"/>
    <col min="8" max="16384" width="8.72727272727273" style="4"/>
  </cols>
  <sheetData>
    <row r="1" s="200" customFormat="1" ht="15" spans="1:7">
      <c r="A1" s="203" t="s">
        <v>314</v>
      </c>
      <c r="B1" s="204"/>
      <c r="C1" s="204"/>
      <c r="D1" s="205"/>
      <c r="E1" s="206"/>
      <c r="F1" s="200" t="s">
        <v>315</v>
      </c>
    </row>
    <row r="2" s="201" customFormat="1" spans="1:7">
      <c r="A2" s="207" t="s">
        <v>205</v>
      </c>
      <c r="B2" s="208"/>
      <c r="C2" s="201" t="s">
        <v>316</v>
      </c>
      <c r="D2" s="201" t="s">
        <v>317</v>
      </c>
      <c r="E2" s="142"/>
      <c r="F2" s="201" t="s">
        <v>205</v>
      </c>
      <c r="G2" s="201" t="s">
        <v>318</v>
      </c>
    </row>
    <row r="3" spans="1:7">
      <c r="A3" s="209">
        <v>2025.1</v>
      </c>
      <c r="B3" s="119">
        <v>11</v>
      </c>
      <c r="C3" s="119">
        <v>113</v>
      </c>
      <c r="D3" s="119"/>
      <c r="F3" s="119" t="s">
        <v>319</v>
      </c>
      <c r="G3" s="119" t="s">
        <v>320</v>
      </c>
    </row>
    <row r="4" spans="1:7">
      <c r="A4" s="210"/>
      <c r="B4" s="119">
        <v>15</v>
      </c>
      <c r="C4" s="119">
        <v>163</v>
      </c>
      <c r="D4" s="119"/>
      <c r="F4" s="119" t="s">
        <v>321</v>
      </c>
      <c r="G4" s="119" t="s">
        <v>322</v>
      </c>
    </row>
    <row r="5" spans="1:7">
      <c r="A5" s="210"/>
      <c r="B5" s="119">
        <v>17</v>
      </c>
      <c r="C5" s="119">
        <v>158</v>
      </c>
      <c r="D5" s="119"/>
      <c r="F5" s="119" t="s">
        <v>323</v>
      </c>
      <c r="G5" s="119" t="s">
        <v>324</v>
      </c>
    </row>
    <row r="6" spans="1:7">
      <c r="A6" s="210"/>
      <c r="B6" s="119">
        <v>22</v>
      </c>
      <c r="C6" s="119">
        <v>70</v>
      </c>
      <c r="D6" s="119"/>
      <c r="F6" s="211" t="s">
        <v>325</v>
      </c>
      <c r="G6" s="119" t="s">
        <v>326</v>
      </c>
    </row>
    <row r="7" spans="1:7">
      <c r="A7" s="210"/>
      <c r="B7" s="119">
        <v>24</v>
      </c>
      <c r="C7" s="119">
        <v>180</v>
      </c>
      <c r="D7" s="119"/>
      <c r="F7" s="212"/>
      <c r="G7" s="119" t="s">
        <v>327</v>
      </c>
    </row>
    <row r="8" spans="1:7">
      <c r="A8" s="210"/>
      <c r="B8" s="119">
        <v>29</v>
      </c>
      <c r="C8" s="119">
        <v>135</v>
      </c>
      <c r="D8" s="119"/>
      <c r="F8" s="119" t="s">
        <v>328</v>
      </c>
      <c r="G8" s="119" t="s">
        <v>329</v>
      </c>
    </row>
    <row r="9" spans="1:7">
      <c r="A9" s="212"/>
      <c r="B9" s="119">
        <v>31</v>
      </c>
      <c r="C9" s="119">
        <v>89</v>
      </c>
      <c r="D9" s="119"/>
      <c r="F9" s="119" t="s">
        <v>330</v>
      </c>
      <c r="G9" s="119" t="s">
        <v>331</v>
      </c>
    </row>
    <row r="10" spans="1:7">
      <c r="A10" s="211">
        <v>2025.11</v>
      </c>
      <c r="B10" s="119">
        <v>5</v>
      </c>
      <c r="C10" s="119">
        <v>118</v>
      </c>
      <c r="D10" s="119"/>
      <c r="F10" s="119" t="s">
        <v>332</v>
      </c>
      <c r="G10" s="119" t="s">
        <v>333</v>
      </c>
    </row>
    <row r="11" spans="1:7">
      <c r="A11" s="210"/>
      <c r="B11" s="119">
        <v>7</v>
      </c>
      <c r="C11" s="119">
        <v>119</v>
      </c>
      <c r="D11" s="119"/>
      <c r="F11" s="211" t="s">
        <v>334</v>
      </c>
      <c r="G11" s="119" t="s">
        <v>335</v>
      </c>
    </row>
    <row r="12" spans="1:7">
      <c r="A12" s="212"/>
      <c r="B12" s="119">
        <v>14</v>
      </c>
      <c r="C12" s="119">
        <v>63</v>
      </c>
      <c r="D12" s="119"/>
      <c r="F12" s="210"/>
      <c r="G12" s="119" t="s">
        <v>327</v>
      </c>
    </row>
    <row r="13" spans="1:7">
      <c r="A13" s="211">
        <v>2025.12</v>
      </c>
      <c r="B13" s="119">
        <v>26</v>
      </c>
      <c r="C13" s="119">
        <v>225</v>
      </c>
      <c r="D13" s="119">
        <v>74</v>
      </c>
      <c r="F13" s="212"/>
      <c r="G13" s="119" t="s">
        <v>329</v>
      </c>
    </row>
    <row r="14" spans="1:7">
      <c r="A14" s="212"/>
      <c r="B14" s="119">
        <v>31</v>
      </c>
      <c r="C14" s="119">
        <v>119</v>
      </c>
      <c r="D14" s="119">
        <v>38</v>
      </c>
      <c r="F14" s="119" t="s">
        <v>336</v>
      </c>
      <c r="G14" s="119" t="s">
        <v>337</v>
      </c>
    </row>
    <row r="15" spans="1:7">
      <c r="A15" s="4" t="s">
        <v>334</v>
      </c>
      <c r="C15" s="4">
        <v>15</v>
      </c>
      <c r="F15" s="4" t="s">
        <v>338</v>
      </c>
      <c r="G15" s="4" t="s">
        <v>331</v>
      </c>
    </row>
    <row r="16" spans="1:7">
      <c r="A16" s="4" t="s">
        <v>338</v>
      </c>
      <c r="C16" s="4">
        <v>6</v>
      </c>
      <c r="F16" s="4" t="s">
        <v>339</v>
      </c>
      <c r="G16" s="4" t="s">
        <v>340</v>
      </c>
    </row>
    <row r="17" spans="1:7">
      <c r="A17" s="4" t="s">
        <v>341</v>
      </c>
      <c r="C17" s="4">
        <v>17</v>
      </c>
      <c r="F17" s="4" t="s">
        <v>341</v>
      </c>
      <c r="G17" s="4" t="s">
        <v>329</v>
      </c>
    </row>
  </sheetData>
  <mergeCells count="8">
    <mergeCell ref="A1:D1"/>
    <mergeCell ref="F1:G1"/>
    <mergeCell ref="A2:B2"/>
    <mergeCell ref="A3:A9"/>
    <mergeCell ref="A10:A12"/>
    <mergeCell ref="A13:A14"/>
    <mergeCell ref="F6:F7"/>
    <mergeCell ref="F11:F1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O57"/>
  <sheetViews>
    <sheetView zoomScale="70" zoomScaleNormal="70" workbookViewId="0">
      <pane xSplit="1" ySplit="2" topLeftCell="B8" activePane="bottomRight" state="frozen"/>
      <selection/>
      <selection pane="topRight"/>
      <selection pane="bottomLeft"/>
      <selection pane="bottomRight" activeCell="BH47" sqref="BH47"/>
    </sheetView>
  </sheetViews>
  <sheetFormatPr defaultColWidth="8.72727272727273" defaultRowHeight="14"/>
  <cols>
    <col min="1" max="1" width="4.96363636363636" customWidth="1"/>
    <col min="2" max="60" width="3.23636363636364" customWidth="1"/>
    <col min="61" max="63" width="5.44545454545455" style="176" customWidth="1"/>
    <col min="64" max="64" width="7.18181818181818" style="176" customWidth="1"/>
    <col min="65" max="67" width="5.44545454545455" style="176" customWidth="1"/>
  </cols>
  <sheetData>
    <row r="1" spans="1:67">
      <c r="A1" s="177" t="s">
        <v>342</v>
      </c>
      <c r="B1" s="178" t="s">
        <v>343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80" t="s">
        <v>344</v>
      </c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0" t="s">
        <v>345</v>
      </c>
      <c r="AK1" s="181"/>
      <c r="AL1" s="181"/>
      <c r="AM1" s="180" t="s">
        <v>346</v>
      </c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  <c r="BG1" s="181"/>
      <c r="BH1" s="181"/>
      <c r="BI1" s="182" t="s">
        <v>347</v>
      </c>
      <c r="BJ1" s="183"/>
      <c r="BK1" s="183"/>
      <c r="BL1" s="183"/>
      <c r="BM1" s="183"/>
      <c r="BN1" s="183"/>
      <c r="BO1" s="184"/>
    </row>
    <row r="2" s="174" customFormat="1" ht="28" spans="1:67">
      <c r="A2" s="177"/>
      <c r="B2" s="185">
        <v>5</v>
      </c>
      <c r="C2" s="185">
        <v>6</v>
      </c>
      <c r="D2" s="185">
        <v>9</v>
      </c>
      <c r="E2" s="185">
        <v>10</v>
      </c>
      <c r="F2" s="185">
        <v>11</v>
      </c>
      <c r="G2" s="185">
        <v>12</v>
      </c>
      <c r="H2" s="185">
        <v>15</v>
      </c>
      <c r="I2" s="185">
        <v>16</v>
      </c>
      <c r="J2" s="185">
        <v>17</v>
      </c>
      <c r="K2" s="185">
        <v>18</v>
      </c>
      <c r="L2" s="185">
        <v>19</v>
      </c>
      <c r="M2" s="185">
        <v>22</v>
      </c>
      <c r="N2" s="185">
        <v>23</v>
      </c>
      <c r="O2" s="185">
        <v>25</v>
      </c>
      <c r="P2" s="185">
        <v>26</v>
      </c>
      <c r="Q2" s="185">
        <v>29</v>
      </c>
      <c r="R2" s="185">
        <v>30</v>
      </c>
      <c r="S2" s="185">
        <v>31</v>
      </c>
      <c r="T2" s="185">
        <v>4</v>
      </c>
      <c r="U2" s="185">
        <v>5</v>
      </c>
      <c r="V2" s="185">
        <v>6</v>
      </c>
      <c r="W2" s="185">
        <v>7</v>
      </c>
      <c r="X2" s="185">
        <v>8</v>
      </c>
      <c r="Y2" s="185">
        <v>11</v>
      </c>
      <c r="Z2" s="185">
        <v>12</v>
      </c>
      <c r="AA2" s="185">
        <v>13</v>
      </c>
      <c r="AB2" s="185">
        <v>14</v>
      </c>
      <c r="AC2" s="185">
        <v>15</v>
      </c>
      <c r="AD2" s="185">
        <v>16</v>
      </c>
      <c r="AE2" s="185">
        <v>19</v>
      </c>
      <c r="AF2" s="185">
        <v>20</v>
      </c>
      <c r="AG2" s="185">
        <v>21</v>
      </c>
      <c r="AH2" s="185">
        <v>22</v>
      </c>
      <c r="AI2" s="185">
        <v>23</v>
      </c>
      <c r="AJ2" s="185">
        <v>26</v>
      </c>
      <c r="AK2" s="185">
        <v>27</v>
      </c>
      <c r="AL2" s="185">
        <v>28</v>
      </c>
      <c r="AM2" s="185">
        <v>2</v>
      </c>
      <c r="AN2" s="185">
        <v>3</v>
      </c>
      <c r="AO2" s="185">
        <v>4</v>
      </c>
      <c r="AP2" s="185">
        <v>5</v>
      </c>
      <c r="AQ2" s="185">
        <v>6</v>
      </c>
      <c r="AR2" s="185">
        <v>9</v>
      </c>
      <c r="AS2" s="185">
        <v>10</v>
      </c>
      <c r="AT2" s="185">
        <v>11</v>
      </c>
      <c r="AU2" s="185">
        <v>12</v>
      </c>
      <c r="AV2" s="185">
        <v>13</v>
      </c>
      <c r="AW2" s="185">
        <v>16</v>
      </c>
      <c r="AX2" s="185">
        <v>17</v>
      </c>
      <c r="AY2" s="185">
        <v>18</v>
      </c>
      <c r="AZ2" s="185">
        <v>19</v>
      </c>
      <c r="BA2" s="185">
        <v>20</v>
      </c>
      <c r="BB2" s="185">
        <v>23</v>
      </c>
      <c r="BC2" s="185">
        <v>24</v>
      </c>
      <c r="BD2" s="185">
        <v>25</v>
      </c>
      <c r="BE2" s="185">
        <v>26</v>
      </c>
      <c r="BF2" s="185">
        <v>27</v>
      </c>
      <c r="BG2" s="185">
        <v>30</v>
      </c>
      <c r="BH2" s="185">
        <v>31</v>
      </c>
      <c r="BI2" s="186" t="s">
        <v>348</v>
      </c>
      <c r="BJ2" s="186" t="s">
        <v>349</v>
      </c>
      <c r="BK2" s="186" t="s">
        <v>350</v>
      </c>
      <c r="BL2" s="186" t="s">
        <v>351</v>
      </c>
      <c r="BM2" s="187" t="s">
        <v>352</v>
      </c>
      <c r="BN2" s="187" t="s">
        <v>353</v>
      </c>
      <c r="BO2" s="187" t="s">
        <v>354</v>
      </c>
    </row>
    <row r="3" customHeight="1" spans="1:67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>
        <v>2</v>
      </c>
      <c r="BB3" s="120"/>
      <c r="BC3" s="120"/>
      <c r="BD3" s="120"/>
      <c r="BE3" s="120"/>
      <c r="BF3" s="120"/>
      <c r="BG3" s="120"/>
      <c r="BH3" s="120"/>
      <c r="BI3" s="188">
        <f>SUM(B3:BH3)</f>
        <v>3</v>
      </c>
      <c r="BJ3" s="188" cm="1">
        <f t="array" ref="BJ3">SUMPRODUCT(--(B3:BH3=INT(B3:BH3)),--(B3:BH3&gt;0))</f>
        <v>2</v>
      </c>
      <c r="BK3" s="188" cm="1">
        <f t="array" ref="BK3">MAX(FREQUENCY(IF((B3:BH3=INT(B3:BH3))*(B3:BH3&gt;0),COLUMN(B3:BH3)),IF((B3:BH3&lt;&gt;INT(B3:BH3))+(B3:BH3&lt;=0),COLUMN(B3:BH3))))</f>
        <v>1</v>
      </c>
      <c r="BL3" s="189" cm="1">
        <f t="array" ref="BL3">SUMPRODUCT(--(B3:BA3=INT(B3:BA3)),--(B3:BA3&gt;0))/52*100%</f>
        <v>0.0384615384615385</v>
      </c>
      <c r="BM3" s="190">
        <f t="shared" ref="BM3:BM53" si="0">RANK(BI3,BI$3:BI$53,0)</f>
        <v>33</v>
      </c>
      <c r="BN3" s="190">
        <f t="shared" ref="BN3:BN53" si="1">RANK(BJ3,BJ$3:BJ$53,0)</f>
        <v>34</v>
      </c>
      <c r="BO3" s="190">
        <f t="shared" ref="BO3:BO53" si="2">RANK(BK3,BK$3:BK$53,0)</f>
        <v>27</v>
      </c>
    </row>
    <row r="4" customHeight="1" spans="1:67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>
        <v>1</v>
      </c>
      <c r="AU4" s="120">
        <v>2</v>
      </c>
      <c r="AV4" s="120">
        <v>1</v>
      </c>
      <c r="AW4" s="120">
        <v>1</v>
      </c>
      <c r="AX4" s="120"/>
      <c r="AY4" s="120">
        <v>1</v>
      </c>
      <c r="AZ4" s="120">
        <v>1</v>
      </c>
      <c r="BA4" s="120">
        <v>1</v>
      </c>
      <c r="BB4" s="120">
        <v>1</v>
      </c>
      <c r="BC4" s="120"/>
      <c r="BD4" s="120">
        <v>1</v>
      </c>
      <c r="BE4" s="120"/>
      <c r="BF4" s="120">
        <v>1</v>
      </c>
      <c r="BG4" s="120"/>
      <c r="BH4" s="120"/>
      <c r="BI4" s="188">
        <f t="shared" ref="BI4:BI35" si="3">SUM(B4:BH4)</f>
        <v>26</v>
      </c>
      <c r="BJ4" s="188" cm="1">
        <f t="array" ref="BJ4">SUMPRODUCT(--(B4:BH4=INT(B4:BH4)),--(B4:BH4&gt;0))</f>
        <v>24</v>
      </c>
      <c r="BK4" s="188" cm="1">
        <f t="array" ref="BK4">MAX(FREQUENCY(IF((B4:BH4=INT(B4:BH4))*(B4:BH4&gt;0),COLUMN(B4:BH4)),IF((B4:BH4&lt;&gt;INT(B4:BH4))+(B4:BH4&lt;=0),COLUMN(B4:BH4))))</f>
        <v>6</v>
      </c>
      <c r="BL4" s="189" cm="1">
        <f t="array" ref="BL4">SUMPRODUCT(--(B4:BA4=INT(B4:BA4)),--(B4:BA4&gt;0))/52*100%</f>
        <v>0.403846153846154</v>
      </c>
      <c r="BM4" s="190">
        <f t="shared" si="0"/>
        <v>8</v>
      </c>
      <c r="BN4" s="190">
        <f t="shared" si="1"/>
        <v>5</v>
      </c>
      <c r="BO4" s="190">
        <f t="shared" si="2"/>
        <v>3</v>
      </c>
    </row>
    <row r="5" customHeight="1" spans="1:67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>
        <v>1</v>
      </c>
      <c r="BE5" s="120">
        <v>1</v>
      </c>
      <c r="BF5" s="120">
        <v>1</v>
      </c>
      <c r="BG5" s="120"/>
      <c r="BH5" s="120"/>
      <c r="BI5" s="188">
        <f t="shared" si="3"/>
        <v>5</v>
      </c>
      <c r="BJ5" s="188" cm="1">
        <f t="array" ref="BJ5">SUMPRODUCT(--(B5:BH5=INT(B5:BH5)),--(B5:BH5&gt;0))</f>
        <v>5</v>
      </c>
      <c r="BK5" s="188" cm="1">
        <f t="array" ref="BK5">MAX(FREQUENCY(IF((B5:BH5=INT(B5:BH5))*(B5:BH5&gt;0),COLUMN(B5:BH5)),IF((B5:BH5&lt;&gt;INT(B5:BH5))+(B5:BH5&lt;=0),COLUMN(B5:BH5))))</f>
        <v>3</v>
      </c>
      <c r="BL5" s="189" cm="1">
        <f t="array" ref="BL5">SUMPRODUCT(--(B5:BA5=INT(B5:BA5)),--(B5:BA5&gt;0))/52*100%</f>
        <v>0.0384615384615385</v>
      </c>
      <c r="BM5" s="190">
        <f t="shared" si="0"/>
        <v>27</v>
      </c>
      <c r="BN5" s="190">
        <f t="shared" si="1"/>
        <v>25</v>
      </c>
      <c r="BO5" s="190">
        <f t="shared" si="2"/>
        <v>15</v>
      </c>
    </row>
    <row r="6" customHeight="1" spans="1:67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>
        <v>1</v>
      </c>
      <c r="AU6" s="120"/>
      <c r="AV6" s="120"/>
      <c r="AW6" s="120"/>
      <c r="AX6" s="120"/>
      <c r="AY6" s="120">
        <v>1</v>
      </c>
      <c r="AZ6" s="120"/>
      <c r="BA6" s="120">
        <v>1</v>
      </c>
      <c r="BB6" s="120"/>
      <c r="BC6" s="120"/>
      <c r="BD6" s="120"/>
      <c r="BE6" s="120"/>
      <c r="BF6" s="120"/>
      <c r="BG6" s="120"/>
      <c r="BH6" s="120"/>
      <c r="BI6" s="188">
        <f t="shared" si="3"/>
        <v>9</v>
      </c>
      <c r="BJ6" s="188" cm="1">
        <f t="array" ref="BJ6">SUMPRODUCT(--(B6:BH6=INT(B6:BH6)),--(B6:BH6&gt;0))</f>
        <v>9</v>
      </c>
      <c r="BK6" s="188" cm="1">
        <f t="array" ref="BK6">MAX(FREQUENCY(IF((B6:BH6=INT(B6:BH6))*(B6:BH6&gt;0),COLUMN(B6:BH6)),IF((B6:BH6&lt;&gt;INT(B6:BH6))+(B6:BH6&lt;=0),COLUMN(B6:BH6))))</f>
        <v>3</v>
      </c>
      <c r="BL6" s="189" cm="1">
        <f t="array" ref="BL6">SUMPRODUCT(--(B6:BA6=INT(B6:BA6)),--(B6:BA6&gt;0))/52*100%</f>
        <v>0.173076923076923</v>
      </c>
      <c r="BM6" s="190">
        <f t="shared" si="0"/>
        <v>22</v>
      </c>
      <c r="BN6" s="190">
        <f t="shared" si="1"/>
        <v>20</v>
      </c>
      <c r="BO6" s="190">
        <f t="shared" si="2"/>
        <v>15</v>
      </c>
    </row>
    <row r="7" customHeight="1" spans="1:67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>
        <v>1</v>
      </c>
      <c r="AZ7" s="120"/>
      <c r="BA7" s="120"/>
      <c r="BB7" s="120">
        <v>1</v>
      </c>
      <c r="BC7" s="120">
        <v>1</v>
      </c>
      <c r="BD7" s="120">
        <v>1</v>
      </c>
      <c r="BE7" s="120">
        <v>1</v>
      </c>
      <c r="BF7" s="120"/>
      <c r="BG7" s="120"/>
      <c r="BH7" s="120"/>
      <c r="BI7" s="188">
        <f t="shared" si="3"/>
        <v>9</v>
      </c>
      <c r="BJ7" s="188" cm="1">
        <f t="array" ref="BJ7">SUMPRODUCT(--(B7:BH7=INT(B7:BH7)),--(B7:BH7&gt;0))</f>
        <v>8</v>
      </c>
      <c r="BK7" s="188" cm="1">
        <f t="array" ref="BK7">MAX(FREQUENCY(IF((B7:BH7=INT(B7:BH7))*(B7:BH7&gt;0),COLUMN(B7:BH7)),IF((B7:BH7&lt;&gt;INT(B7:BH7))+(B7:BH7&lt;=0),COLUMN(B7:BH7))))</f>
        <v>4</v>
      </c>
      <c r="BL7" s="189" cm="1">
        <f t="array" ref="BL7">SUMPRODUCT(--(B7:BA7=INT(B7:BA7)),--(B7:BA7&gt;0))/52*100%</f>
        <v>0.0769230769230769</v>
      </c>
      <c r="BM7" s="190">
        <f t="shared" si="0"/>
        <v>22</v>
      </c>
      <c r="BN7" s="190">
        <f t="shared" si="1"/>
        <v>23</v>
      </c>
      <c r="BO7" s="190">
        <f t="shared" si="2"/>
        <v>10</v>
      </c>
    </row>
    <row r="8" customHeight="1" spans="1:67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>
        <v>1</v>
      </c>
      <c r="AU8" s="120">
        <v>1</v>
      </c>
      <c r="AV8" s="120">
        <v>1</v>
      </c>
      <c r="AW8" s="120"/>
      <c r="AX8" s="120"/>
      <c r="AY8" s="120">
        <v>1</v>
      </c>
      <c r="AZ8" s="120">
        <v>1</v>
      </c>
      <c r="BA8" s="120"/>
      <c r="BB8" s="120"/>
      <c r="BC8" s="120"/>
      <c r="BD8" s="120"/>
      <c r="BE8" s="120">
        <v>1</v>
      </c>
      <c r="BF8" s="120"/>
      <c r="BG8" s="120"/>
      <c r="BH8" s="120"/>
      <c r="BI8" s="188">
        <f t="shared" si="3"/>
        <v>28</v>
      </c>
      <c r="BJ8" s="188" cm="1">
        <f t="array" ref="BJ8">SUMPRODUCT(--(B8:BH8=INT(B8:BH8)),--(B8:BH8&gt;0))</f>
        <v>28</v>
      </c>
      <c r="BK8" s="188" cm="1">
        <f t="array" ref="BK8">MAX(FREQUENCY(IF((B8:BH8=INT(B8:BH8))*(B8:BH8&gt;0),COLUMN(B8:BH8)),IF((B8:BH8&lt;&gt;INT(B8:BH8))+(B8:BH8&lt;=0),COLUMN(B8:BH8))))</f>
        <v>5</v>
      </c>
      <c r="BL8" s="189" cm="1">
        <f t="array" ref="BL8">SUMPRODUCT(--(B8:BA8=INT(B8:BA8)),--(B8:BA8&gt;0))/52*100%</f>
        <v>0.519230769230769</v>
      </c>
      <c r="BM8" s="190">
        <f t="shared" si="0"/>
        <v>5</v>
      </c>
      <c r="BN8" s="190">
        <f t="shared" si="1"/>
        <v>3</v>
      </c>
      <c r="BO8" s="190">
        <f t="shared" si="2"/>
        <v>5</v>
      </c>
    </row>
    <row r="9" customHeight="1" spans="1:67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>
        <v>1</v>
      </c>
      <c r="AV9" s="120">
        <v>1</v>
      </c>
      <c r="AW9" s="120">
        <v>1</v>
      </c>
      <c r="AX9" s="120"/>
      <c r="AY9" s="120"/>
      <c r="AZ9" s="120">
        <v>1</v>
      </c>
      <c r="BA9" s="120">
        <v>1</v>
      </c>
      <c r="BB9" s="120"/>
      <c r="BC9" s="120">
        <v>2</v>
      </c>
      <c r="BD9" s="120">
        <v>1</v>
      </c>
      <c r="BE9" s="120">
        <v>1</v>
      </c>
      <c r="BF9" s="120">
        <v>1</v>
      </c>
      <c r="BG9" s="120"/>
      <c r="BH9" s="120"/>
      <c r="BI9" s="188">
        <f t="shared" si="3"/>
        <v>25</v>
      </c>
      <c r="BJ9" s="188" cm="1">
        <f t="array" ref="BJ9">SUMPRODUCT(--(B9:BH9=INT(B9:BH9)),--(B9:BH9&gt;0))</f>
        <v>24</v>
      </c>
      <c r="BK9" s="188" cm="1">
        <f t="array" ref="BK9">MAX(FREQUENCY(IF((B9:BH9=INT(B9:BH9))*(B9:BH9&gt;0),COLUMN(B9:BH9)),IF((B9:BH9&lt;&gt;INT(B9:BH9))+(B9:BH9&lt;=0),COLUMN(B9:BH9))))</f>
        <v>4</v>
      </c>
      <c r="BL9" s="189" cm="1">
        <f t="array" ref="BL9">SUMPRODUCT(--(B9:BA9=INT(B9:BA9)),--(B9:BA9&gt;0))/52*100%</f>
        <v>0.384615384615385</v>
      </c>
      <c r="BM9" s="190">
        <f t="shared" si="0"/>
        <v>10</v>
      </c>
      <c r="BN9" s="190">
        <f t="shared" si="1"/>
        <v>5</v>
      </c>
      <c r="BO9" s="190">
        <f t="shared" si="2"/>
        <v>10</v>
      </c>
    </row>
    <row r="10" customHeight="1" spans="1:67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>
        <v>1</v>
      </c>
      <c r="BF10" s="120">
        <v>1</v>
      </c>
      <c r="BG10" s="120"/>
      <c r="BH10" s="120"/>
      <c r="BI10" s="188">
        <f t="shared" si="3"/>
        <v>3</v>
      </c>
      <c r="BJ10" s="188" cm="1">
        <f t="array" ref="BJ10">SUMPRODUCT(--(B10:BH10=INT(B10:BH10)),--(B10:BH10&gt;0))</f>
        <v>3</v>
      </c>
      <c r="BK10" s="188" cm="1">
        <f t="array" ref="BK10">MAX(FREQUENCY(IF((B10:BH10=INT(B10:BH10))*(B10:BH10&gt;0),COLUMN(B10:BH10)),IF((B10:BH10&lt;&gt;INT(B10:BH10))+(B10:BH10&lt;=0),COLUMN(B10:BH10))))</f>
        <v>2</v>
      </c>
      <c r="BL10" s="189" cm="1">
        <f t="array" ref="BL10">SUMPRODUCT(--(B10:BA10=INT(B10:BA10)),--(B10:BA10&gt;0))/52*100%</f>
        <v>0.0192307692307692</v>
      </c>
      <c r="BM10" s="190">
        <f t="shared" si="0"/>
        <v>33</v>
      </c>
      <c r="BN10" s="190">
        <f t="shared" si="1"/>
        <v>33</v>
      </c>
      <c r="BO10" s="190">
        <f t="shared" si="2"/>
        <v>20</v>
      </c>
    </row>
    <row r="11" customHeight="1" spans="1:67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>
        <v>1</v>
      </c>
      <c r="AU11" s="120"/>
      <c r="AV11" s="120"/>
      <c r="AW11" s="120"/>
      <c r="AX11" s="120"/>
      <c r="AY11" s="120"/>
      <c r="AZ11" s="120">
        <v>1</v>
      </c>
      <c r="BA11" s="120">
        <v>2</v>
      </c>
      <c r="BB11" s="120"/>
      <c r="BC11" s="120">
        <v>2</v>
      </c>
      <c r="BD11" s="120"/>
      <c r="BE11" s="120">
        <v>2</v>
      </c>
      <c r="BF11" s="120"/>
      <c r="BG11" s="120"/>
      <c r="BH11" s="120"/>
      <c r="BI11" s="188">
        <f t="shared" si="3"/>
        <v>17</v>
      </c>
      <c r="BJ11" s="188" cm="1">
        <f t="array" ref="BJ11">SUMPRODUCT(--(B11:BH11=INT(B11:BH11)),--(B11:BH11&gt;0))</f>
        <v>14</v>
      </c>
      <c r="BK11" s="188" cm="1">
        <f t="array" ref="BK11">MAX(FREQUENCY(IF((B11:BH11=INT(B11:BH11))*(B11:BH11&gt;0),COLUMN(B11:BH11)),IF((B11:BH11&lt;&gt;INT(B11:BH11))+(B11:BH11&lt;=0),COLUMN(B11:BH11))))</f>
        <v>2</v>
      </c>
      <c r="BL11" s="189" cm="1">
        <f t="array" ref="BL11">SUMPRODUCT(--(B11:BA11=INT(B11:BA11)),--(B11:BA11&gt;0))/52*100%</f>
        <v>0.230769230769231</v>
      </c>
      <c r="BM11" s="190">
        <f t="shared" si="0"/>
        <v>14</v>
      </c>
      <c r="BN11" s="190">
        <f t="shared" si="1"/>
        <v>16</v>
      </c>
      <c r="BO11" s="190">
        <f t="shared" si="2"/>
        <v>20</v>
      </c>
    </row>
    <row r="12" customHeight="1" spans="1:67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120"/>
      <c r="BG12" s="120"/>
      <c r="BH12" s="120"/>
      <c r="BI12" s="188">
        <f t="shared" si="3"/>
        <v>2</v>
      </c>
      <c r="BJ12" s="188" cm="1">
        <f t="array" ref="BJ12">SUMPRODUCT(--(B12:BH12=INT(B12:BH12)),--(B12:BH12&gt;0))</f>
        <v>2</v>
      </c>
      <c r="BK12" s="188" cm="1">
        <f t="array" ref="BK12">MAX(FREQUENCY(IF((B12:BH12=INT(B12:BH12))*(B12:BH12&gt;0),COLUMN(B12:BH12)),IF((B12:BH12&lt;&gt;INT(B12:BH12))+(B12:BH12&lt;=0),COLUMN(B12:BH12))))</f>
        <v>1</v>
      </c>
      <c r="BL12" s="189" cm="1">
        <f t="array" ref="BL12">SUMPRODUCT(--(B12:BA12=INT(B12:BA12)),--(B12:BA12&gt;0))/52*100%</f>
        <v>0.0384615384615385</v>
      </c>
      <c r="BM12" s="190">
        <f t="shared" si="0"/>
        <v>35</v>
      </c>
      <c r="BN12" s="190">
        <f t="shared" si="1"/>
        <v>34</v>
      </c>
      <c r="BO12" s="190">
        <f t="shared" si="2"/>
        <v>27</v>
      </c>
    </row>
    <row r="13" customHeight="1" spans="1:67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>
        <v>1</v>
      </c>
      <c r="AZ13" s="120"/>
      <c r="BA13" s="120">
        <v>1</v>
      </c>
      <c r="BB13" s="120"/>
      <c r="BC13" s="120">
        <v>2</v>
      </c>
      <c r="BD13" s="120">
        <v>1</v>
      </c>
      <c r="BE13" s="120"/>
      <c r="BF13" s="120"/>
      <c r="BG13" s="120"/>
      <c r="BH13" s="120"/>
      <c r="BI13" s="188">
        <f t="shared" si="3"/>
        <v>16</v>
      </c>
      <c r="BJ13" s="188" cm="1">
        <f t="array" ref="BJ13">SUMPRODUCT(--(B13:BH13=INT(B13:BH13)),--(B13:BH13&gt;0))</f>
        <v>15</v>
      </c>
      <c r="BK13" s="188" cm="1">
        <f t="array" ref="BK13">MAX(FREQUENCY(IF((B13:BH13=INT(B13:BH13))*(B13:BH13&gt;0),COLUMN(B13:BH13)),IF((B13:BH13&lt;&gt;INT(B13:BH13))+(B13:BH13&lt;=0),COLUMN(B13:BH13))))</f>
        <v>2</v>
      </c>
      <c r="BL13" s="189" cm="1">
        <f t="array" ref="BL13">SUMPRODUCT(--(B13:BA13=INT(B13:BA13)),--(B13:BA13&gt;0))/52*100%</f>
        <v>0.25</v>
      </c>
      <c r="BM13" s="190">
        <f t="shared" si="0"/>
        <v>15</v>
      </c>
      <c r="BN13" s="190">
        <f t="shared" si="1"/>
        <v>14</v>
      </c>
      <c r="BO13" s="190">
        <f t="shared" si="2"/>
        <v>20</v>
      </c>
    </row>
    <row r="14" customHeight="1" spans="1:67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>
        <v>1</v>
      </c>
      <c r="AU14" s="120"/>
      <c r="AV14" s="120"/>
      <c r="AW14" s="120"/>
      <c r="AX14" s="120"/>
      <c r="AY14" s="120">
        <v>1</v>
      </c>
      <c r="AZ14" s="120"/>
      <c r="BA14" s="120"/>
      <c r="BB14" s="120"/>
      <c r="BC14" s="120"/>
      <c r="BD14" s="120"/>
      <c r="BE14" s="120"/>
      <c r="BF14" s="120"/>
      <c r="BG14" s="120"/>
      <c r="BH14" s="120"/>
      <c r="BI14" s="188">
        <f t="shared" si="3"/>
        <v>5</v>
      </c>
      <c r="BJ14" s="188" cm="1">
        <f t="array" ref="BJ14">SUMPRODUCT(--(B14:BH14=INT(B14:BH14)),--(B14:BH14&gt;0))</f>
        <v>5</v>
      </c>
      <c r="BK14" s="188" cm="1">
        <f t="array" ref="BK14">MAX(FREQUENCY(IF((B14:BH14=INT(B14:BH14))*(B14:BH14&gt;0),COLUMN(B14:BH14)),IF((B14:BH14&lt;&gt;INT(B14:BH14))+(B14:BH14&lt;=0),COLUMN(B14:BH14))))</f>
        <v>1</v>
      </c>
      <c r="BL14" s="189" cm="1">
        <f t="array" ref="BL14">SUMPRODUCT(--(B14:BA14=INT(B14:BA14)),--(B14:BA14&gt;0))/52*100%</f>
        <v>0.0961538461538462</v>
      </c>
      <c r="BM14" s="190">
        <f t="shared" si="0"/>
        <v>27</v>
      </c>
      <c r="BN14" s="190">
        <f t="shared" si="1"/>
        <v>25</v>
      </c>
      <c r="BO14" s="190">
        <f t="shared" si="2"/>
        <v>27</v>
      </c>
    </row>
    <row r="15" customHeight="1" spans="1:67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>
        <v>1</v>
      </c>
      <c r="AV15" s="120"/>
      <c r="AW15" s="120"/>
      <c r="AX15" s="120">
        <v>2</v>
      </c>
      <c r="AY15" s="120">
        <v>1</v>
      </c>
      <c r="AZ15" s="120">
        <v>1</v>
      </c>
      <c r="BA15" s="120">
        <v>1</v>
      </c>
      <c r="BB15" s="120"/>
      <c r="BC15" s="120">
        <v>2</v>
      </c>
      <c r="BD15" s="120"/>
      <c r="BE15" s="120">
        <v>1</v>
      </c>
      <c r="BF15" s="120">
        <v>1</v>
      </c>
      <c r="BG15" s="120"/>
      <c r="BH15" s="120"/>
      <c r="BI15" s="188">
        <f t="shared" si="3"/>
        <v>27</v>
      </c>
      <c r="BJ15" s="188" cm="1">
        <f t="array" ref="BJ15">SUMPRODUCT(--(B15:BH15=INT(B15:BH15)),--(B15:BH15&gt;0))</f>
        <v>23</v>
      </c>
      <c r="BK15" s="188" cm="1">
        <f t="array" ref="BK15">MAX(FREQUENCY(IF((B15:BH15=INT(B15:BH15))*(B15:BH15&gt;0),COLUMN(B15:BH15)),IF((B15:BH15&lt;&gt;INT(B15:BH15))+(B15:BH15&lt;=0),COLUMN(B15:BH15))))</f>
        <v>4</v>
      </c>
      <c r="BL15" s="189" cm="1">
        <f t="array" ref="BL15">SUMPRODUCT(--(B15:BA15=INT(B15:BA15)),--(B15:BA15&gt;0))/52*100%</f>
        <v>0.384615384615385</v>
      </c>
      <c r="BM15" s="190">
        <f t="shared" si="0"/>
        <v>7</v>
      </c>
      <c r="BN15" s="190">
        <f t="shared" si="1"/>
        <v>8</v>
      </c>
      <c r="BO15" s="190">
        <f t="shared" si="2"/>
        <v>10</v>
      </c>
    </row>
    <row r="16" customHeight="1" spans="1:67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>
        <v>1</v>
      </c>
      <c r="BB16" s="120"/>
      <c r="BC16" s="120"/>
      <c r="BD16" s="120"/>
      <c r="BE16" s="120"/>
      <c r="BF16" s="120">
        <v>1</v>
      </c>
      <c r="BG16" s="120"/>
      <c r="BH16" s="120"/>
      <c r="BI16" s="188">
        <f t="shared" si="3"/>
        <v>4</v>
      </c>
      <c r="BJ16" s="188" cm="1">
        <f t="array" ref="BJ16">SUMPRODUCT(--(B16:BH16=INT(B16:BH16)),--(B16:BH16&gt;0))</f>
        <v>4</v>
      </c>
      <c r="BK16" s="188" cm="1">
        <f t="array" ref="BK16">MAX(FREQUENCY(IF((B16:BH16=INT(B16:BH16))*(B16:BH16&gt;0),COLUMN(B16:BH16)),IF((B16:BH16&lt;&gt;INT(B16:BH16))+(B16:BH16&lt;=0),COLUMN(B16:BH16))))</f>
        <v>1</v>
      </c>
      <c r="BL16" s="189" cm="1">
        <f t="array" ref="BL16">SUMPRODUCT(--(B16:BA16=INT(B16:BA16)),--(B16:BA16&gt;0))/52*100%</f>
        <v>0.0576923076923077</v>
      </c>
      <c r="BM16" s="190">
        <f t="shared" si="0"/>
        <v>31</v>
      </c>
      <c r="BN16" s="190">
        <f t="shared" si="1"/>
        <v>31</v>
      </c>
      <c r="BO16" s="190">
        <f t="shared" si="2"/>
        <v>27</v>
      </c>
    </row>
    <row r="17" customHeight="1" spans="1:67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>
        <v>1</v>
      </c>
      <c r="BF17" s="120"/>
      <c r="BG17" s="120"/>
      <c r="BH17" s="120"/>
      <c r="BI17" s="188">
        <f t="shared" si="3"/>
        <v>5</v>
      </c>
      <c r="BJ17" s="188" cm="1">
        <f t="array" ref="BJ17">SUMPRODUCT(--(B17:BH17=INT(B17:BH17)),--(B17:BH17&gt;0))</f>
        <v>5</v>
      </c>
      <c r="BK17" s="188" cm="1">
        <f t="array" ref="BK17">MAX(FREQUENCY(IF((B17:BH17=INT(B17:BH17))*(B17:BH17&gt;0),COLUMN(B17:BH17)),IF((B17:BH17&lt;&gt;INT(B17:BH17))+(B17:BH17&lt;=0),COLUMN(B17:BH17))))</f>
        <v>1</v>
      </c>
      <c r="BL17" s="189" cm="1">
        <f t="array" ref="BL17">SUMPRODUCT(--(B17:BA17=INT(B17:BA17)),--(B17:BA17&gt;0))/52*100%</f>
        <v>0.0769230769230769</v>
      </c>
      <c r="BM17" s="190">
        <f t="shared" si="0"/>
        <v>27</v>
      </c>
      <c r="BN17" s="190">
        <f t="shared" si="1"/>
        <v>25</v>
      </c>
      <c r="BO17" s="190">
        <f t="shared" si="2"/>
        <v>27</v>
      </c>
    </row>
    <row r="18" customHeight="1" spans="1:67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20"/>
      <c r="BE18" s="120"/>
      <c r="BF18" s="120"/>
      <c r="BG18" s="120"/>
      <c r="BH18" s="120"/>
      <c r="BI18" s="188">
        <f t="shared" si="3"/>
        <v>1</v>
      </c>
      <c r="BJ18" s="188" cm="1">
        <f t="array" ref="BJ18">SUMPRODUCT(--(B18:BH18=INT(B18:BH18)),--(B18:BH18&gt;0))</f>
        <v>1</v>
      </c>
      <c r="BK18" s="188" cm="1">
        <f t="array" ref="BK18">MAX(FREQUENCY(IF((B18:BH18=INT(B18:BH18))*(B18:BH18&gt;0),COLUMN(B18:BH18)),IF((B18:BH18&lt;&gt;INT(B18:BH18))+(B18:BH18&lt;=0),COLUMN(B18:BH18))))</f>
        <v>1</v>
      </c>
      <c r="BL18" s="189" cm="1">
        <f t="array" ref="BL18">SUMPRODUCT(--(B18:BA18=INT(B18:BA18)),--(B18:BA18&gt;0))/52*100%</f>
        <v>0.0192307692307692</v>
      </c>
      <c r="BM18" s="190">
        <f t="shared" si="0"/>
        <v>38</v>
      </c>
      <c r="BN18" s="190">
        <f t="shared" si="1"/>
        <v>38</v>
      </c>
      <c r="BO18" s="190">
        <f t="shared" si="2"/>
        <v>27</v>
      </c>
    </row>
    <row r="19" customHeight="1" spans="1:67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>
        <v>2</v>
      </c>
      <c r="AV19" s="120">
        <v>1</v>
      </c>
      <c r="AW19" s="120"/>
      <c r="AX19" s="120"/>
      <c r="AY19" s="120">
        <v>1</v>
      </c>
      <c r="AZ19" s="120"/>
      <c r="BA19" s="120"/>
      <c r="BB19" s="120"/>
      <c r="BC19" s="120"/>
      <c r="BD19" s="120"/>
      <c r="BE19" s="120">
        <v>1</v>
      </c>
      <c r="BF19" s="120"/>
      <c r="BG19" s="120"/>
      <c r="BH19" s="120"/>
      <c r="BI19" s="188">
        <f t="shared" si="3"/>
        <v>10</v>
      </c>
      <c r="BJ19" s="188" cm="1">
        <f t="array" ref="BJ19">SUMPRODUCT(--(B19:BH19=INT(B19:BH19)),--(B19:BH19&gt;0))</f>
        <v>9</v>
      </c>
      <c r="BK19" s="188" cm="1">
        <f t="array" ref="BK19">MAX(FREQUENCY(IF((B19:BH19=INT(B19:BH19))*(B19:BH19&gt;0),COLUMN(B19:BH19)),IF((B19:BH19&lt;&gt;INT(B19:BH19))+(B19:BH19&lt;=0),COLUMN(B19:BH19))))</f>
        <v>2</v>
      </c>
      <c r="BL19" s="189" cm="1">
        <f t="array" ref="BL19">SUMPRODUCT(--(B19:BA19=INT(B19:BA19)),--(B19:BA19&gt;0))/52*100%</f>
        <v>0.153846153846154</v>
      </c>
      <c r="BM19" s="190">
        <f t="shared" si="0"/>
        <v>20</v>
      </c>
      <c r="BN19" s="190">
        <f t="shared" si="1"/>
        <v>20</v>
      </c>
      <c r="BO19" s="190">
        <f t="shared" si="2"/>
        <v>20</v>
      </c>
    </row>
    <row r="20" customHeight="1" spans="1:67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120"/>
      <c r="BG20" s="120"/>
      <c r="BH20" s="120"/>
      <c r="BI20" s="188">
        <f t="shared" si="3"/>
        <v>1</v>
      </c>
      <c r="BJ20" s="188" cm="1">
        <f t="array" ref="BJ20">SUMPRODUCT(--(B20:BH20=INT(B20:BH20)),--(B20:BH20&gt;0))</f>
        <v>1</v>
      </c>
      <c r="BK20" s="188" cm="1">
        <f t="array" ref="BK20">MAX(FREQUENCY(IF((B20:BH20=INT(B20:BH20))*(B20:BH20&gt;0),COLUMN(B20:BH20)),IF((B20:BH20&lt;&gt;INT(B20:BH20))+(B20:BH20&lt;=0),COLUMN(B20:BH20))))</f>
        <v>1</v>
      </c>
      <c r="BL20" s="189" cm="1">
        <f t="array" ref="BL20">SUMPRODUCT(--(B20:BA20=INT(B20:BA20)),--(B20:BA20&gt;0))/52*100%</f>
        <v>0.0192307692307692</v>
      </c>
      <c r="BM20" s="190">
        <f t="shared" si="0"/>
        <v>38</v>
      </c>
      <c r="BN20" s="190">
        <f t="shared" si="1"/>
        <v>38</v>
      </c>
      <c r="BO20" s="190">
        <f t="shared" si="2"/>
        <v>27</v>
      </c>
    </row>
    <row r="21" customHeight="1" spans="1:67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>
        <v>2</v>
      </c>
      <c r="AV21" s="120"/>
      <c r="AW21" s="120"/>
      <c r="AX21" s="120"/>
      <c r="AY21" s="120"/>
      <c r="AZ21" s="120"/>
      <c r="BA21" s="120"/>
      <c r="BB21" s="120">
        <v>1</v>
      </c>
      <c r="BC21" s="120"/>
      <c r="BD21" s="120"/>
      <c r="BE21" s="120"/>
      <c r="BF21" s="120"/>
      <c r="BG21" s="120"/>
      <c r="BH21" s="120"/>
      <c r="BI21" s="188">
        <f t="shared" si="3"/>
        <v>6</v>
      </c>
      <c r="BJ21" s="188" cm="1">
        <f t="array" ref="BJ21">SUMPRODUCT(--(B21:BH21=INT(B21:BH21)),--(B21:BH21&gt;0))</f>
        <v>5</v>
      </c>
      <c r="BK21" s="188" cm="1">
        <f t="array" ref="BK21">MAX(FREQUENCY(IF((B21:BH21=INT(B21:BH21))*(B21:BH21&gt;0),COLUMN(B21:BH21)),IF((B21:BH21&lt;&gt;INT(B21:BH21))+(B21:BH21&lt;=0),COLUMN(B21:BH21))))</f>
        <v>1</v>
      </c>
      <c r="BL21" s="189" cm="1">
        <f t="array" ref="BL21">SUMPRODUCT(--(B21:BA21=INT(B21:BA21)),--(B21:BA21&gt;0))/52*100%</f>
        <v>0.0769230769230769</v>
      </c>
      <c r="BM21" s="190">
        <f t="shared" si="0"/>
        <v>25</v>
      </c>
      <c r="BN21" s="190">
        <f t="shared" si="1"/>
        <v>25</v>
      </c>
      <c r="BO21" s="190">
        <f t="shared" si="2"/>
        <v>27</v>
      </c>
    </row>
    <row r="22" customHeight="1" spans="1:67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>
        <v>1</v>
      </c>
      <c r="AV22" s="120"/>
      <c r="AW22" s="120">
        <v>1</v>
      </c>
      <c r="AX22" s="120">
        <v>1</v>
      </c>
      <c r="AY22" s="120">
        <v>1</v>
      </c>
      <c r="AZ22" s="120">
        <v>1</v>
      </c>
      <c r="BA22" s="120">
        <v>1</v>
      </c>
      <c r="BB22" s="120"/>
      <c r="BC22" s="120">
        <v>2</v>
      </c>
      <c r="BD22" s="120">
        <v>1</v>
      </c>
      <c r="BE22" s="120">
        <v>1</v>
      </c>
      <c r="BF22" s="120">
        <v>1</v>
      </c>
      <c r="BG22" s="120"/>
      <c r="BH22" s="120"/>
      <c r="BI22" s="188">
        <f t="shared" si="3"/>
        <v>26</v>
      </c>
      <c r="BJ22" s="188" cm="1">
        <f t="array" ref="BJ22">SUMPRODUCT(--(B22:BH22=INT(B22:BH22)),--(B22:BH22&gt;0))</f>
        <v>22</v>
      </c>
      <c r="BK22" s="188" cm="1">
        <f t="array" ref="BK22">MAX(FREQUENCY(IF((B22:BH22=INT(B22:BH22))*(B22:BH22&gt;0),COLUMN(B22:BH22)),IF((B22:BH22&lt;&gt;INT(B22:BH22))+(B22:BH22&lt;=0),COLUMN(B22:BH22))))</f>
        <v>5</v>
      </c>
      <c r="BL22" s="189" cm="1">
        <f t="array" ref="BL22">SUMPRODUCT(--(B22:BA22=INT(B22:BA22)),--(B22:BA22&gt;0))/52*100%</f>
        <v>0.346153846153846</v>
      </c>
      <c r="BM22" s="190">
        <f t="shared" si="0"/>
        <v>8</v>
      </c>
      <c r="BN22" s="190">
        <f t="shared" si="1"/>
        <v>9</v>
      </c>
      <c r="BO22" s="190">
        <f t="shared" si="2"/>
        <v>5</v>
      </c>
    </row>
    <row r="23" customHeight="1" spans="1:67">
      <c r="A23" s="12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>
        <v>1</v>
      </c>
      <c r="AU23" s="120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120"/>
      <c r="BG23" s="120"/>
      <c r="BH23" s="120"/>
      <c r="BI23" s="188">
        <f t="shared" si="3"/>
        <v>1</v>
      </c>
      <c r="BJ23" s="188" cm="1">
        <f t="array" ref="BJ23">SUMPRODUCT(--(B23:BH23=INT(B23:BH23)),--(B23:BH23&gt;0))</f>
        <v>1</v>
      </c>
      <c r="BK23" s="188" cm="1">
        <f t="array" ref="BK23">MAX(FREQUENCY(IF((B23:BH23=INT(B23:BH23))*(B23:BH23&gt;0),COLUMN(B23:BH23)),IF((B23:BH23&lt;&gt;INT(B23:BH23))+(B23:BH23&lt;=0),COLUMN(B23:BH23))))</f>
        <v>1</v>
      </c>
      <c r="BL23" s="189" cm="1">
        <f t="array" ref="BL23">SUMPRODUCT(--(B23:BA23=INT(B23:BA23)),--(B23:BA23&gt;0))/52*100%</f>
        <v>0.0192307692307692</v>
      </c>
      <c r="BM23" s="190">
        <f t="shared" si="0"/>
        <v>38</v>
      </c>
      <c r="BN23" s="190">
        <f t="shared" si="1"/>
        <v>38</v>
      </c>
      <c r="BO23" s="190">
        <f t="shared" si="2"/>
        <v>27</v>
      </c>
    </row>
    <row r="24" customHeight="1" spans="1:67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>
        <v>1</v>
      </c>
      <c r="AY24" s="120"/>
      <c r="AZ24" s="120">
        <v>1</v>
      </c>
      <c r="BA24" s="120">
        <v>1</v>
      </c>
      <c r="BB24" s="120">
        <v>1</v>
      </c>
      <c r="BC24" s="120"/>
      <c r="BD24" s="120">
        <v>1</v>
      </c>
      <c r="BE24" s="120">
        <v>1</v>
      </c>
      <c r="BF24" s="120">
        <v>1</v>
      </c>
      <c r="BG24" s="120"/>
      <c r="BH24" s="120"/>
      <c r="BI24" s="188">
        <f t="shared" si="3"/>
        <v>15</v>
      </c>
      <c r="BJ24" s="188" cm="1">
        <f t="array" ref="BJ24">SUMPRODUCT(--(B24:BH24=INT(B24:BH24)),--(B24:BH24&gt;0))</f>
        <v>15</v>
      </c>
      <c r="BK24" s="188" cm="1">
        <f t="array" ref="BK24">MAX(FREQUENCY(IF((B24:BH24=INT(B24:BH24))*(B24:BH24&gt;0),COLUMN(B24:BH24)),IF((B24:BH24&lt;&gt;INT(B24:BH24))+(B24:BH24&lt;=0),COLUMN(B24:BH24))))</f>
        <v>3</v>
      </c>
      <c r="BL24" s="189" cm="1">
        <f t="array" ref="BL24">SUMPRODUCT(--(B24:BA24=INT(B24:BA24)),--(B24:BA24&gt;0))/52*100%</f>
        <v>0.211538461538462</v>
      </c>
      <c r="BM24" s="190">
        <f t="shared" si="0"/>
        <v>16</v>
      </c>
      <c r="BN24" s="190">
        <f t="shared" si="1"/>
        <v>14</v>
      </c>
      <c r="BO24" s="190">
        <f t="shared" si="2"/>
        <v>15</v>
      </c>
    </row>
    <row r="25" customHeight="1" spans="1:67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20"/>
      <c r="BE25" s="120"/>
      <c r="BF25" s="120"/>
      <c r="BG25" s="120"/>
      <c r="BH25" s="120"/>
      <c r="BI25" s="188">
        <f t="shared" si="3"/>
        <v>1</v>
      </c>
      <c r="BJ25" s="188" cm="1">
        <f t="array" ref="BJ25">SUMPRODUCT(--(B25:BH25=INT(B25:BH25)),--(B25:BH25&gt;0))</f>
        <v>1</v>
      </c>
      <c r="BK25" s="188" cm="1">
        <f t="array" ref="BK25">MAX(FREQUENCY(IF((B25:BH25=INT(B25:BH25))*(B25:BH25&gt;0),COLUMN(B25:BH25)),IF((B25:BH25&lt;&gt;INT(B25:BH25))+(B25:BH25&lt;=0),COLUMN(B25:BH25))))</f>
        <v>1</v>
      </c>
      <c r="BL25" s="189" cm="1">
        <f t="array" ref="BL25">SUMPRODUCT(--(B25:BA25=INT(B25:BA25)),--(B25:BA25&gt;0))/52*100%</f>
        <v>0.0192307692307692</v>
      </c>
      <c r="BM25" s="190">
        <f t="shared" si="0"/>
        <v>38</v>
      </c>
      <c r="BN25" s="190">
        <f t="shared" si="1"/>
        <v>38</v>
      </c>
      <c r="BO25" s="190">
        <f t="shared" si="2"/>
        <v>27</v>
      </c>
    </row>
    <row r="26" customHeight="1" spans="1:67">
      <c r="A26" s="117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20"/>
      <c r="BE26" s="120"/>
      <c r="BF26" s="120"/>
      <c r="BG26" s="120"/>
      <c r="BH26" s="120"/>
      <c r="BI26" s="188">
        <f t="shared" si="3"/>
        <v>0</v>
      </c>
      <c r="BJ26" s="188" cm="1">
        <f t="array" ref="BJ26">SUMPRODUCT(--(B26:BH26=INT(B26:BH26)),--(B26:BH26&gt;0))</f>
        <v>0</v>
      </c>
      <c r="BK26" s="188" cm="1">
        <f t="array" ref="BK26">MAX(FREQUENCY(IF((B26:BH26=INT(B26:BH26))*(B26:BH26&gt;0),COLUMN(B26:BH26)),IF((B26:BH26&lt;&gt;INT(B26:BH26))+(B26:BH26&lt;=0),COLUMN(B26:BH26))))</f>
        <v>0</v>
      </c>
      <c r="BL26" s="189" cm="1">
        <f t="array" ref="BL26">SUMPRODUCT(--(B26:BA26=INT(B26:BA26)),--(B26:BA26&gt;0))/52*100%</f>
        <v>0</v>
      </c>
      <c r="BM26" s="190">
        <f t="shared" si="0"/>
        <v>43</v>
      </c>
      <c r="BN26" s="190">
        <f t="shared" si="1"/>
        <v>43</v>
      </c>
      <c r="BO26" s="190">
        <f t="shared" si="2"/>
        <v>43</v>
      </c>
    </row>
    <row r="27" customHeight="1" spans="1:67">
      <c r="A27" s="117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120"/>
      <c r="BG27" s="120"/>
      <c r="BH27" s="120"/>
      <c r="BI27" s="188">
        <f t="shared" si="3"/>
        <v>0</v>
      </c>
      <c r="BJ27" s="188" cm="1">
        <f t="array" ref="BJ27">SUMPRODUCT(--(B27:BH27=INT(B27:BH27)),--(B27:BH27&gt;0))</f>
        <v>0</v>
      </c>
      <c r="BK27" s="188" cm="1">
        <f t="array" ref="BK27">MAX(FREQUENCY(IF((B27:BH27=INT(B27:BH27))*(B27:BH27&gt;0),COLUMN(B27:BH27)),IF((B27:BH27&lt;&gt;INT(B27:BH27))+(B27:BH27&lt;=0),COLUMN(B27:BH27))))</f>
        <v>0</v>
      </c>
      <c r="BL27" s="189" cm="1">
        <f t="array" ref="BL27">SUMPRODUCT(--(B27:BA27=INT(B27:BA27)),--(B27:BA27&gt;0))/52*100%</f>
        <v>0</v>
      </c>
      <c r="BM27" s="190">
        <f t="shared" si="0"/>
        <v>43</v>
      </c>
      <c r="BN27" s="190">
        <f t="shared" si="1"/>
        <v>43</v>
      </c>
      <c r="BO27" s="190">
        <f t="shared" si="2"/>
        <v>43</v>
      </c>
    </row>
    <row r="28" customHeight="1" spans="1:67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>
        <v>1</v>
      </c>
      <c r="AV28" s="120"/>
      <c r="AW28" s="120"/>
      <c r="AX28" s="120">
        <v>2</v>
      </c>
      <c r="AY28" s="120">
        <v>1</v>
      </c>
      <c r="AZ28" s="120"/>
      <c r="BA28" s="120">
        <v>1</v>
      </c>
      <c r="BB28" s="120"/>
      <c r="BC28" s="120">
        <v>1</v>
      </c>
      <c r="BD28" s="120">
        <v>1</v>
      </c>
      <c r="BE28" s="120">
        <v>1</v>
      </c>
      <c r="BF28" s="120">
        <v>2</v>
      </c>
      <c r="BG28" s="120"/>
      <c r="BH28" s="120"/>
      <c r="BI28" s="188">
        <f t="shared" si="3"/>
        <v>20</v>
      </c>
      <c r="BJ28" s="188" cm="1">
        <f t="array" ref="BJ28">SUMPRODUCT(--(B28:BH28=INT(B28:BH28)),--(B28:BH28&gt;0))</f>
        <v>18</v>
      </c>
      <c r="BK28" s="188" cm="1">
        <f t="array" ref="BK28">MAX(FREQUENCY(IF((B28:BH28=INT(B28:BH28))*(B28:BH28&gt;0),COLUMN(B28:BH28)),IF((B28:BH28&lt;&gt;INT(B28:BH28))+(B28:BH28&lt;=0),COLUMN(B28:BH28))))</f>
        <v>4</v>
      </c>
      <c r="BL28" s="189" cm="1">
        <f t="array" ref="BL28">SUMPRODUCT(--(B28:BA28=INT(B28:BA28)),--(B28:BA28&gt;0))/52*100%</f>
        <v>0.269230769230769</v>
      </c>
      <c r="BM28" s="190">
        <f t="shared" si="0"/>
        <v>12</v>
      </c>
      <c r="BN28" s="190">
        <f t="shared" si="1"/>
        <v>12</v>
      </c>
      <c r="BO28" s="190">
        <f t="shared" si="2"/>
        <v>10</v>
      </c>
    </row>
    <row r="29" customHeight="1" spans="1:67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>
        <v>1</v>
      </c>
      <c r="AU29" s="120">
        <v>1</v>
      </c>
      <c r="AV29" s="120"/>
      <c r="AW29" s="120"/>
      <c r="AX29" s="120"/>
      <c r="AY29" s="120"/>
      <c r="AZ29" s="120"/>
      <c r="BA29" s="120"/>
      <c r="BB29" s="120"/>
      <c r="BC29" s="120"/>
      <c r="BD29" s="120"/>
      <c r="BE29" s="120">
        <v>1</v>
      </c>
      <c r="BF29" s="120"/>
      <c r="BG29" s="120"/>
      <c r="BH29" s="120"/>
      <c r="BI29" s="188">
        <f t="shared" si="3"/>
        <v>12</v>
      </c>
      <c r="BJ29" s="188" cm="1">
        <f t="array" ref="BJ29">SUMPRODUCT(--(B29:BH29=INT(B29:BH29)),--(B29:BH29&gt;0))</f>
        <v>12</v>
      </c>
      <c r="BK29" s="188" cm="1">
        <f t="array" ref="BK29">MAX(FREQUENCY(IF((B29:BH29=INT(B29:BH29))*(B29:BH29&gt;0),COLUMN(B29:BH29)),IF((B29:BH29&lt;&gt;INT(B29:BH29))+(B29:BH29&lt;=0),COLUMN(B29:BH29))))</f>
        <v>5</v>
      </c>
      <c r="BL29" s="189" cm="1">
        <f t="array" ref="BL29">SUMPRODUCT(--(B29:BA29=INT(B29:BA29)),--(B29:BA29&gt;0))/52*100%</f>
        <v>0.211538461538462</v>
      </c>
      <c r="BM29" s="190">
        <f t="shared" si="0"/>
        <v>19</v>
      </c>
      <c r="BN29" s="190">
        <f t="shared" si="1"/>
        <v>18</v>
      </c>
      <c r="BO29" s="190">
        <f t="shared" si="2"/>
        <v>5</v>
      </c>
    </row>
    <row r="30" customHeight="1" spans="1:67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>
        <v>1</v>
      </c>
      <c r="BC30" s="120"/>
      <c r="BD30" s="120"/>
      <c r="BE30" s="120">
        <v>1</v>
      </c>
      <c r="BF30" s="120"/>
      <c r="BG30" s="120"/>
      <c r="BH30" s="120"/>
      <c r="BI30" s="188">
        <f t="shared" si="3"/>
        <v>10</v>
      </c>
      <c r="BJ30" s="188" cm="1">
        <f t="array" ref="BJ30">SUMPRODUCT(--(B30:BH30=INT(B30:BH30)),--(B30:BH30&gt;0))</f>
        <v>9</v>
      </c>
      <c r="BK30" s="188" cm="1">
        <f t="array" ref="BK30">MAX(FREQUENCY(IF((B30:BH30=INT(B30:BH30))*(B30:BH30&gt;0),COLUMN(B30:BH30)),IF((B30:BH30&lt;&gt;INT(B30:BH30))+(B30:BH30&lt;=0),COLUMN(B30:BH30))))</f>
        <v>4</v>
      </c>
      <c r="BL30" s="189" cm="1">
        <f t="array" ref="BL30">SUMPRODUCT(--(B30:BA30=INT(B30:BA30)),--(B30:BA30&gt;0))/52*100%</f>
        <v>0.134615384615385</v>
      </c>
      <c r="BM30" s="190">
        <f t="shared" si="0"/>
        <v>20</v>
      </c>
      <c r="BN30" s="190">
        <f t="shared" si="1"/>
        <v>20</v>
      </c>
      <c r="BO30" s="190">
        <f t="shared" si="2"/>
        <v>10</v>
      </c>
    </row>
    <row r="31" customHeight="1" spans="1:67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>
        <v>1</v>
      </c>
      <c r="BB31" s="120"/>
      <c r="BC31" s="120">
        <v>1</v>
      </c>
      <c r="BD31" s="120"/>
      <c r="BE31" s="120">
        <v>1</v>
      </c>
      <c r="BF31" s="120"/>
      <c r="BG31" s="120"/>
      <c r="BH31" s="120"/>
      <c r="BI31" s="188">
        <f t="shared" si="3"/>
        <v>15</v>
      </c>
      <c r="BJ31" s="188" cm="1">
        <f t="array" ref="BJ31">SUMPRODUCT(--(B31:BH31=INT(B31:BH31)),--(B31:BH31&gt;0))</f>
        <v>14</v>
      </c>
      <c r="BK31" s="188" cm="1">
        <f t="array" ref="BK31">MAX(FREQUENCY(IF((B31:BH31=INT(B31:BH31))*(B31:BH31&gt;0),COLUMN(B31:BH31)),IF((B31:BH31&lt;&gt;INT(B31:BH31))+(B31:BH31&lt;=0),COLUMN(B31:BH31))))</f>
        <v>2</v>
      </c>
      <c r="BL31" s="189" cm="1">
        <f t="array" ref="BL31">SUMPRODUCT(--(B31:BA31=INT(B31:BA31)),--(B31:BA31&gt;0))/52*100%</f>
        <v>0.230769230769231</v>
      </c>
      <c r="BM31" s="190">
        <f t="shared" si="0"/>
        <v>16</v>
      </c>
      <c r="BN31" s="190">
        <f t="shared" si="1"/>
        <v>16</v>
      </c>
      <c r="BO31" s="190">
        <f t="shared" si="2"/>
        <v>20</v>
      </c>
    </row>
    <row r="32" customHeight="1" spans="1:67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>
        <v>1</v>
      </c>
      <c r="AY32" s="120">
        <v>1</v>
      </c>
      <c r="AZ32" s="120">
        <v>1</v>
      </c>
      <c r="BA32" s="120"/>
      <c r="BB32" s="120"/>
      <c r="BC32" s="120">
        <v>1</v>
      </c>
      <c r="BD32" s="120"/>
      <c r="BE32" s="120">
        <v>2</v>
      </c>
      <c r="BF32" s="120">
        <v>1</v>
      </c>
      <c r="BG32" s="120"/>
      <c r="BH32" s="120"/>
      <c r="BI32" s="188">
        <f t="shared" si="3"/>
        <v>19</v>
      </c>
      <c r="BJ32" s="188" cm="1">
        <f t="array" ref="BJ32">SUMPRODUCT(--(B32:BH32=INT(B32:BH32)),--(B32:BH32&gt;0))</f>
        <v>17</v>
      </c>
      <c r="BK32" s="188" cm="1">
        <f t="array" ref="BK32">MAX(FREQUENCY(IF((B32:BH32=INT(B32:BH32))*(B32:BH32&gt;0),COLUMN(B32:BH32)),IF((B32:BH32&lt;&gt;INT(B32:BH32))+(B32:BH32&lt;=0),COLUMN(B32:BH32))))</f>
        <v>3</v>
      </c>
      <c r="BL32" s="189" cm="1">
        <f t="array" ref="BL32">SUMPRODUCT(--(B32:BA32=INT(B32:BA32)),--(B32:BA32&gt;0))/52*100%</f>
        <v>0.269230769230769</v>
      </c>
      <c r="BM32" s="190">
        <f t="shared" si="0"/>
        <v>13</v>
      </c>
      <c r="BN32" s="190">
        <f t="shared" si="1"/>
        <v>13</v>
      </c>
      <c r="BO32" s="190">
        <f t="shared" si="2"/>
        <v>15</v>
      </c>
    </row>
    <row r="33" customHeight="1" spans="1:67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>
        <v>1</v>
      </c>
      <c r="BC33" s="120"/>
      <c r="BD33" s="120">
        <v>1</v>
      </c>
      <c r="BE33" s="120"/>
      <c r="BF33" s="120"/>
      <c r="BG33" s="120"/>
      <c r="BH33" s="120"/>
      <c r="BI33" s="188">
        <f t="shared" si="3"/>
        <v>7</v>
      </c>
      <c r="BJ33" s="188" cm="1">
        <f t="array" ref="BJ33">SUMPRODUCT(--(B33:BH33=INT(B33:BH33)),--(B33:BH33&gt;0))</f>
        <v>7</v>
      </c>
      <c r="BK33" s="188" cm="1">
        <f t="array" ref="BK33">MAX(FREQUENCY(IF((B33:BH33=INT(B33:BH33))*(B33:BH33&gt;0),COLUMN(B33:BH33)),IF((B33:BH33&lt;&gt;INT(B33:BH33))+(B33:BH33&lt;=0),COLUMN(B33:BH33))))</f>
        <v>1</v>
      </c>
      <c r="BL33" s="189" cm="1">
        <f t="array" ref="BL33">SUMPRODUCT(--(B33:BA33=INT(B33:BA33)),--(B33:BA33&gt;0))/52*100%</f>
        <v>0.0961538461538462</v>
      </c>
      <c r="BM33" s="190">
        <f t="shared" si="0"/>
        <v>24</v>
      </c>
      <c r="BN33" s="190">
        <f t="shared" si="1"/>
        <v>24</v>
      </c>
      <c r="BO33" s="190">
        <f t="shared" si="2"/>
        <v>27</v>
      </c>
    </row>
    <row r="34" customHeight="1" spans="1:67">
      <c r="A34" s="117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120"/>
      <c r="BG34" s="120"/>
      <c r="BH34" s="120"/>
      <c r="BI34" s="188">
        <f t="shared" si="3"/>
        <v>0</v>
      </c>
      <c r="BJ34" s="188" cm="1">
        <f t="array" ref="BJ34">SUMPRODUCT(--(B34:BH34=INT(B34:BH34)),--(B34:BH34&gt;0))</f>
        <v>0</v>
      </c>
      <c r="BK34" s="188" cm="1">
        <f t="array" ref="BK34">MAX(FREQUENCY(IF((B34:BH34=INT(B34:BH34))*(B34:BH34&gt;0),COLUMN(B34:BH34)),IF((B34:BH34&lt;&gt;INT(B34:BH34))+(B34:BH34&lt;=0),COLUMN(B34:BH34))))</f>
        <v>0</v>
      </c>
      <c r="BL34" s="189" cm="1">
        <f t="array" ref="BL34">SUMPRODUCT(--(B34:BA34=INT(B34:BA34)),--(B34:BA34&gt;0))/52*100%</f>
        <v>0</v>
      </c>
      <c r="BM34" s="190">
        <f t="shared" si="0"/>
        <v>43</v>
      </c>
      <c r="BN34" s="190">
        <f t="shared" si="1"/>
        <v>43</v>
      </c>
      <c r="BO34" s="190">
        <f t="shared" si="2"/>
        <v>43</v>
      </c>
    </row>
    <row r="35" customHeight="1" spans="1:67">
      <c r="A35" s="191">
        <v>33</v>
      </c>
      <c r="B35" s="19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1"/>
      <c r="AS35" s="191"/>
      <c r="AT35" s="191"/>
      <c r="AU35" s="191"/>
      <c r="AV35" s="191"/>
      <c r="AW35" s="191"/>
      <c r="AX35" s="191"/>
      <c r="AY35" s="191"/>
      <c r="AZ35" s="191"/>
      <c r="BA35" s="191"/>
      <c r="BB35" s="191"/>
      <c r="BC35" s="191"/>
      <c r="BD35" s="191"/>
      <c r="BE35" s="191"/>
      <c r="BF35" s="191"/>
      <c r="BG35" s="191"/>
      <c r="BH35" s="191"/>
      <c r="BI35" s="188">
        <f t="shared" si="3"/>
        <v>0</v>
      </c>
      <c r="BJ35" s="188" cm="1">
        <f t="array" ref="BJ35">SUMPRODUCT(--(B35:BH35=INT(B35:BH35)),--(B35:BH35&gt;0))</f>
        <v>0</v>
      </c>
      <c r="BK35" s="188" cm="1">
        <f t="array" ref="BK35">MAX(FREQUENCY(IF((B35:BH35=INT(B35:BH35))*(B35:BH35&gt;0),COLUMN(B35:BH35)),IF((B35:BH35&lt;&gt;INT(B35:BH35))+(B35:BH35&lt;=0),COLUMN(B35:BH35))))</f>
        <v>0</v>
      </c>
      <c r="BL35" s="189" cm="1">
        <f t="array" ref="BL35">SUMPRODUCT(--(B35:BA35=INT(B35:BA35)),--(B35:BA35&gt;0))/52*100%</f>
        <v>0</v>
      </c>
      <c r="BM35" s="190">
        <f t="shared" si="0"/>
        <v>43</v>
      </c>
      <c r="BN35" s="190">
        <f t="shared" si="1"/>
        <v>43</v>
      </c>
      <c r="BO35" s="190">
        <f t="shared" si="2"/>
        <v>43</v>
      </c>
    </row>
    <row r="36" customHeight="1" spans="1:67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>
        <v>1</v>
      </c>
      <c r="BF36" s="120"/>
      <c r="BG36" s="120"/>
      <c r="BH36" s="120"/>
      <c r="BI36" s="188">
        <f t="shared" ref="BI36:BI53" si="4">SUM(B36:BH36)</f>
        <v>2</v>
      </c>
      <c r="BJ36" s="188" cm="1">
        <f t="array" ref="BJ36">SUMPRODUCT(--(B36:BH36=INT(B36:BH36)),--(B36:BH36&gt;0))</f>
        <v>2</v>
      </c>
      <c r="BK36" s="188" cm="1">
        <f t="array" ref="BK36">MAX(FREQUENCY(IF((B36:BH36=INT(B36:BH36))*(B36:BH36&gt;0),COLUMN(B36:BH36)),IF((B36:BH36&lt;&gt;INT(B36:BH36))+(B36:BH36&lt;=0),COLUMN(B36:BH36))))</f>
        <v>1</v>
      </c>
      <c r="BL36" s="189" cm="1">
        <f t="array" ref="BL36">SUMPRODUCT(--(B36:BA36=INT(B36:BA36)),--(B36:BA36&gt;0))/52*100%</f>
        <v>0.0192307692307692</v>
      </c>
      <c r="BM36" s="190">
        <f t="shared" si="0"/>
        <v>35</v>
      </c>
      <c r="BN36" s="190">
        <f t="shared" si="1"/>
        <v>34</v>
      </c>
      <c r="BO36" s="190">
        <f t="shared" si="2"/>
        <v>27</v>
      </c>
    </row>
    <row r="37" customHeight="1" spans="1:67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>
        <v>1</v>
      </c>
      <c r="AY37" s="120">
        <v>1</v>
      </c>
      <c r="AZ37" s="120">
        <v>1</v>
      </c>
      <c r="BA37" s="120"/>
      <c r="BB37" s="120"/>
      <c r="BC37" s="120"/>
      <c r="BD37" s="120"/>
      <c r="BE37" s="120">
        <v>1</v>
      </c>
      <c r="BF37" s="120"/>
      <c r="BG37" s="120"/>
      <c r="BH37" s="120"/>
      <c r="BI37" s="188">
        <f t="shared" si="4"/>
        <v>13</v>
      </c>
      <c r="BJ37" s="188" cm="1">
        <f t="array" ref="BJ37">SUMPRODUCT(--(B37:BH37=INT(B37:BH37)),--(B37:BH37&gt;0))</f>
        <v>12</v>
      </c>
      <c r="BK37" s="188" cm="1">
        <f t="array" ref="BK37">MAX(FREQUENCY(IF((B37:BH37=INT(B37:BH37))*(B37:BH37&gt;0),COLUMN(B37:BH37)),IF((B37:BH37&lt;&gt;INT(B37:BH37))+(B37:BH37&lt;=0),COLUMN(B37:BH37))))</f>
        <v>3</v>
      </c>
      <c r="BL37" s="189" cm="1">
        <f t="array" ref="BL37">SUMPRODUCT(--(B37:BA37=INT(B37:BA37)),--(B37:BA37&gt;0))/52*100%</f>
        <v>0.211538461538462</v>
      </c>
      <c r="BM37" s="190">
        <f t="shared" si="0"/>
        <v>18</v>
      </c>
      <c r="BN37" s="190">
        <f t="shared" si="1"/>
        <v>18</v>
      </c>
      <c r="BO37" s="190">
        <f t="shared" si="2"/>
        <v>15</v>
      </c>
    </row>
    <row r="38" customHeight="1" spans="1:67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20">
        <v>1</v>
      </c>
      <c r="BE38" s="120">
        <v>1</v>
      </c>
      <c r="BF38" s="120"/>
      <c r="BG38" s="120"/>
      <c r="BH38" s="120"/>
      <c r="BI38" s="188">
        <f t="shared" si="4"/>
        <v>6</v>
      </c>
      <c r="BJ38" s="188" cm="1">
        <f t="array" ref="BJ38">SUMPRODUCT(--(B38:BH38=INT(B38:BH38)),--(B38:BH38&gt;0))</f>
        <v>5</v>
      </c>
      <c r="BK38" s="188" cm="1">
        <f t="array" ref="BK38">MAX(FREQUENCY(IF((B38:BH38=INT(B38:BH38))*(B38:BH38&gt;0),COLUMN(B38:BH38)),IF((B38:BH38&lt;&gt;INT(B38:BH38))+(B38:BH38&lt;=0),COLUMN(B38:BH38))))</f>
        <v>2</v>
      </c>
      <c r="BL38" s="189" cm="1">
        <f t="array" ref="BL38">SUMPRODUCT(--(B38:BA38=INT(B38:BA38)),--(B38:BA38&gt;0))/52*100%</f>
        <v>0.0576923076923077</v>
      </c>
      <c r="BM38" s="190">
        <f t="shared" si="0"/>
        <v>25</v>
      </c>
      <c r="BN38" s="190">
        <f t="shared" si="1"/>
        <v>25</v>
      </c>
      <c r="BO38" s="190">
        <f t="shared" si="2"/>
        <v>20</v>
      </c>
    </row>
    <row r="39" customHeight="1" spans="1:67">
      <c r="A39" s="191">
        <v>37</v>
      </c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1"/>
      <c r="AQ39" s="191"/>
      <c r="AR39" s="191"/>
      <c r="AS39" s="191"/>
      <c r="AT39" s="191"/>
      <c r="AU39" s="191"/>
      <c r="AV39" s="191"/>
      <c r="AW39" s="191"/>
      <c r="AX39" s="191"/>
      <c r="AY39" s="191"/>
      <c r="AZ39" s="191"/>
      <c r="BA39" s="191"/>
      <c r="BB39" s="191"/>
      <c r="BC39" s="191"/>
      <c r="BD39" s="191"/>
      <c r="BE39" s="191"/>
      <c r="BF39" s="191"/>
      <c r="BG39" s="191"/>
      <c r="BH39" s="191"/>
      <c r="BI39" s="188">
        <f t="shared" si="4"/>
        <v>0</v>
      </c>
      <c r="BJ39" s="188" cm="1">
        <f t="array" ref="BJ39">SUMPRODUCT(--(B39:BH39=INT(B39:BH39)),--(B39:BH39&gt;0))</f>
        <v>0</v>
      </c>
      <c r="BK39" s="188" cm="1">
        <f t="array" ref="BK39">MAX(FREQUENCY(IF((B39:BH39=INT(B39:BH39))*(B39:BH39&gt;0),COLUMN(B39:BH39)),IF((B39:BH39&lt;&gt;INT(B39:BH39))+(B39:BH39&lt;=0),COLUMN(B39:BH39))))</f>
        <v>0</v>
      </c>
      <c r="BL39" s="189" cm="1">
        <f t="array" ref="BL39">SUMPRODUCT(--(B39:BA39=INT(B39:BA39)),--(B39:BA39&gt;0))/52*100%</f>
        <v>0</v>
      </c>
      <c r="BM39" s="192">
        <f t="shared" si="0"/>
        <v>43</v>
      </c>
      <c r="BN39" s="192">
        <f t="shared" si="1"/>
        <v>43</v>
      </c>
      <c r="BO39" s="192">
        <f t="shared" si="2"/>
        <v>43</v>
      </c>
    </row>
    <row r="40" customHeight="1" spans="1:67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>
        <v>1</v>
      </c>
      <c r="AV40" s="120"/>
      <c r="AW40" s="120"/>
      <c r="AX40" s="120">
        <v>2</v>
      </c>
      <c r="AY40" s="120">
        <v>1</v>
      </c>
      <c r="AZ40" s="120">
        <v>1</v>
      </c>
      <c r="BA40" s="120"/>
      <c r="BB40" s="120">
        <v>1</v>
      </c>
      <c r="BC40" s="120">
        <v>2</v>
      </c>
      <c r="BD40" s="120">
        <v>1</v>
      </c>
      <c r="BE40" s="120">
        <v>2</v>
      </c>
      <c r="BF40" s="120"/>
      <c r="BG40" s="120"/>
      <c r="BH40" s="120"/>
      <c r="BI40" s="188">
        <f t="shared" si="4"/>
        <v>39</v>
      </c>
      <c r="BJ40" s="188" cm="1">
        <f t="array" ref="BJ40">SUMPRODUCT(--(B40:BH40=INT(B40:BH40)),--(B40:BH40&gt;0))</f>
        <v>32</v>
      </c>
      <c r="BK40" s="188" cm="1">
        <f t="array" ref="BK40">MAX(FREQUENCY(IF((B40:BH40=INT(B40:BH40))*(B40:BH40&gt;0),COLUMN(B40:BH40)),IF((B40:BH40&lt;&gt;INT(B40:BH40))+(B40:BH40&lt;=0),COLUMN(B40:BH40))))</f>
        <v>12</v>
      </c>
      <c r="BL40" s="189" cm="1">
        <f t="array" ref="BL40">SUMPRODUCT(--(B40:BA40=INT(B40:BA40)),--(B40:BA40&gt;0))/52*100%</f>
        <v>0.538461538461538</v>
      </c>
      <c r="BM40" s="190">
        <f t="shared" si="0"/>
        <v>2</v>
      </c>
      <c r="BN40" s="190">
        <f t="shared" si="1"/>
        <v>2</v>
      </c>
      <c r="BO40" s="190">
        <f t="shared" si="2"/>
        <v>2</v>
      </c>
    </row>
    <row r="41" customHeight="1" spans="1:67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>
        <v>1</v>
      </c>
      <c r="AV41" s="120">
        <v>1</v>
      </c>
      <c r="AW41" s="120"/>
      <c r="AX41" s="120"/>
      <c r="AY41" s="120"/>
      <c r="AZ41" s="120">
        <v>2</v>
      </c>
      <c r="BA41" s="120">
        <v>1</v>
      </c>
      <c r="BB41" s="120">
        <v>2</v>
      </c>
      <c r="BC41" s="120">
        <v>1</v>
      </c>
      <c r="BD41" s="120">
        <v>1</v>
      </c>
      <c r="BE41" s="120">
        <v>1</v>
      </c>
      <c r="BF41" s="120"/>
      <c r="BG41" s="120"/>
      <c r="BH41" s="120"/>
      <c r="BI41" s="188">
        <f t="shared" si="4"/>
        <v>28</v>
      </c>
      <c r="BJ41" s="188" cm="1">
        <f t="array" ref="BJ41">SUMPRODUCT(--(B41:BH41=INT(B41:BH41)),--(B41:BH41&gt;0))</f>
        <v>22</v>
      </c>
      <c r="BK41" s="188" cm="1">
        <f t="array" ref="BK41">MAX(FREQUENCY(IF((B41:BH41=INT(B41:BH41))*(B41:BH41&gt;0),COLUMN(B41:BH41)),IF((B41:BH41&lt;&gt;INT(B41:BH41))+(B41:BH41&lt;=0),COLUMN(B41:BH41))))</f>
        <v>6</v>
      </c>
      <c r="BL41" s="189" cm="1">
        <f t="array" ref="BL41">SUMPRODUCT(--(B41:BA41=INT(B41:BA41)),--(B41:BA41&gt;0))/52*100%</f>
        <v>0.346153846153846</v>
      </c>
      <c r="BM41" s="190">
        <f t="shared" si="0"/>
        <v>5</v>
      </c>
      <c r="BN41" s="190">
        <f t="shared" si="1"/>
        <v>9</v>
      </c>
      <c r="BO41" s="190">
        <f t="shared" si="2"/>
        <v>3</v>
      </c>
    </row>
    <row r="42" customHeight="1" spans="1:67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>
        <v>1</v>
      </c>
      <c r="AU42" s="120">
        <v>3</v>
      </c>
      <c r="AV42" s="120">
        <v>1</v>
      </c>
      <c r="AW42" s="120"/>
      <c r="AX42" s="120">
        <v>2</v>
      </c>
      <c r="AY42" s="120">
        <v>1</v>
      </c>
      <c r="AZ42" s="120">
        <v>1</v>
      </c>
      <c r="BA42" s="120">
        <v>1</v>
      </c>
      <c r="BB42" s="120"/>
      <c r="BC42" s="120">
        <v>4</v>
      </c>
      <c r="BD42" s="120">
        <v>1</v>
      </c>
      <c r="BE42" s="120"/>
      <c r="BF42" s="120">
        <v>2</v>
      </c>
      <c r="BG42" s="120"/>
      <c r="BH42" s="120"/>
      <c r="BI42" s="188">
        <f t="shared" si="4"/>
        <v>37</v>
      </c>
      <c r="BJ42" s="188" cm="1">
        <f t="array" ref="BJ42">SUMPRODUCT(--(B42:BH42=INT(B42:BH42)),--(B42:BH42&gt;0))</f>
        <v>26</v>
      </c>
      <c r="BK42" s="188" cm="1">
        <f t="array" ref="BK42">MAX(FREQUENCY(IF((B42:BH42=INT(B42:BH42))*(B42:BH42&gt;0),COLUMN(B42:BH42)),IF((B42:BH42&lt;&gt;INT(B42:BH42))+(B42:BH42&lt;=0),COLUMN(B42:BH42))))</f>
        <v>5</v>
      </c>
      <c r="BL42" s="189" cm="1">
        <f t="array" ref="BL42">SUMPRODUCT(--(B42:BA42=INT(B42:BA42)),--(B42:BA42&gt;0))/52*100%</f>
        <v>0.442307692307692</v>
      </c>
      <c r="BM42" s="190">
        <f t="shared" si="0"/>
        <v>3</v>
      </c>
      <c r="BN42" s="190">
        <f t="shared" si="1"/>
        <v>4</v>
      </c>
      <c r="BO42" s="190">
        <f t="shared" si="2"/>
        <v>5</v>
      </c>
    </row>
    <row r="43" customHeight="1" spans="1:67">
      <c r="A43" s="117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120"/>
      <c r="BG43" s="120"/>
      <c r="BH43" s="120"/>
      <c r="BI43" s="188">
        <f t="shared" si="4"/>
        <v>0</v>
      </c>
      <c r="BJ43" s="188" cm="1">
        <f t="array" ref="BJ43">SUMPRODUCT(--(B43:BH43=INT(B43:BH43)),--(B43:BH43&gt;0))</f>
        <v>0</v>
      </c>
      <c r="BK43" s="188" cm="1">
        <f t="array" ref="BK43">MAX(FREQUENCY(IF((B43:BH43=INT(B43:BH43))*(B43:BH43&gt;0),COLUMN(B43:BH43)),IF((B43:BH43&lt;&gt;INT(B43:BH43))+(B43:BH43&lt;=0),COLUMN(B43:BH43))))</f>
        <v>0</v>
      </c>
      <c r="BL43" s="189" cm="1">
        <f t="array" ref="BL43">SUMPRODUCT(--(B43:BA43=INT(B43:BA43)),--(B43:BA43&gt;0))/52*100%</f>
        <v>0</v>
      </c>
      <c r="BM43" s="190">
        <f t="shared" si="0"/>
        <v>43</v>
      </c>
      <c r="BN43" s="190">
        <f t="shared" si="1"/>
        <v>43</v>
      </c>
      <c r="BO43" s="190">
        <f t="shared" si="2"/>
        <v>43</v>
      </c>
    </row>
    <row r="44" customHeight="1" spans="1:67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>
        <v>2</v>
      </c>
      <c r="AV44" s="120">
        <v>1</v>
      </c>
      <c r="AW44" s="120"/>
      <c r="AX44" s="120"/>
      <c r="AY44" s="120">
        <v>1</v>
      </c>
      <c r="AZ44" s="120">
        <v>1</v>
      </c>
      <c r="BA44" s="120">
        <v>1</v>
      </c>
      <c r="BB44" s="120"/>
      <c r="BC44" s="120">
        <v>1</v>
      </c>
      <c r="BD44" s="120"/>
      <c r="BE44" s="120">
        <v>1</v>
      </c>
      <c r="BF44" s="120">
        <v>2</v>
      </c>
      <c r="BG44" s="120"/>
      <c r="BH44" s="120"/>
      <c r="BI44" s="188">
        <f t="shared" si="4"/>
        <v>29</v>
      </c>
      <c r="BJ44" s="188" cm="1">
        <f t="array" ref="BJ44">SUMPRODUCT(--(B44:BH44=INT(B44:BH44)),--(B44:BH44&gt;0))</f>
        <v>24</v>
      </c>
      <c r="BK44" s="188" cm="1">
        <f t="array" ref="BK44">MAX(FREQUENCY(IF((B44:BH44=INT(B44:BH44))*(B44:BH44&gt;0),COLUMN(B44:BH44)),IF((B44:BH44&lt;&gt;INT(B44:BH44))+(B44:BH44&lt;=0),COLUMN(B44:BH44))))</f>
        <v>5</v>
      </c>
      <c r="BL44" s="189" cm="1">
        <f t="array" ref="BL44">SUMPRODUCT(--(B44:BA44=INT(B44:BA44)),--(B44:BA44&gt;0))/52*100%</f>
        <v>0.403846153846154</v>
      </c>
      <c r="BM44" s="190">
        <f t="shared" si="0"/>
        <v>4</v>
      </c>
      <c r="BN44" s="190">
        <f t="shared" si="1"/>
        <v>5</v>
      </c>
      <c r="BO44" s="190">
        <f t="shared" si="2"/>
        <v>5</v>
      </c>
    </row>
    <row r="45" customHeight="1" spans="1:67">
      <c r="A45" s="117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20"/>
      <c r="BE45" s="120"/>
      <c r="BF45" s="120"/>
      <c r="BG45" s="120"/>
      <c r="BH45" s="120"/>
      <c r="BI45" s="188">
        <f t="shared" si="4"/>
        <v>0</v>
      </c>
      <c r="BJ45" s="188" cm="1">
        <f t="array" ref="BJ45">SUMPRODUCT(--(B45:BH45=INT(B45:BH45)),--(B45:BH45&gt;0))</f>
        <v>0</v>
      </c>
      <c r="BK45" s="188" cm="1">
        <f t="array" ref="BK45">MAX(FREQUENCY(IF((B45:BH45=INT(B45:BH45))*(B45:BH45&gt;0),COLUMN(B45:BH45)),IF((B45:BH45&lt;&gt;INT(B45:BH45))+(B45:BH45&lt;=0),COLUMN(B45:BH45))))</f>
        <v>0</v>
      </c>
      <c r="BL45" s="189" cm="1">
        <f t="array" ref="BL45">SUMPRODUCT(--(B45:BA45=INT(B45:BA45)),--(B45:BA45&gt;0))/52*100%</f>
        <v>0</v>
      </c>
      <c r="BM45" s="190">
        <f t="shared" si="0"/>
        <v>43</v>
      </c>
      <c r="BN45" s="190">
        <f t="shared" si="1"/>
        <v>43</v>
      </c>
      <c r="BO45" s="190">
        <f t="shared" si="2"/>
        <v>43</v>
      </c>
    </row>
    <row r="46" customHeight="1" spans="1:67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>
        <v>1</v>
      </c>
      <c r="AU46" s="120">
        <v>2</v>
      </c>
      <c r="AV46" s="120">
        <v>1</v>
      </c>
      <c r="AW46" s="120">
        <v>1</v>
      </c>
      <c r="AX46" s="120">
        <v>1</v>
      </c>
      <c r="AY46" s="120">
        <v>1</v>
      </c>
      <c r="AZ46" s="120">
        <v>1</v>
      </c>
      <c r="BA46" s="120">
        <v>1</v>
      </c>
      <c r="BB46" s="120">
        <v>2</v>
      </c>
      <c r="BC46" s="120">
        <v>2</v>
      </c>
      <c r="BD46" s="120">
        <v>1</v>
      </c>
      <c r="BE46" s="120">
        <v>1</v>
      </c>
      <c r="BF46" s="120">
        <v>2</v>
      </c>
      <c r="BG46" s="120"/>
      <c r="BH46" s="120"/>
      <c r="BI46" s="188">
        <f t="shared" si="4"/>
        <v>54</v>
      </c>
      <c r="BJ46" s="188" cm="1">
        <f t="array" ref="BJ46">SUMPRODUCT(--(B46:BH46=INT(B46:BH46)),--(B46:BH46&gt;0))</f>
        <v>40</v>
      </c>
      <c r="BK46" s="188" cm="1">
        <f t="array" ref="BK46">MAX(FREQUENCY(IF((B46:BH46=INT(B46:BH46))*(B46:BH46&gt;0),COLUMN(B46:BH46)),IF((B46:BH46&lt;&gt;INT(B46:BH46))+(B46:BH46&lt;=0),COLUMN(B46:BH46))))</f>
        <v>16</v>
      </c>
      <c r="BL46" s="189" cm="1">
        <f t="array" ref="BL46">SUMPRODUCT(--(B46:BA46=INT(B46:BA46)),--(B46:BA46&gt;0))/52*100%</f>
        <v>0.673076923076923</v>
      </c>
      <c r="BM46" s="190">
        <f t="shared" si="0"/>
        <v>1</v>
      </c>
      <c r="BN46" s="190">
        <f t="shared" si="1"/>
        <v>1</v>
      </c>
      <c r="BO46" s="190">
        <f t="shared" si="2"/>
        <v>1</v>
      </c>
    </row>
    <row r="47" customHeight="1" spans="1:67">
      <c r="A47" s="117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20"/>
      <c r="BE47" s="120"/>
      <c r="BF47" s="120"/>
      <c r="BG47" s="120"/>
      <c r="BH47" s="120"/>
      <c r="BI47" s="188">
        <f t="shared" si="4"/>
        <v>0</v>
      </c>
      <c r="BJ47" s="188" cm="1">
        <f t="array" ref="BJ47">SUMPRODUCT(--(B47:BH47=INT(B47:BH47)),--(B47:BH47&gt;0))</f>
        <v>0</v>
      </c>
      <c r="BK47" s="188" cm="1">
        <f t="array" ref="BK47">MAX(FREQUENCY(IF((B47:BH47=INT(B47:BH47))*(B47:BH47&gt;0),COLUMN(B47:BH47)),IF((B47:BH47&lt;&gt;INT(B47:BH47))+(B47:BH47&lt;=0),COLUMN(B47:BH47))))</f>
        <v>0</v>
      </c>
      <c r="BL47" s="189" cm="1">
        <f t="array" ref="BL47">SUMPRODUCT(--(B47:BA47=INT(B47:BA47)),--(B47:BA47&gt;0))/52*100%</f>
        <v>0</v>
      </c>
      <c r="BM47" s="190">
        <f t="shared" si="0"/>
        <v>43</v>
      </c>
      <c r="BN47" s="190">
        <f t="shared" si="1"/>
        <v>43</v>
      </c>
      <c r="BO47" s="190">
        <f t="shared" si="2"/>
        <v>43</v>
      </c>
    </row>
    <row r="48" customHeight="1" spans="1:67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>
        <v>2</v>
      </c>
      <c r="AV48" s="120"/>
      <c r="AW48" s="120"/>
      <c r="AX48" s="120">
        <v>1</v>
      </c>
      <c r="AY48" s="120">
        <v>1</v>
      </c>
      <c r="AZ48" s="120"/>
      <c r="BA48" s="120">
        <v>2</v>
      </c>
      <c r="BB48" s="120"/>
      <c r="BC48" s="120"/>
      <c r="BD48" s="120"/>
      <c r="BE48" s="120">
        <v>1</v>
      </c>
      <c r="BF48" s="120">
        <v>1</v>
      </c>
      <c r="BG48" s="120"/>
      <c r="BH48" s="120"/>
      <c r="BI48" s="188">
        <f t="shared" si="4"/>
        <v>23</v>
      </c>
      <c r="BJ48" s="188" cm="1">
        <f t="array" ref="BJ48">SUMPRODUCT(--(B48:BH48=INT(B48:BH48)),--(B48:BH48&gt;0))</f>
        <v>19</v>
      </c>
      <c r="BK48" s="188" cm="1">
        <f t="array" ref="BK48">MAX(FREQUENCY(IF((B48:BH48=INT(B48:BH48))*(B48:BH48&gt;0),COLUMN(B48:BH48)),IF((B48:BH48&lt;&gt;INT(B48:BH48))+(B48:BH48&lt;=0),COLUMN(B48:BH48))))</f>
        <v>2</v>
      </c>
      <c r="BL48" s="189" cm="1">
        <f t="array" ref="BL48">SUMPRODUCT(--(B48:BA48=INT(B48:BA48)),--(B48:BA48&gt;0))/52*100%</f>
        <v>0.326923076923077</v>
      </c>
      <c r="BM48" s="190">
        <f t="shared" si="0"/>
        <v>11</v>
      </c>
      <c r="BN48" s="190">
        <f t="shared" si="1"/>
        <v>11</v>
      </c>
      <c r="BO48" s="190">
        <f t="shared" si="2"/>
        <v>20</v>
      </c>
    </row>
    <row r="49" customHeight="1" spans="1:67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120"/>
      <c r="BG49" s="120"/>
      <c r="BH49" s="120"/>
      <c r="BI49" s="188">
        <f t="shared" si="4"/>
        <v>4</v>
      </c>
      <c r="BJ49" s="188" cm="1">
        <f t="array" ref="BJ49">SUMPRODUCT(--(B49:BH49=INT(B49:BH49)),--(B49:BH49&gt;0))</f>
        <v>4</v>
      </c>
      <c r="BK49" s="188" cm="1">
        <f t="array" ref="BK49">MAX(FREQUENCY(IF((B49:BH49=INT(B49:BH49))*(B49:BH49&gt;0),COLUMN(B49:BH49)),IF((B49:BH49&lt;&gt;INT(B49:BH49))+(B49:BH49&lt;=0),COLUMN(B49:BH49))))</f>
        <v>1</v>
      </c>
      <c r="BL49" s="189" cm="1">
        <f t="array" ref="BL49">SUMPRODUCT(--(B49:BA49=INT(B49:BA49)),--(B49:BA49&gt;0))/52*100%</f>
        <v>0.0769230769230769</v>
      </c>
      <c r="BM49" s="190">
        <f t="shared" si="0"/>
        <v>31</v>
      </c>
      <c r="BN49" s="190">
        <f t="shared" si="1"/>
        <v>31</v>
      </c>
      <c r="BO49" s="190">
        <f t="shared" si="2"/>
        <v>27</v>
      </c>
    </row>
    <row r="50" customHeight="1" spans="1:67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120"/>
      <c r="BG50" s="120"/>
      <c r="BH50" s="120"/>
      <c r="BI50" s="188">
        <f t="shared" si="4"/>
        <v>5</v>
      </c>
      <c r="BJ50" s="188" cm="1">
        <f t="array" ref="BJ50">SUMPRODUCT(--(B50:BH50=INT(B50:BH50)),--(B50:BH50&gt;0))</f>
        <v>5</v>
      </c>
      <c r="BK50" s="188" cm="1">
        <f t="array" ref="BK50">MAX(FREQUENCY(IF((B50:BH50=INT(B50:BH50))*(B50:BH50&gt;0),COLUMN(B50:BH50)),IF((B50:BH50&lt;&gt;INT(B50:BH50))+(B50:BH50&lt;=0),COLUMN(B50:BH50))))</f>
        <v>1</v>
      </c>
      <c r="BL50" s="189" cm="1">
        <f t="array" ref="BL50">SUMPRODUCT(--(B50:BA50=INT(B50:BA50)),--(B50:BA50&gt;0))/52*100%</f>
        <v>0.0961538461538462</v>
      </c>
      <c r="BM50" s="190">
        <f t="shared" si="0"/>
        <v>27</v>
      </c>
      <c r="BN50" s="190">
        <f t="shared" si="1"/>
        <v>25</v>
      </c>
      <c r="BO50" s="190">
        <f t="shared" si="2"/>
        <v>27</v>
      </c>
    </row>
    <row r="51" customHeight="1" spans="1:67">
      <c r="A51" s="120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>
        <v>1</v>
      </c>
      <c r="BC51" s="120"/>
      <c r="BD51" s="120"/>
      <c r="BE51" s="120"/>
      <c r="BF51" s="120"/>
      <c r="BG51" s="120"/>
      <c r="BH51" s="120"/>
      <c r="BI51" s="188">
        <f t="shared" si="4"/>
        <v>1</v>
      </c>
      <c r="BJ51" s="188" cm="1">
        <f t="array" ref="BJ51">SUMPRODUCT(--(B51:BH51=INT(B51:BH51)),--(B51:BH51&gt;0))</f>
        <v>1</v>
      </c>
      <c r="BK51" s="188" cm="1">
        <f t="array" ref="BK51">MAX(FREQUENCY(IF((B51:BH51=INT(B51:BH51))*(B51:BH51&gt;0),COLUMN(B51:BH51)),IF((B51:BH51&lt;&gt;INT(B51:BH51))+(B51:BH51&lt;=0),COLUMN(B51:BH51))))</f>
        <v>1</v>
      </c>
      <c r="BL51" s="189" cm="1">
        <f t="array" ref="BL51">SUMPRODUCT(--(B51:BA51=INT(B51:BA51)),--(B51:BA51&gt;0))/52*100%</f>
        <v>0</v>
      </c>
      <c r="BM51" s="190">
        <f t="shared" si="0"/>
        <v>38</v>
      </c>
      <c r="BN51" s="190">
        <f t="shared" si="1"/>
        <v>38</v>
      </c>
      <c r="BO51" s="190">
        <f t="shared" si="2"/>
        <v>27</v>
      </c>
    </row>
    <row r="52" customHeight="1" spans="1:67">
      <c r="A52" s="117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20"/>
      <c r="BE52" s="120"/>
      <c r="BF52" s="120"/>
      <c r="BG52" s="120"/>
      <c r="BH52" s="120"/>
      <c r="BI52" s="188">
        <f t="shared" si="4"/>
        <v>0</v>
      </c>
      <c r="BJ52" s="188" cm="1">
        <f t="array" ref="BJ52">SUMPRODUCT(--(B52:BH52=INT(B52:BH52)),--(B52:BH52&gt;0))</f>
        <v>0</v>
      </c>
      <c r="BK52" s="188" cm="1">
        <f t="array" ref="BK52">MAX(FREQUENCY(IF((B52:BH52=INT(B52:BH52))*(B52:BH52&gt;0),COLUMN(B52:BH52)),IF((B52:BH52&lt;&gt;INT(B52:BH52))+(B52:BH52&lt;=0),COLUMN(B52:BH52))))</f>
        <v>0</v>
      </c>
      <c r="BL52" s="189" cm="1">
        <f t="array" ref="BL52">SUMPRODUCT(--(B52:BA52=INT(B52:BA52)),--(B52:BA52&gt;0))/52*100%</f>
        <v>0</v>
      </c>
      <c r="BM52" s="190">
        <f t="shared" si="0"/>
        <v>43</v>
      </c>
      <c r="BN52" s="190">
        <f t="shared" si="1"/>
        <v>43</v>
      </c>
      <c r="BO52" s="190">
        <f t="shared" si="2"/>
        <v>43</v>
      </c>
    </row>
    <row r="53" customHeight="1" spans="1:67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>
        <v>1</v>
      </c>
      <c r="BD53" s="120"/>
      <c r="BE53" s="120"/>
      <c r="BF53" s="120"/>
      <c r="BG53" s="120"/>
      <c r="BH53" s="120"/>
      <c r="BI53" s="188">
        <f t="shared" si="4"/>
        <v>2</v>
      </c>
      <c r="BJ53" s="188" cm="1">
        <f t="array" ref="BJ53">SUMPRODUCT(--(B53:BH53=INT(B53:BH53)),--(B53:BH53&gt;0))</f>
        <v>2</v>
      </c>
      <c r="BK53" s="188" cm="1">
        <f t="array" ref="BK53">MAX(FREQUENCY(IF((B53:BH53=INT(B53:BH53))*(B53:BH53&gt;0),COLUMN(B53:BH53)),IF((B53:BH53&lt;&gt;INT(B53:BH53))+(B53:BH53&lt;=0),COLUMN(B53:BH53))))</f>
        <v>1</v>
      </c>
      <c r="BL53" s="189" cm="1">
        <f t="array" ref="BL53">SUMPRODUCT(--(B53:BA53=INT(B53:BA53)),--(B53:BA53&gt;0))/52*100%</f>
        <v>0.0192307692307692</v>
      </c>
      <c r="BM53" s="190">
        <f t="shared" si="0"/>
        <v>35</v>
      </c>
      <c r="BN53" s="190">
        <f t="shared" si="1"/>
        <v>34</v>
      </c>
      <c r="BO53" s="190">
        <f t="shared" si="2"/>
        <v>27</v>
      </c>
    </row>
    <row r="54" s="175" customFormat="1" ht="28" spans="1:67">
      <c r="A54" s="193" t="s">
        <v>355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0</v>
      </c>
      <c r="BH54" s="17" cm="1">
        <f t="array" ref="BH54">SUMPRODUCT(--(BH3:BH53=INT(BH3:BH53)),--(BH3:BH53&gt;0))</f>
        <v>0</v>
      </c>
      <c r="BI54" s="194" t="s">
        <v>356</v>
      </c>
      <c r="BJ54" s="195"/>
      <c r="BK54" s="195"/>
      <c r="BL54" s="195"/>
      <c r="BM54" s="195"/>
      <c r="BN54" s="195"/>
      <c r="BO54" s="196"/>
    </row>
    <row r="55" s="175" customFormat="1" ht="28" spans="1:67">
      <c r="A55" s="193" t="s">
        <v>357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0</v>
      </c>
      <c r="BH55" s="17">
        <f t="shared" si="6"/>
        <v>0</v>
      </c>
      <c r="BI55" s="197"/>
      <c r="BJ55" s="198"/>
      <c r="BK55" s="198"/>
      <c r="BL55" s="198"/>
      <c r="BM55" s="198"/>
      <c r="BN55" s="198"/>
      <c r="BO55" s="199"/>
    </row>
    <row r="57" spans="1:67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</row>
  </sheetData>
  <mergeCells count="7">
    <mergeCell ref="B1:S1"/>
    <mergeCell ref="T1:AI1"/>
    <mergeCell ref="AJ1:AL1"/>
    <mergeCell ref="AM1:BH1"/>
    <mergeCell ref="BI1:BO1"/>
    <mergeCell ref="A1:A2"/>
    <mergeCell ref="BI54:BO55"/>
  </mergeCells>
  <conditionalFormatting sqref="B54:BH54">
    <cfRule type="colorScale" priority="63">
      <colorScale>
        <cfvo type="min"/>
        <cfvo type="max"/>
        <color theme="6" tint="0.8"/>
        <color theme="6" tint="-0.25"/>
      </colorScale>
    </cfRule>
  </conditionalFormatting>
  <conditionalFormatting sqref="B55:BH55">
    <cfRule type="colorScale" priority="62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192">
      <colorScale>
        <cfvo type="min"/>
        <cfvo type="max"/>
        <color theme="4" tint="0.8"/>
        <color theme="4" tint="-0.25"/>
      </colorScale>
    </cfRule>
    <cfRule type="colorScale" priority="193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79">
      <colorScale>
        <cfvo type="min"/>
        <cfvo type="max"/>
        <color theme="4" tint="0.8"/>
        <color theme="4" tint="-0.25"/>
      </colorScale>
    </cfRule>
    <cfRule type="colorScale" priority="191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78">
      <colorScale>
        <cfvo type="min"/>
        <cfvo type="max"/>
        <color theme="4" tint="0.8"/>
        <color theme="4" tint="-0.25"/>
      </colorScale>
    </cfRule>
    <cfRule type="colorScale" priority="190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77">
      <colorScale>
        <cfvo type="min"/>
        <cfvo type="max"/>
        <color theme="4" tint="0.8"/>
        <color theme="4" tint="-0.25"/>
      </colorScale>
    </cfRule>
    <cfRule type="colorScale" priority="189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76">
      <colorScale>
        <cfvo type="min"/>
        <cfvo type="max"/>
        <color theme="4" tint="0.8"/>
        <color theme="4" tint="-0.25"/>
      </colorScale>
    </cfRule>
    <cfRule type="colorScale" priority="188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75">
      <colorScale>
        <cfvo type="min"/>
        <cfvo type="max"/>
        <color theme="4" tint="0.8"/>
        <color theme="4" tint="-0.25"/>
      </colorScale>
    </cfRule>
    <cfRule type="colorScale" priority="187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74">
      <colorScale>
        <cfvo type="min"/>
        <cfvo type="max"/>
        <color theme="4" tint="0.8"/>
        <color theme="4" tint="-0.25"/>
      </colorScale>
    </cfRule>
    <cfRule type="colorScale" priority="186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73">
      <colorScale>
        <cfvo type="min"/>
        <cfvo type="max"/>
        <color theme="4" tint="0.8"/>
        <color theme="4" tint="-0.25"/>
      </colorScale>
    </cfRule>
    <cfRule type="colorScale" priority="185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72">
      <colorScale>
        <cfvo type="min"/>
        <cfvo type="max"/>
        <color theme="4" tint="0.8"/>
        <color theme="4" tint="-0.25"/>
      </colorScale>
    </cfRule>
    <cfRule type="colorScale" priority="184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71">
      <colorScale>
        <cfvo type="min"/>
        <cfvo type="max"/>
        <color theme="4" tint="0.8"/>
        <color theme="4" tint="-0.25"/>
      </colorScale>
    </cfRule>
    <cfRule type="colorScale" priority="183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70">
      <colorScale>
        <cfvo type="min"/>
        <cfvo type="max"/>
        <color theme="4" tint="0.8"/>
        <color theme="4" tint="-0.25"/>
      </colorScale>
    </cfRule>
    <cfRule type="colorScale" priority="182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69">
      <colorScale>
        <cfvo type="min"/>
        <cfvo type="max"/>
        <color theme="4" tint="0.8"/>
        <color theme="4" tint="-0.25"/>
      </colorScale>
    </cfRule>
    <cfRule type="colorScale" priority="181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68">
      <colorScale>
        <cfvo type="min"/>
        <cfvo type="max"/>
        <color theme="4" tint="0.8"/>
        <color theme="4" tint="-0.25"/>
      </colorScale>
    </cfRule>
    <cfRule type="colorScale" priority="180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1">
      <colorScale>
        <cfvo type="min"/>
        <cfvo type="max"/>
        <color theme="4" tint="-0.25"/>
        <color theme="4" tint="0.8"/>
      </colorScale>
    </cfRule>
    <cfRule type="colorScale" priority="157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/>
        <color theme="4" tint="0.8"/>
      </colorScale>
    </cfRule>
    <cfRule type="colorScale" priority="149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60">
      <colorScale>
        <cfvo type="min"/>
        <cfvo type="max"/>
        <color theme="4" tint="-0.25"/>
        <color theme="4" tint="0.8"/>
      </colorScale>
    </cfRule>
    <cfRule type="colorScale" priority="156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/>
        <color theme="4" tint="0.8"/>
      </colorScale>
    </cfRule>
    <cfRule type="colorScale" priority="148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7">
      <colorScale>
        <cfvo type="min"/>
        <cfvo type="max"/>
        <color theme="4" tint="0.8"/>
        <color theme="4"/>
      </colorScale>
    </cfRule>
    <cfRule type="colorScale" priority="151">
      <colorScale>
        <cfvo type="min"/>
        <cfvo type="max"/>
        <color theme="4"/>
        <color theme="4" tint="0.8"/>
      </colorScale>
    </cfRule>
    <cfRule type="colorScale" priority="155">
      <colorScale>
        <cfvo type="min"/>
        <cfvo type="max"/>
        <color theme="4" tint="0.8"/>
        <color theme="4" tint="-0.25"/>
      </colorScale>
    </cfRule>
    <cfRule type="colorScale" priority="159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142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141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140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139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138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137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136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135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134">
      <colorScale>
        <cfvo type="min"/>
        <cfvo type="max"/>
        <color theme="4" tint="-0.25"/>
        <color theme="4" tint="0.8"/>
      </colorScale>
    </cfRule>
    <cfRule type="colorScale" priority="114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133">
      <colorScale>
        <cfvo type="min"/>
        <cfvo type="max"/>
        <color theme="4" tint="-0.25"/>
        <color theme="4" tint="0.8"/>
      </colorScale>
    </cfRule>
    <cfRule type="colorScale" priority="113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132">
      <colorScale>
        <cfvo type="min"/>
        <cfvo type="max"/>
        <color theme="4" tint="-0.25"/>
        <color theme="4" tint="0.8"/>
      </colorScale>
    </cfRule>
    <cfRule type="colorScale" priority="112">
      <colorScale>
        <cfvo type="min"/>
        <cfvo type="max"/>
        <color theme="4" tint="0.8"/>
        <color theme="4" tint="-0.25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131">
      <colorScale>
        <cfvo type="min"/>
        <cfvo type="max"/>
        <color theme="4" tint="-0.25"/>
        <color theme="4" tint="0.8"/>
      </colorScale>
    </cfRule>
    <cfRule type="colorScale" priority="111">
      <colorScale>
        <cfvo type="min"/>
        <cfvo type="max"/>
        <color theme="4" tint="0.8"/>
        <color theme="4" tint="-0.25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130">
      <colorScale>
        <cfvo type="min"/>
        <cfvo type="max"/>
        <color theme="4" tint="-0.25"/>
        <color theme="4" tint="0.8"/>
      </colorScale>
    </cfRule>
    <cfRule type="colorScale" priority="110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70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129">
      <colorScale>
        <cfvo type="min"/>
        <cfvo type="max"/>
        <color theme="4" tint="-0.25"/>
        <color theme="4" tint="0.8"/>
      </colorScale>
    </cfRule>
    <cfRule type="colorScale" priority="109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69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128">
      <colorScale>
        <cfvo type="min"/>
        <cfvo type="max"/>
        <color theme="4" tint="-0.25"/>
        <color theme="4" tint="0.8"/>
      </colorScale>
    </cfRule>
    <cfRule type="colorScale" priority="108">
      <colorScale>
        <cfvo type="min"/>
        <cfvo type="max"/>
        <color theme="4" tint="0.8"/>
        <color theme="4" tint="-0.25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68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127">
      <colorScale>
        <cfvo type="min"/>
        <cfvo type="max"/>
        <color theme="4" tint="-0.25"/>
        <color theme="4" tint="0.8"/>
      </colorScale>
    </cfRule>
    <cfRule type="colorScale" priority="107">
      <colorScale>
        <cfvo type="min"/>
        <cfvo type="max"/>
        <color theme="4" tint="0.8"/>
        <color theme="4" tint="-0.25"/>
      </colorScale>
    </cfRule>
    <cfRule type="colorScale" priority="87">
      <colorScale>
        <cfvo type="min"/>
        <cfvo type="max"/>
        <color theme="4"/>
        <color theme="4" tint="0.8"/>
      </colorScale>
    </cfRule>
    <cfRule type="colorScale" priority="67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6">
      <colorScale>
        <cfvo type="min"/>
        <cfvo type="max"/>
        <color theme="4" tint="0.8"/>
        <color theme="4"/>
      </colorScale>
    </cfRule>
    <cfRule type="colorScale" priority="86">
      <colorScale>
        <cfvo type="min"/>
        <cfvo type="max"/>
        <color theme="4"/>
        <color theme="4" tint="0.8"/>
      </colorScale>
    </cfRule>
    <cfRule type="colorScale" priority="106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6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31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5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26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6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30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5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25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5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29">
      <colorScale>
        <cfvo type="min"/>
        <cfvo type="max"/>
        <color theme="4" tint="0.8"/>
        <color theme="4"/>
      </colorScale>
    </cfRule>
    <cfRule type="colorScale" priority="14">
      <colorScale>
        <cfvo type="num" val="1"/>
        <cfvo type="num" val="3"/>
        <color theme="4" tint="0.8"/>
        <color theme="4" tint="-0.25"/>
      </colorScale>
    </cfRule>
  </conditionalFormatting>
  <conditionalFormatting sqref="BH26:BH53">
    <cfRule type="colorScale" priority="19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66">
      <colorScale>
        <cfvo type="min"/>
        <cfvo type="max"/>
        <color theme="9" tint="-0.5"/>
        <color theme="9" tint="0.8"/>
      </colorScale>
    </cfRule>
    <cfRule type="colorScale" priority="167">
      <colorScale>
        <cfvo type="min"/>
        <cfvo type="max"/>
        <color rgb="FFFF7128"/>
        <color rgb="FFFFEF9C"/>
      </colorScale>
    </cfRule>
  </conditionalFormatting>
  <conditionalFormatting sqref="BN3:BN53">
    <cfRule type="colorScale" priority="165">
      <colorScale>
        <cfvo type="min"/>
        <cfvo type="max"/>
        <color theme="9" tint="-0.5"/>
        <color theme="9" tint="0.8"/>
      </colorScale>
    </cfRule>
  </conditionalFormatting>
  <conditionalFormatting sqref="BO3:BO53">
    <cfRule type="colorScale" priority="164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94">
      <colorScale>
        <cfvo type="min"/>
        <cfvo type="max"/>
        <color theme="4" tint="0.8"/>
        <color theme="4" tint="-0.25"/>
      </colorScale>
    </cfRule>
    <cfRule type="colorScale" priority="195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62">
      <colorScale>
        <cfvo type="min"/>
        <cfvo type="max"/>
        <color theme="4" tint="0.8"/>
        <color theme="4"/>
      </colorScale>
    </cfRule>
    <cfRule type="colorScale" priority="163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64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16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15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1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0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BM7:BO8 Z4:AE4 Z10:AF10 Z15 AB15:AE15 A16:AF16 A8:V8 X8:AF8 Z9:AB9 AD9:AF9 A26:AF27 A42:X42 BM25:BO27 A9:X9 A5:AF5 BM38:BO38 BM11:BO11" unlockedFormula="1"/>
    <ignoredError sqref="Z41:AE42 BM28:BO28 A24:X25 A12:X15 A10:X10 A6:AF7 A3:X4 BI1:BO2 A51:AF51 A2:AF2 Z48:AB48 AE48 A47:AF47 AF46 AC46:AD46 AC46:AD46 AA46 AA46 A46:X46 A45:AF45 AF44 Z44:AD44 Z44:AD44 A44:W44 A43:AF43 A40:V40 AC40:AD40 AC40:AD40 X41 A37:AF37 BN35:BO35 Z36:AF36 Z36:AF36 A36:X36 A36:X36 A34:AF35 A34:AF35 BM39:BO39 BM38:BO39 A39:AF39 A39:AF39 AD38:AF38 Z38:AB38 Z38:AB38 A38:X38 A32:X32 Z29:AF29 A28:X28 Z24:AF24 A23:AF23 AF22 AA22:AD22 AA22:AD22 A22:X22 A19:AF21 Z17:AF18 A17:X18 BM12:BO14 Z12:AF12 Z12:AF12 Z13 Z13 AB13:AF13 AB13:AF13 Z14:AF14 Z14:AF14 AE11 AB11:AC11 AB11:AC11 A11:Z11 BN9:BO9 BM4:BO4 Z3:AF3 BN3 BN3 U1:AF1 C1:S1 C1:S1 A1 AA52:AF52 Y52 Y52 V52 V52 P52 P52 A52 A53:AF53 AF50 A50:AD50 A49:X49 Z49:AF49" formulaRange="1" unlockedFormula="1"/>
    <ignoredError sqref="AF41:BO41 A30:BO31 BG24:BL24 BG10:BO10 BG5:BO5 A54:BO57 BG48:BO48 BG46:BO46 BG44:BO44 BG42:BO42 BG32:BO32 BG22:BO22 BG15:BO16 AG49:BO53 BG28:BL28 AG1:BH2 A48:Y48 AC48:AD48 AF48:BE48 AG47:BO47 Y46:AE46 AG46:BE46 AG45:BO45 X44:AE44 AG44:BE44 AG43:BO43 A39:BO39 W40:BO40 A41:W41 Y41 AG37:BO37 A33:BO34 A35:BM35 A36:BO36 AG38:BO38 Y38:AC38 Y32:BE32 A29:Y29 AG29:BO29 Y28:BE28 Y24 AG24:BE24 AG23:BO23 Y22:AE22 AG22:BE22 AG17:BO21 Y17:Y18 Y12:BL14 AA11:AD11 AF11:BL11 BG9:BM9 BG4:BL4 Y3 AG3:BO3 B1:T1 B52:Z52 AE50 Y49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8"/>
      <c r="B1" s="149" t="s">
        <v>1</v>
      </c>
      <c r="C1" s="149"/>
      <c r="D1" s="150" t="s">
        <v>2</v>
      </c>
      <c r="E1" s="151"/>
      <c r="F1" s="152"/>
      <c r="G1" s="149" t="s">
        <v>3</v>
      </c>
      <c r="H1" s="149" t="s">
        <v>4</v>
      </c>
      <c r="I1" s="149" t="s">
        <v>5</v>
      </c>
      <c r="J1" s="149" t="s">
        <v>6</v>
      </c>
    </row>
    <row r="2" ht="16.5" spans="1:10">
      <c r="A2" s="149" t="s">
        <v>358</v>
      </c>
      <c r="B2" s="153" t="s">
        <v>359</v>
      </c>
      <c r="C2" s="154" t="s">
        <v>360</v>
      </c>
      <c r="D2" s="155"/>
      <c r="E2" s="153" t="s">
        <v>359</v>
      </c>
      <c r="F2" s="153"/>
      <c r="G2" s="156" t="s">
        <v>361</v>
      </c>
      <c r="H2" s="148"/>
      <c r="I2" s="148"/>
      <c r="J2" s="157"/>
    </row>
    <row r="3" ht="16.5" spans="1:10">
      <c r="A3" s="149" t="s">
        <v>362</v>
      </c>
      <c r="B3" s="158" t="s">
        <v>363</v>
      </c>
      <c r="C3" s="158"/>
      <c r="D3" s="158"/>
      <c r="E3" s="158"/>
      <c r="F3" s="158"/>
      <c r="G3" s="158"/>
      <c r="H3" s="148"/>
      <c r="I3" s="148"/>
      <c r="J3" s="157"/>
    </row>
    <row r="4" ht="16.5" spans="1:10">
      <c r="A4" s="149" t="s">
        <v>364</v>
      </c>
      <c r="B4" s="159" t="s">
        <v>257</v>
      </c>
      <c r="C4" s="159"/>
      <c r="D4" s="159"/>
      <c r="E4" s="159"/>
      <c r="F4" s="159"/>
      <c r="G4" s="159"/>
      <c r="H4" s="148"/>
      <c r="I4" s="148"/>
      <c r="J4" s="157"/>
    </row>
    <row r="5" ht="16.5" spans="1:10">
      <c r="A5" s="149" t="s">
        <v>365</v>
      </c>
      <c r="B5" s="160">
        <v>1</v>
      </c>
      <c r="C5" s="160"/>
      <c r="D5" s="161">
        <v>2</v>
      </c>
      <c r="E5" s="161"/>
      <c r="F5" s="161"/>
      <c r="G5" s="160">
        <v>3</v>
      </c>
      <c r="H5" s="148"/>
      <c r="I5" s="148"/>
      <c r="J5" s="157"/>
    </row>
    <row r="6" ht="16.5" spans="1:10">
      <c r="A6" s="149" t="s">
        <v>366</v>
      </c>
      <c r="B6" s="162">
        <v>1</v>
      </c>
      <c r="C6" s="162"/>
      <c r="D6" s="162"/>
      <c r="E6" s="162"/>
      <c r="F6" s="162"/>
      <c r="G6" s="163" t="s">
        <v>367</v>
      </c>
      <c r="H6" s="148"/>
      <c r="I6" s="148"/>
      <c r="J6" s="157"/>
    </row>
    <row r="7" ht="16.5" spans="1:10">
      <c r="A7" s="149" t="s">
        <v>368</v>
      </c>
      <c r="B7" s="164" t="s">
        <v>369</v>
      </c>
      <c r="C7" s="164"/>
      <c r="D7" s="164"/>
      <c r="E7" s="164"/>
      <c r="F7" s="164"/>
      <c r="G7" s="165">
        <v>2</v>
      </c>
      <c r="H7" s="148"/>
      <c r="I7" s="148"/>
      <c r="J7" s="157"/>
    </row>
    <row r="8" ht="16.5" spans="1:10">
      <c r="A8" s="149" t="s">
        <v>370</v>
      </c>
      <c r="B8" s="166">
        <v>1</v>
      </c>
      <c r="C8" s="166"/>
      <c r="D8" s="167" t="s">
        <v>371</v>
      </c>
      <c r="E8" s="167"/>
      <c r="F8" s="167"/>
      <c r="G8" s="166"/>
      <c r="H8" s="148"/>
      <c r="I8" s="148"/>
      <c r="J8" s="157"/>
    </row>
    <row r="9" ht="16.5" spans="1:10">
      <c r="A9" s="149" t="s">
        <v>372</v>
      </c>
      <c r="B9" s="153" t="s">
        <v>373</v>
      </c>
      <c r="C9" s="153"/>
      <c r="D9" s="153"/>
      <c r="E9" s="153"/>
      <c r="F9" s="153"/>
      <c r="G9" s="153"/>
      <c r="H9" s="148"/>
      <c r="I9" s="148"/>
      <c r="J9" s="157"/>
    </row>
    <row r="10" ht="16.5" spans="1:10">
      <c r="A10" s="149" t="s">
        <v>374</v>
      </c>
      <c r="B10" s="158">
        <v>1</v>
      </c>
      <c r="C10" s="158"/>
      <c r="D10" s="168" t="s">
        <v>375</v>
      </c>
      <c r="E10" s="158">
        <v>1</v>
      </c>
      <c r="F10" s="168" t="s">
        <v>375</v>
      </c>
      <c r="G10" s="148" t="s">
        <v>376</v>
      </c>
      <c r="H10" s="148"/>
      <c r="I10" s="148"/>
      <c r="J10" s="157"/>
    </row>
    <row r="11" ht="16.5" spans="1:10">
      <c r="A11" s="149" t="s">
        <v>377</v>
      </c>
      <c r="B11" s="159">
        <v>1</v>
      </c>
      <c r="C11" s="159"/>
      <c r="D11" s="159"/>
      <c r="E11" s="159"/>
      <c r="F11" s="159"/>
      <c r="G11" s="159"/>
      <c r="H11" s="148"/>
      <c r="I11" s="148"/>
      <c r="J11" s="157"/>
    </row>
    <row r="12" ht="16.5" spans="1:10">
      <c r="A12" s="149" t="s">
        <v>378</v>
      </c>
      <c r="B12" s="160">
        <v>1</v>
      </c>
      <c r="C12" s="160"/>
      <c r="D12" s="160"/>
      <c r="E12" s="160"/>
      <c r="F12" s="160"/>
      <c r="G12" s="161">
        <v>2</v>
      </c>
      <c r="H12" s="148"/>
      <c r="I12" s="148"/>
      <c r="J12" s="157"/>
    </row>
    <row r="13" s="1" customFormat="1" ht="16.5" spans="1:10">
      <c r="A13" s="149" t="s">
        <v>379</v>
      </c>
      <c r="B13" s="2" t="s">
        <v>376</v>
      </c>
      <c r="C13" s="2"/>
      <c r="D13" s="2"/>
      <c r="E13" s="2"/>
      <c r="F13" s="2"/>
      <c r="G13" s="169" t="s">
        <v>380</v>
      </c>
      <c r="H13" s="1"/>
      <c r="I13" s="1"/>
      <c r="J13" s="170"/>
    </row>
    <row r="14" s="1" customFormat="1" ht="16.5" spans="1:10">
      <c r="A14" s="149" t="s">
        <v>381</v>
      </c>
      <c r="B14" s="171" t="s">
        <v>376</v>
      </c>
      <c r="C14" s="171"/>
      <c r="D14" s="171"/>
      <c r="E14" s="171"/>
      <c r="F14" s="171"/>
      <c r="G14" s="171"/>
      <c r="H14" s="171"/>
      <c r="I14" s="172"/>
      <c r="J14" s="173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382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383</v>
      </c>
      <c r="B2" s="126" t="s">
        <v>384</v>
      </c>
      <c r="C2" s="127" t="s">
        <v>7</v>
      </c>
      <c r="D2" s="128"/>
      <c r="E2" s="128"/>
      <c r="F2" s="128"/>
      <c r="G2" s="129"/>
    </row>
    <row r="3" s="118" customFormat="1" spans="1:9">
      <c r="A3" s="130"/>
      <c r="B3" s="126" t="s">
        <v>385</v>
      </c>
      <c r="C3" s="127" t="s">
        <v>30</v>
      </c>
      <c r="D3" s="128"/>
      <c r="E3" s="128"/>
      <c r="F3" s="128"/>
      <c r="G3" s="129"/>
    </row>
    <row r="4" s="118" customFormat="1" spans="1:9">
      <c r="A4" s="130"/>
      <c r="B4" s="126"/>
      <c r="C4" s="127" t="s">
        <v>24</v>
      </c>
      <c r="D4" s="128"/>
      <c r="E4" s="128"/>
      <c r="F4" s="128"/>
      <c r="G4" s="129"/>
    </row>
    <row r="5" s="118" customFormat="1" spans="1:9">
      <c r="A5" s="130"/>
      <c r="B5" s="126" t="s">
        <v>386</v>
      </c>
      <c r="C5" s="127" t="s">
        <v>33</v>
      </c>
      <c r="D5" s="128"/>
      <c r="E5" s="128"/>
      <c r="F5" s="128"/>
      <c r="G5" s="129"/>
    </row>
    <row r="6" s="118" customFormat="1" spans="1:9">
      <c r="A6" s="130"/>
      <c r="B6" s="126" t="s">
        <v>387</v>
      </c>
      <c r="C6" s="15" t="s">
        <v>20</v>
      </c>
      <c r="D6" s="131" t="s">
        <v>104</v>
      </c>
      <c r="E6" s="132"/>
      <c r="F6" s="132"/>
      <c r="G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2"/>
      <c r="G7" s="133"/>
    </row>
    <row r="8" s="118" customFormat="1" spans="1:9">
      <c r="A8" s="130"/>
      <c r="B8" s="126" t="s">
        <v>388</v>
      </c>
      <c r="C8" s="15" t="s">
        <v>15</v>
      </c>
      <c r="D8" s="131" t="s">
        <v>84</v>
      </c>
      <c r="E8" s="132"/>
      <c r="F8" s="132"/>
      <c r="G8" s="133"/>
    </row>
    <row r="9" s="118" customFormat="1" spans="1:9">
      <c r="A9" s="130"/>
      <c r="B9" s="126" t="s">
        <v>389</v>
      </c>
      <c r="C9" s="127" t="s">
        <v>26</v>
      </c>
      <c r="D9" s="128"/>
      <c r="E9" s="128"/>
      <c r="F9" s="128"/>
      <c r="G9" s="129"/>
    </row>
    <row r="10" s="118" customFormat="1" spans="1:9">
      <c r="A10" s="130"/>
      <c r="B10" s="126" t="s">
        <v>390</v>
      </c>
      <c r="C10" s="127" t="s">
        <v>36</v>
      </c>
      <c r="D10" s="128"/>
      <c r="E10" s="128"/>
      <c r="F10" s="128"/>
      <c r="G10" s="129"/>
    </row>
    <row r="11" s="118" customFormat="1" spans="1:9">
      <c r="A11" s="134"/>
      <c r="B11" s="126" t="s">
        <v>391</v>
      </c>
      <c r="C11" s="127" t="s">
        <v>72</v>
      </c>
      <c r="D11" s="128"/>
      <c r="E11" s="128"/>
      <c r="F11" s="128"/>
      <c r="G11" s="129"/>
    </row>
    <row r="12" s="119" customFormat="1" spans="1:9">
      <c r="A12" s="135" t="s">
        <v>392</v>
      </c>
      <c r="B12" s="136" t="s">
        <v>393</v>
      </c>
      <c r="C12" s="137" t="s">
        <v>91</v>
      </c>
      <c r="D12" s="138"/>
      <c r="E12" s="139" t="s">
        <v>20</v>
      </c>
      <c r="F12" s="140"/>
      <c r="G12" s="141"/>
    </row>
    <row r="13" s="119" customFormat="1" spans="1:9">
      <c r="A13" s="142"/>
      <c r="B13" s="136"/>
      <c r="C13" s="137" t="s">
        <v>40</v>
      </c>
      <c r="D13" s="143"/>
      <c r="E13" s="143"/>
      <c r="F13" s="143"/>
      <c r="G13" s="138"/>
    </row>
    <row r="14" s="119" customFormat="1" spans="1:9">
      <c r="A14" s="142"/>
      <c r="B14" s="136" t="s">
        <v>394</v>
      </c>
      <c r="C14" s="137" t="s">
        <v>395</v>
      </c>
      <c r="D14" s="143"/>
      <c r="E14" s="138"/>
      <c r="F14" s="140" t="s">
        <v>36</v>
      </c>
      <c r="G14" s="141"/>
    </row>
    <row r="15" s="119" customFormat="1" spans="1:9">
      <c r="A15" s="142"/>
      <c r="B15" s="136" t="s">
        <v>396</v>
      </c>
      <c r="C15" s="137" t="s">
        <v>10</v>
      </c>
      <c r="D15" s="143"/>
      <c r="E15" s="143"/>
      <c r="F15" s="143"/>
      <c r="G15" s="138"/>
    </row>
    <row r="16" s="119" customFormat="1" spans="1:9">
      <c r="A16" s="142"/>
      <c r="B16" s="136"/>
      <c r="C16" s="137" t="s">
        <v>13</v>
      </c>
      <c r="D16" s="143"/>
      <c r="E16" s="143"/>
      <c r="F16" s="143"/>
      <c r="G16" s="138"/>
    </row>
    <row r="17" s="119" customFormat="1" spans="1:7">
      <c r="A17" s="142"/>
      <c r="B17" s="136" t="s">
        <v>397</v>
      </c>
      <c r="C17" s="137" t="s">
        <v>29</v>
      </c>
      <c r="D17" s="143"/>
      <c r="E17" s="143"/>
      <c r="F17" s="143"/>
      <c r="G17" s="138"/>
    </row>
    <row r="18" s="119" customFormat="1" spans="1:7">
      <c r="A18" s="142"/>
      <c r="B18" s="136" t="s">
        <v>398</v>
      </c>
      <c r="C18" s="137" t="s">
        <v>44</v>
      </c>
      <c r="D18" s="143"/>
      <c r="E18" s="143"/>
      <c r="F18" s="143"/>
      <c r="G18" s="138"/>
    </row>
    <row r="19" s="119" customFormat="1" spans="1:7">
      <c r="A19" s="142"/>
      <c r="B19" s="136" t="s">
        <v>399</v>
      </c>
      <c r="C19" s="137" t="s">
        <v>84</v>
      </c>
      <c r="D19" s="143"/>
      <c r="E19" s="143"/>
      <c r="F19" s="143"/>
      <c r="G19" s="138"/>
    </row>
    <row r="20" s="119" customFormat="1" spans="1:7">
      <c r="A20" s="142"/>
      <c r="B20" s="136" t="s">
        <v>400</v>
      </c>
      <c r="C20" s="137" t="s">
        <v>87</v>
      </c>
      <c r="D20" s="143"/>
      <c r="E20" s="143"/>
      <c r="F20" s="143"/>
      <c r="G20" s="138"/>
    </row>
    <row r="21" s="119" customFormat="1" spans="1:7">
      <c r="A21" s="142"/>
      <c r="B21" s="136" t="s">
        <v>401</v>
      </c>
      <c r="C21" s="144"/>
      <c r="D21" s="145"/>
      <c r="E21" s="139" t="s">
        <v>27</v>
      </c>
      <c r="F21" s="140"/>
      <c r="G21" s="141"/>
    </row>
    <row r="22" s="119" customFormat="1" spans="1:7">
      <c r="A22" s="146"/>
      <c r="B22" s="136" t="s">
        <v>402</v>
      </c>
      <c r="C22" s="144"/>
      <c r="D22" s="147"/>
      <c r="E22" s="147"/>
      <c r="F22" s="147"/>
      <c r="G22" s="145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2"/>
  <sheetViews>
    <sheetView workbookViewId="0">
      <selection activeCell="L40" sqref="L4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403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404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405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406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  <row r="27" customHeight="1" spans="1:9">
      <c r="A27" s="100" t="s">
        <v>407</v>
      </c>
      <c r="B27" s="101"/>
      <c r="C27" s="102"/>
      <c r="D27" s="103"/>
      <c r="E27" s="103"/>
      <c r="F27" s="104"/>
      <c r="G27" s="104"/>
      <c r="H27" s="105"/>
      <c r="I27" s="105"/>
    </row>
    <row r="28" customHeight="1" spans="1:9">
      <c r="A28" s="106"/>
      <c r="B28" s="114"/>
      <c r="C28" s="102"/>
      <c r="D28" s="103"/>
      <c r="E28" s="103"/>
      <c r="F28" s="104"/>
      <c r="G28" s="104"/>
      <c r="H28" s="105"/>
      <c r="I28" s="105"/>
    </row>
    <row r="29" customHeight="1" spans="1:9">
      <c r="A29" s="106"/>
      <c r="B29" s="102"/>
      <c r="C29" s="102"/>
      <c r="D29" s="103"/>
      <c r="E29" s="103"/>
      <c r="F29" s="104"/>
      <c r="G29" s="104"/>
      <c r="H29" s="105"/>
      <c r="I29" s="105"/>
    </row>
    <row r="30" customHeight="1" spans="1:9">
      <c r="A30" s="106"/>
      <c r="B30" s="102"/>
      <c r="C30" s="102"/>
      <c r="D30" s="103"/>
      <c r="E30" s="103"/>
      <c r="F30" s="104"/>
      <c r="G30" s="104"/>
      <c r="H30" s="105"/>
      <c r="I30" s="105"/>
    </row>
    <row r="31" customHeight="1" spans="1:9">
      <c r="A31" s="106"/>
      <c r="B31" s="102"/>
      <c r="C31" s="102"/>
      <c r="D31" s="103"/>
      <c r="E31" s="103"/>
      <c r="F31" s="104"/>
      <c r="G31" s="104"/>
      <c r="H31" s="105"/>
      <c r="I31" s="105"/>
    </row>
    <row r="32" customHeight="1" spans="1:9">
      <c r="A32" s="106"/>
      <c r="B32" s="102"/>
      <c r="C32" s="102"/>
      <c r="D32" s="103"/>
      <c r="E32" s="103"/>
      <c r="F32" s="104"/>
      <c r="G32" s="104"/>
      <c r="H32" s="105"/>
      <c r="I32" s="105"/>
    </row>
    <row r="33" customHeight="1" spans="1:9">
      <c r="A33" s="106"/>
      <c r="B33" s="102"/>
      <c r="C33" s="102"/>
      <c r="D33" s="103"/>
      <c r="E33" s="103"/>
      <c r="F33" s="104"/>
      <c r="G33" s="104"/>
      <c r="H33" s="105"/>
      <c r="I33" s="105"/>
    </row>
    <row r="34" customHeight="1" spans="1:9">
      <c r="A34" s="107"/>
      <c r="B34" s="115"/>
      <c r="C34" s="116"/>
      <c r="D34" s="110"/>
      <c r="E34" s="111"/>
      <c r="F34" s="112"/>
      <c r="G34" s="112"/>
      <c r="H34" s="112"/>
      <c r="I34" s="113"/>
    </row>
    <row r="35" customHeight="1" spans="1:9">
      <c r="A35" s="100" t="s">
        <v>408</v>
      </c>
      <c r="B35" s="101"/>
      <c r="C35" s="102"/>
      <c r="D35" s="103"/>
      <c r="E35" s="103"/>
      <c r="F35" s="104"/>
      <c r="G35" s="104"/>
      <c r="H35" s="105"/>
      <c r="I35" s="105"/>
    </row>
    <row r="36" customHeight="1" spans="1:9">
      <c r="A36" s="106"/>
      <c r="B36" s="114"/>
      <c r="C36" s="102"/>
      <c r="D36" s="103"/>
      <c r="E36" s="103"/>
      <c r="F36" s="104"/>
      <c r="G36" s="104"/>
      <c r="H36" s="105"/>
      <c r="I36" s="105"/>
    </row>
    <row r="37" customHeight="1" spans="1:9">
      <c r="A37" s="106"/>
      <c r="B37" s="102"/>
      <c r="C37" s="102"/>
      <c r="D37" s="103"/>
      <c r="E37" s="103"/>
      <c r="F37" s="104"/>
      <c r="G37" s="104"/>
      <c r="H37" s="105"/>
      <c r="I37" s="105"/>
    </row>
    <row r="38" customHeight="1" spans="1:9">
      <c r="A38" s="106"/>
      <c r="B38" s="102"/>
      <c r="C38" s="102"/>
      <c r="D38" s="103"/>
      <c r="E38" s="103"/>
      <c r="F38" s="104"/>
      <c r="G38" s="104"/>
      <c r="H38" s="105"/>
      <c r="I38" s="105"/>
    </row>
    <row r="39" customHeight="1" spans="1:9">
      <c r="A39" s="106"/>
      <c r="B39" s="102"/>
      <c r="C39" s="102"/>
      <c r="D39" s="103"/>
      <c r="E39" s="103"/>
      <c r="F39" s="104"/>
      <c r="G39" s="104"/>
      <c r="H39" s="105"/>
      <c r="I39" s="105"/>
    </row>
    <row r="40" customHeight="1" spans="1:9">
      <c r="A40" s="106"/>
      <c r="B40" s="102"/>
      <c r="C40" s="102"/>
      <c r="D40" s="103"/>
      <c r="E40" s="103"/>
      <c r="F40" s="104"/>
      <c r="G40" s="104"/>
      <c r="H40" s="105"/>
      <c r="I40" s="105"/>
    </row>
    <row r="41" customHeight="1" spans="1:9">
      <c r="A41" s="106"/>
      <c r="B41" s="102"/>
      <c r="C41" s="102"/>
      <c r="D41" s="103"/>
      <c r="E41" s="103"/>
      <c r="F41" s="104"/>
      <c r="G41" s="104"/>
      <c r="H41" s="105"/>
      <c r="I41" s="105"/>
    </row>
    <row r="42" customHeight="1" spans="1:9">
      <c r="A42" s="107"/>
      <c r="B42" s="115"/>
      <c r="C42" s="116"/>
      <c r="D42" s="110"/>
      <c r="E42" s="111"/>
      <c r="F42" s="112"/>
      <c r="G42" s="112"/>
      <c r="H42" s="112"/>
      <c r="I42" s="113"/>
    </row>
  </sheetData>
  <mergeCells count="20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B34:C34"/>
    <mergeCell ref="E34:I34"/>
    <mergeCell ref="B42:C42"/>
    <mergeCell ref="E42:I42"/>
    <mergeCell ref="A3:A10"/>
    <mergeCell ref="A11:A18"/>
    <mergeCell ref="A19:A26"/>
    <mergeCell ref="A27:A34"/>
    <mergeCell ref="A35:A4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409</v>
      </c>
      <c r="B1" s="83" t="s">
        <v>410</v>
      </c>
      <c r="C1" s="84" t="s">
        <v>206</v>
      </c>
    </row>
    <row r="2" spans="1:3">
      <c r="A2" s="85" t="s">
        <v>1</v>
      </c>
      <c r="B2" s="80" t="s">
        <v>411</v>
      </c>
      <c r="C2" s="81" t="s">
        <v>412</v>
      </c>
    </row>
    <row r="3" spans="1:3">
      <c r="A3" s="85"/>
      <c r="B3" s="80" t="s">
        <v>413</v>
      </c>
      <c r="C3" s="81" t="s">
        <v>414</v>
      </c>
    </row>
    <row r="4" spans="1:3">
      <c r="A4" s="85"/>
      <c r="B4" s="80" t="s">
        <v>415</v>
      </c>
      <c r="C4" s="81" t="s">
        <v>416</v>
      </c>
    </row>
    <row r="5" spans="1:3">
      <c r="A5" s="85"/>
      <c r="B5" s="80" t="s">
        <v>417</v>
      </c>
      <c r="C5" s="81" t="s">
        <v>418</v>
      </c>
    </row>
    <row r="6" spans="1:3">
      <c r="A6" s="85"/>
      <c r="B6" s="80" t="s">
        <v>419</v>
      </c>
      <c r="C6" s="81" t="s">
        <v>420</v>
      </c>
    </row>
    <row r="7" spans="1:3">
      <c r="A7" s="85"/>
      <c r="B7" s="80" t="s">
        <v>421</v>
      </c>
      <c r="C7" s="81" t="s">
        <v>422</v>
      </c>
    </row>
    <row r="8" spans="1:3">
      <c r="A8" s="85"/>
      <c r="B8" s="80" t="s">
        <v>423</v>
      </c>
      <c r="C8" s="81" t="s">
        <v>424</v>
      </c>
    </row>
    <row r="9" spans="1:3">
      <c r="A9" s="85"/>
      <c r="B9" s="80" t="s">
        <v>425</v>
      </c>
      <c r="C9" s="81" t="s">
        <v>426</v>
      </c>
    </row>
    <row r="10" spans="1:3">
      <c r="A10" s="85"/>
      <c r="B10" s="80" t="s">
        <v>427</v>
      </c>
      <c r="C10" s="81" t="s">
        <v>428</v>
      </c>
    </row>
    <row r="11" spans="1:3">
      <c r="A11" s="85"/>
      <c r="B11" s="80" t="s">
        <v>429</v>
      </c>
      <c r="C11" s="81" t="s">
        <v>430</v>
      </c>
    </row>
    <row r="12" spans="1:3">
      <c r="A12" s="85"/>
      <c r="B12" s="80" t="s">
        <v>431</v>
      </c>
      <c r="C12" s="81" t="s">
        <v>432</v>
      </c>
    </row>
    <row r="13" spans="1:3">
      <c r="A13" s="85"/>
      <c r="B13" s="80" t="s">
        <v>433</v>
      </c>
      <c r="C13" s="81" t="s">
        <v>434</v>
      </c>
    </row>
    <row r="14" spans="1:3">
      <c r="A14" s="85"/>
      <c r="B14" s="80" t="s">
        <v>435</v>
      </c>
      <c r="C14" s="81" t="s">
        <v>436</v>
      </c>
    </row>
    <row r="15" spans="1:3">
      <c r="A15" s="85"/>
      <c r="B15" s="80" t="s">
        <v>437</v>
      </c>
      <c r="C15" s="81" t="s">
        <v>438</v>
      </c>
    </row>
    <row r="16" spans="1:3">
      <c r="A16" s="85"/>
      <c r="B16" s="80" t="s">
        <v>439</v>
      </c>
      <c r="C16" s="81" t="s">
        <v>440</v>
      </c>
    </row>
    <row r="17" spans="1:3">
      <c r="A17" s="85"/>
      <c r="B17" s="80" t="s">
        <v>441</v>
      </c>
      <c r="C17" s="81" t="s">
        <v>442</v>
      </c>
    </row>
    <row r="18" spans="1:3">
      <c r="A18" s="85"/>
      <c r="B18" s="80" t="s">
        <v>443</v>
      </c>
      <c r="C18" s="81" t="s">
        <v>444</v>
      </c>
    </row>
    <row r="19" spans="1:3">
      <c r="A19" s="85"/>
      <c r="B19" s="80" t="s">
        <v>445</v>
      </c>
      <c r="C19" s="81" t="s">
        <v>446</v>
      </c>
    </row>
    <row r="20" spans="1:3">
      <c r="A20" s="85"/>
      <c r="B20" s="80" t="s">
        <v>447</v>
      </c>
      <c r="C20" s="81" t="s">
        <v>448</v>
      </c>
    </row>
    <row r="21" spans="1:3">
      <c r="A21" s="85"/>
      <c r="B21" s="80" t="s">
        <v>447</v>
      </c>
      <c r="C21" s="81" t="s">
        <v>449</v>
      </c>
    </row>
    <row r="22" spans="1:3">
      <c r="A22" s="85"/>
      <c r="B22" s="80" t="s">
        <v>450</v>
      </c>
      <c r="C22" s="81" t="s">
        <v>451</v>
      </c>
    </row>
    <row r="23" spans="1:3">
      <c r="A23" s="85"/>
      <c r="B23" s="80" t="s">
        <v>452</v>
      </c>
      <c r="C23" s="81" t="s">
        <v>453</v>
      </c>
    </row>
    <row r="24" spans="1:3">
      <c r="A24" s="85"/>
      <c r="B24" s="80" t="s">
        <v>454</v>
      </c>
      <c r="C24" s="81" t="s">
        <v>455</v>
      </c>
    </row>
    <row r="25" spans="1:3">
      <c r="A25" s="86" t="s">
        <v>2</v>
      </c>
      <c r="B25" s="80" t="s">
        <v>456</v>
      </c>
      <c r="C25" s="81" t="s">
        <v>457</v>
      </c>
    </row>
    <row r="26" spans="1:3">
      <c r="A26" s="86"/>
      <c r="B26" s="80" t="s">
        <v>458</v>
      </c>
      <c r="C26" s="81" t="s">
        <v>459</v>
      </c>
    </row>
    <row r="27" spans="1:3">
      <c r="A27" s="86"/>
      <c r="B27" s="80" t="s">
        <v>460</v>
      </c>
      <c r="C27" s="81" t="s">
        <v>461</v>
      </c>
    </row>
    <row r="28" spans="1:3">
      <c r="A28" s="86"/>
      <c r="B28" s="80" t="s">
        <v>462</v>
      </c>
      <c r="C28" s="81" t="s">
        <v>463</v>
      </c>
    </row>
    <row r="29" spans="1:3">
      <c r="A29" s="86"/>
      <c r="B29" s="80" t="s">
        <v>464</v>
      </c>
      <c r="C29" s="81" t="s">
        <v>465</v>
      </c>
    </row>
    <row r="30" spans="1:3">
      <c r="A30" s="86"/>
      <c r="B30" s="80" t="s">
        <v>466</v>
      </c>
      <c r="C30" s="81" t="s">
        <v>467</v>
      </c>
    </row>
    <row r="31" spans="1:3">
      <c r="A31" s="86"/>
      <c r="B31" s="80" t="s">
        <v>468</v>
      </c>
      <c r="C31" s="81" t="s">
        <v>469</v>
      </c>
    </row>
    <row r="32" spans="1:3">
      <c r="A32" s="86"/>
      <c r="B32" s="80" t="s">
        <v>470</v>
      </c>
      <c r="C32" s="81" t="s">
        <v>471</v>
      </c>
    </row>
    <row r="33" spans="1:3">
      <c r="A33" s="86"/>
      <c r="B33" s="80" t="s">
        <v>472</v>
      </c>
      <c r="C33" s="81" t="s">
        <v>473</v>
      </c>
    </row>
    <row r="34" spans="1:3">
      <c r="A34" s="86"/>
      <c r="B34" s="80" t="s">
        <v>474</v>
      </c>
      <c r="C34" s="81" t="s">
        <v>475</v>
      </c>
    </row>
    <row r="35" spans="1:3">
      <c r="A35" s="86"/>
      <c r="B35" s="80" t="s">
        <v>476</v>
      </c>
      <c r="C35" s="81" t="s">
        <v>477</v>
      </c>
    </row>
    <row r="36" spans="1:3">
      <c r="A36" s="86"/>
      <c r="B36" s="80" t="s">
        <v>478</v>
      </c>
      <c r="C36" s="81" t="s">
        <v>479</v>
      </c>
    </row>
    <row r="37" spans="1:3">
      <c r="A37" s="87"/>
      <c r="B37" s="80" t="s">
        <v>480</v>
      </c>
      <c r="C37" s="81" t="s">
        <v>481</v>
      </c>
    </row>
    <row r="38" spans="1:3">
      <c r="A38" s="88" t="s">
        <v>3</v>
      </c>
      <c r="B38" s="80" t="s">
        <v>482</v>
      </c>
      <c r="C38" s="81" t="s">
        <v>483</v>
      </c>
    </row>
    <row r="39" spans="1:3">
      <c r="A39" s="89"/>
      <c r="B39" s="80" t="s">
        <v>484</v>
      </c>
      <c r="C39" s="81" t="s">
        <v>485</v>
      </c>
    </row>
    <row r="40" spans="1:3">
      <c r="A40" s="89"/>
      <c r="B40" s="80" t="s">
        <v>486</v>
      </c>
      <c r="C40" s="81" t="s">
        <v>487</v>
      </c>
    </row>
    <row r="41" spans="1:3">
      <c r="A41" s="89"/>
      <c r="B41" s="80" t="s">
        <v>488</v>
      </c>
      <c r="C41" s="81" t="s">
        <v>420</v>
      </c>
    </row>
    <row r="42" spans="1:3">
      <c r="A42" s="89"/>
      <c r="B42" s="80" t="s">
        <v>489</v>
      </c>
      <c r="C42" s="81" t="s">
        <v>490</v>
      </c>
    </row>
    <row r="43" spans="1:3">
      <c r="A43" s="89"/>
      <c r="B43" s="80" t="s">
        <v>491</v>
      </c>
      <c r="C43" s="81" t="s">
        <v>492</v>
      </c>
    </row>
    <row r="44" spans="1:3">
      <c r="A44" s="89"/>
      <c r="B44" s="80" t="s">
        <v>493</v>
      </c>
      <c r="C44" s="81" t="s">
        <v>494</v>
      </c>
    </row>
    <row r="45" spans="1:3">
      <c r="A45" s="89"/>
      <c r="B45" s="80" t="s">
        <v>495</v>
      </c>
      <c r="C45" s="81" t="s">
        <v>496</v>
      </c>
    </row>
    <row r="46" spans="1:3">
      <c r="A46" s="89"/>
      <c r="B46" s="80" t="s">
        <v>497</v>
      </c>
      <c r="C46" s="81" t="s">
        <v>498</v>
      </c>
    </row>
    <row r="47" spans="1:3">
      <c r="A47" s="89"/>
      <c r="B47" s="80" t="s">
        <v>499</v>
      </c>
      <c r="C47" s="81" t="s">
        <v>500</v>
      </c>
    </row>
    <row r="48" spans="1:3">
      <c r="A48" s="89"/>
      <c r="B48" s="80" t="s">
        <v>501</v>
      </c>
      <c r="C48" s="81" t="s">
        <v>502</v>
      </c>
    </row>
    <row r="49" spans="1:3">
      <c r="A49" s="89"/>
      <c r="B49" s="80" t="s">
        <v>503</v>
      </c>
      <c r="C49" s="81" t="s">
        <v>504</v>
      </c>
    </row>
    <row r="50" spans="1:3">
      <c r="A50" s="90"/>
      <c r="B50" s="80" t="s">
        <v>505</v>
      </c>
      <c r="C50" s="81" t="s">
        <v>506</v>
      </c>
    </row>
    <row r="51" customFormat="1" spans="1:3">
      <c r="A51" s="79"/>
      <c r="B51" s="80" t="s">
        <v>507</v>
      </c>
      <c r="C51" s="81"/>
    </row>
    <row r="52" customFormat="1" spans="1:3">
      <c r="A52" s="79"/>
      <c r="B52" s="80" t="s">
        <v>507</v>
      </c>
      <c r="C52" s="81"/>
    </row>
    <row r="53" customFormat="1" spans="1:3">
      <c r="A53" s="79"/>
      <c r="B53" s="80" t="s">
        <v>507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342</v>
      </c>
      <c r="B1" s="68" t="s">
        <v>0</v>
      </c>
      <c r="C1" s="69" t="s">
        <v>508</v>
      </c>
      <c r="D1" s="70" t="s">
        <v>509</v>
      </c>
    </row>
    <row r="2" spans="1:4">
      <c r="A2" s="71">
        <v>1</v>
      </c>
      <c r="B2" s="72" t="s">
        <v>7</v>
      </c>
      <c r="C2" s="73">
        <v>20111216</v>
      </c>
      <c r="D2" s="66" t="s">
        <v>510</v>
      </c>
    </row>
    <row r="3" spans="1:4">
      <c r="A3" s="71">
        <v>2</v>
      </c>
      <c r="B3" s="72" t="s">
        <v>10</v>
      </c>
      <c r="C3" s="74">
        <v>20111227</v>
      </c>
      <c r="D3" s="66" t="s">
        <v>511</v>
      </c>
    </row>
    <row r="4" spans="1:4">
      <c r="A4" s="71">
        <v>3</v>
      </c>
      <c r="B4" s="72" t="s">
        <v>13</v>
      </c>
      <c r="C4" s="74">
        <v>20120518</v>
      </c>
      <c r="D4" s="66" t="s">
        <v>512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359</v>
      </c>
    </row>
    <row r="7" spans="1:4">
      <c r="A7" s="71">
        <v>6</v>
      </c>
      <c r="B7" s="72" t="s">
        <v>20</v>
      </c>
      <c r="C7" s="74">
        <v>20120809</v>
      </c>
      <c r="D7" s="66" t="s">
        <v>513</v>
      </c>
    </row>
    <row r="8" spans="1:4">
      <c r="A8" s="71">
        <v>7</v>
      </c>
      <c r="B8" s="72" t="s">
        <v>24</v>
      </c>
      <c r="C8" s="74">
        <v>20120227</v>
      </c>
      <c r="D8" s="66" t="s">
        <v>514</v>
      </c>
    </row>
    <row r="9" spans="1:4">
      <c r="A9" s="71">
        <v>8</v>
      </c>
      <c r="B9" s="72" t="s">
        <v>26</v>
      </c>
      <c r="C9" s="74">
        <v>20120127</v>
      </c>
      <c r="D9" s="66" t="s">
        <v>515</v>
      </c>
    </row>
    <row r="10" spans="1:4">
      <c r="A10" s="71">
        <v>9</v>
      </c>
      <c r="B10" s="72" t="s">
        <v>27</v>
      </c>
      <c r="C10" s="74">
        <v>20111202</v>
      </c>
      <c r="D10" s="66" t="s">
        <v>516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517</v>
      </c>
    </row>
    <row r="13" spans="1:4">
      <c r="A13" s="71">
        <v>12</v>
      </c>
      <c r="B13" s="72" t="s">
        <v>31</v>
      </c>
      <c r="C13" s="74">
        <v>20110908</v>
      </c>
      <c r="D13" s="66" t="s">
        <v>518</v>
      </c>
    </row>
    <row r="14" spans="1:4">
      <c r="A14" s="71">
        <v>13</v>
      </c>
      <c r="B14" s="72" t="s">
        <v>33</v>
      </c>
      <c r="C14" s="74">
        <v>20120228</v>
      </c>
      <c r="D14" s="66" t="s">
        <v>519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520</v>
      </c>
    </row>
    <row r="17" spans="1:4">
      <c r="A17" s="71">
        <v>16</v>
      </c>
      <c r="B17" s="72" t="s">
        <v>38</v>
      </c>
      <c r="C17" s="74">
        <v>20120722</v>
      </c>
      <c r="D17" s="66" t="s">
        <v>521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522</v>
      </c>
    </row>
    <row r="21" spans="1:4">
      <c r="A21" s="71">
        <v>20</v>
      </c>
      <c r="B21" s="72" t="s">
        <v>47</v>
      </c>
      <c r="C21" s="74">
        <v>20120827</v>
      </c>
      <c r="D21" s="66" t="s">
        <v>523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524</v>
      </c>
    </row>
    <row r="24" spans="1:4">
      <c r="A24" s="71">
        <v>23</v>
      </c>
      <c r="B24" s="72" t="s">
        <v>54</v>
      </c>
      <c r="C24" s="74">
        <v>20120413</v>
      </c>
      <c r="D24" s="66" t="s">
        <v>525</v>
      </c>
    </row>
    <row r="25" spans="1:4">
      <c r="A25" s="71">
        <v>24</v>
      </c>
      <c r="B25" s="72" t="s">
        <v>58</v>
      </c>
      <c r="C25" s="74">
        <v>20120629</v>
      </c>
      <c r="D25" s="66" t="s">
        <v>526</v>
      </c>
    </row>
    <row r="26" spans="1:4">
      <c r="A26" s="71">
        <v>25</v>
      </c>
      <c r="B26" s="72" t="s">
        <v>59</v>
      </c>
      <c r="C26" s="74">
        <v>20111105</v>
      </c>
      <c r="D26" s="66" t="s">
        <v>527</v>
      </c>
    </row>
    <row r="27" spans="1:4">
      <c r="A27" s="71">
        <v>26</v>
      </c>
      <c r="B27" s="72" t="s">
        <v>60</v>
      </c>
      <c r="C27" s="74">
        <v>20120112</v>
      </c>
      <c r="D27" s="66" t="s">
        <v>528</v>
      </c>
    </row>
    <row r="28" spans="1:4">
      <c r="A28" s="71">
        <v>27</v>
      </c>
      <c r="B28" s="72" t="s">
        <v>63</v>
      </c>
      <c r="C28" s="74">
        <v>20111119</v>
      </c>
      <c r="D28" s="66" t="s">
        <v>529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530</v>
      </c>
    </row>
    <row r="31" spans="1:4">
      <c r="A31" s="71">
        <v>30</v>
      </c>
      <c r="B31" s="72" t="s">
        <v>72</v>
      </c>
      <c r="C31" s="74">
        <v>20111109</v>
      </c>
      <c r="D31" s="66" t="s">
        <v>531</v>
      </c>
    </row>
    <row r="32" spans="1:4">
      <c r="A32" s="71">
        <v>31</v>
      </c>
      <c r="B32" s="72" t="s">
        <v>73</v>
      </c>
      <c r="C32" s="74">
        <v>20120824</v>
      </c>
      <c r="D32" s="66" t="s">
        <v>532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533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534</v>
      </c>
    </row>
    <row r="37" spans="1:5">
      <c r="A37" s="71">
        <v>36</v>
      </c>
      <c r="B37" s="72" t="s">
        <v>79</v>
      </c>
      <c r="C37" s="73">
        <v>20120326</v>
      </c>
      <c r="D37" s="66" t="s">
        <v>535</v>
      </c>
    </row>
    <row r="38" spans="1:5">
      <c r="A38" s="75">
        <v>37</v>
      </c>
      <c r="B38" s="75" t="s">
        <v>82</v>
      </c>
      <c r="C38" s="76">
        <v>20111106</v>
      </c>
      <c r="D38" s="77" t="s">
        <v>536</v>
      </c>
      <c r="E38" t="s">
        <v>537</v>
      </c>
    </row>
    <row r="39" spans="1:5">
      <c r="A39" s="71">
        <v>38</v>
      </c>
      <c r="B39" s="72" t="s">
        <v>84</v>
      </c>
      <c r="C39" s="74">
        <v>20120811</v>
      </c>
      <c r="D39" s="78" t="s">
        <v>538</v>
      </c>
    </row>
    <row r="40" spans="1:5">
      <c r="A40" s="71">
        <v>39</v>
      </c>
      <c r="B40" s="72" t="s">
        <v>87</v>
      </c>
      <c r="C40" s="74">
        <v>20111217</v>
      </c>
      <c r="D40" s="78" t="s">
        <v>539</v>
      </c>
    </row>
    <row r="41" spans="1:5">
      <c r="A41" s="71">
        <v>40</v>
      </c>
      <c r="B41" s="72" t="s">
        <v>91</v>
      </c>
      <c r="C41" s="74">
        <v>20111013</v>
      </c>
      <c r="D41" s="66" t="s">
        <v>540</v>
      </c>
      <c r="E41" t="s">
        <v>537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541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542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543</v>
      </c>
      <c r="E47" t="s">
        <v>537</v>
      </c>
    </row>
    <row r="48" spans="1:5">
      <c r="A48" s="71">
        <v>47</v>
      </c>
      <c r="B48" s="72" t="s">
        <v>110</v>
      </c>
      <c r="C48" s="74">
        <v>20120311</v>
      </c>
      <c r="D48" s="66" t="s">
        <v>544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545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546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547</v>
      </c>
      <c r="B1" s="35" t="s">
        <v>548</v>
      </c>
      <c r="C1" s="36" t="s">
        <v>549</v>
      </c>
      <c r="D1" s="37"/>
      <c r="E1" s="38" t="s">
        <v>550</v>
      </c>
    </row>
    <row r="2" s="28" customFormat="1" ht="409" customHeight="1" spans="1:5">
      <c r="A2" s="39" t="s">
        <v>364</v>
      </c>
      <c r="B2" s="40" t="s">
        <v>257</v>
      </c>
      <c r="C2" s="41" t="s">
        <v>551</v>
      </c>
      <c r="D2" s="32" t="s">
        <v>552</v>
      </c>
      <c r="E2" s="33" t="s">
        <v>553</v>
      </c>
    </row>
    <row r="3" s="28" customFormat="1" ht="56" spans="1:5">
      <c r="A3" s="42"/>
      <c r="B3" s="43"/>
      <c r="C3" s="44"/>
      <c r="D3" s="32" t="s">
        <v>554</v>
      </c>
      <c r="E3" s="33" t="s">
        <v>555</v>
      </c>
    </row>
    <row r="4" s="28" customFormat="1" spans="1:5">
      <c r="A4" s="42"/>
      <c r="B4" s="43"/>
      <c r="C4" s="44"/>
      <c r="D4" s="32" t="s">
        <v>556</v>
      </c>
      <c r="E4" s="33" t="s">
        <v>557</v>
      </c>
    </row>
    <row r="5" s="28" customFormat="1" ht="56" spans="1:5">
      <c r="A5" s="42"/>
      <c r="B5" s="43"/>
      <c r="C5" s="44"/>
      <c r="D5" s="32" t="s">
        <v>558</v>
      </c>
      <c r="E5" s="33" t="s">
        <v>559</v>
      </c>
    </row>
    <row r="6" s="28" customFormat="1" ht="238" spans="1:5">
      <c r="A6" s="42"/>
      <c r="B6" s="43"/>
      <c r="C6" s="44"/>
      <c r="D6" s="32" t="s">
        <v>560</v>
      </c>
      <c r="E6" s="33" t="s">
        <v>561</v>
      </c>
    </row>
    <row r="7" s="28" customFormat="1" ht="238" spans="1:5">
      <c r="A7" s="42"/>
      <c r="B7" s="43"/>
      <c r="C7" s="41" t="s">
        <v>562</v>
      </c>
      <c r="D7" s="32" t="s">
        <v>563</v>
      </c>
      <c r="E7" s="33" t="s">
        <v>564</v>
      </c>
    </row>
    <row r="8" s="28" customFormat="1" ht="56" spans="1:5">
      <c r="A8" s="42"/>
      <c r="B8" s="43"/>
      <c r="C8" s="44"/>
      <c r="D8" s="32" t="s">
        <v>565</v>
      </c>
      <c r="E8" s="33" t="s">
        <v>566</v>
      </c>
    </row>
    <row r="9" s="28" customFormat="1" ht="84" spans="1:5">
      <c r="A9" s="42"/>
      <c r="B9" s="43"/>
      <c r="C9" s="44"/>
      <c r="D9" s="32" t="s">
        <v>567</v>
      </c>
      <c r="E9" s="33" t="s">
        <v>568</v>
      </c>
    </row>
    <row r="10" s="28" customFormat="1" ht="28" spans="1:5">
      <c r="A10" s="42"/>
      <c r="B10" s="43"/>
      <c r="C10" s="44"/>
      <c r="D10" s="32" t="s">
        <v>569</v>
      </c>
      <c r="E10" s="33" t="s">
        <v>570</v>
      </c>
    </row>
    <row r="11" s="28" customFormat="1" spans="1:5">
      <c r="A11" s="42"/>
      <c r="B11" s="43"/>
      <c r="C11" s="45"/>
      <c r="D11" s="32" t="s">
        <v>571</v>
      </c>
      <c r="E11" s="33" t="s">
        <v>572</v>
      </c>
    </row>
    <row r="12" s="28" customFormat="1" ht="154" spans="1:5">
      <c r="A12" s="42"/>
      <c r="B12" s="43"/>
      <c r="C12" s="31"/>
      <c r="D12" s="32" t="s">
        <v>573</v>
      </c>
      <c r="E12" s="33" t="s">
        <v>574</v>
      </c>
    </row>
    <row r="13" s="28" customFormat="1" ht="56" spans="1:5">
      <c r="A13" s="42"/>
      <c r="B13" s="43"/>
      <c r="C13" s="46" t="s">
        <v>575</v>
      </c>
      <c r="D13" s="37"/>
      <c r="E13" s="33" t="s">
        <v>576</v>
      </c>
    </row>
    <row r="14" s="28" customFormat="1" ht="84" spans="1:5">
      <c r="A14" s="42"/>
      <c r="B14" s="43"/>
      <c r="C14" s="46" t="s">
        <v>577</v>
      </c>
      <c r="D14" s="37"/>
      <c r="E14" s="33" t="s">
        <v>578</v>
      </c>
    </row>
    <row r="15" s="28" customFormat="1" ht="28" spans="1:5">
      <c r="A15" s="42"/>
      <c r="B15" s="43"/>
      <c r="C15" s="46" t="s">
        <v>579</v>
      </c>
      <c r="D15" s="37"/>
      <c r="E15" s="33" t="s">
        <v>580</v>
      </c>
    </row>
    <row r="16" s="28" customFormat="1" spans="1:5">
      <c r="A16" s="42"/>
      <c r="B16" s="43"/>
      <c r="C16" s="46" t="s">
        <v>581</v>
      </c>
      <c r="D16" s="37"/>
      <c r="E16" s="33"/>
    </row>
    <row r="17" s="28" customFormat="1" spans="1:5">
      <c r="A17" s="42"/>
      <c r="B17" s="43"/>
      <c r="C17" s="46" t="s">
        <v>582</v>
      </c>
      <c r="D17" s="37"/>
      <c r="E17" s="33" t="s">
        <v>583</v>
      </c>
    </row>
    <row r="18" s="28" customFormat="1" spans="1:5">
      <c r="A18" s="42"/>
      <c r="B18" s="43"/>
      <c r="C18" s="41" t="s">
        <v>584</v>
      </c>
      <c r="D18" s="32" t="s">
        <v>585</v>
      </c>
      <c r="E18" s="33" t="s">
        <v>586</v>
      </c>
    </row>
    <row r="19" s="28" customFormat="1" spans="1:5">
      <c r="A19" s="42"/>
      <c r="B19" s="43"/>
      <c r="C19" s="45"/>
      <c r="D19" s="32" t="s">
        <v>587</v>
      </c>
      <c r="E19" s="33" t="s">
        <v>588</v>
      </c>
    </row>
    <row r="20" s="28" customFormat="1" spans="1:5">
      <c r="A20" s="42"/>
      <c r="B20" s="43"/>
      <c r="C20" s="46" t="s">
        <v>589</v>
      </c>
      <c r="D20" s="37"/>
      <c r="E20" s="33"/>
    </row>
    <row r="21" s="28" customFormat="1" spans="1:5">
      <c r="A21" s="42"/>
      <c r="B21" s="43"/>
      <c r="C21" s="46" t="s">
        <v>590</v>
      </c>
      <c r="D21" s="37"/>
      <c r="E21" s="33" t="s">
        <v>591</v>
      </c>
    </row>
    <row r="22" s="28" customFormat="1" ht="28" spans="1:5">
      <c r="A22" s="42"/>
      <c r="B22" s="43"/>
      <c r="C22" s="46" t="s">
        <v>592</v>
      </c>
      <c r="D22" s="47"/>
      <c r="E22" s="33" t="s">
        <v>593</v>
      </c>
    </row>
    <row r="23" s="28" customFormat="1" spans="1:5">
      <c r="A23" s="42"/>
      <c r="B23" s="43"/>
      <c r="C23" s="31" t="s">
        <v>318</v>
      </c>
      <c r="D23" s="31"/>
      <c r="E23" s="33" t="s">
        <v>594</v>
      </c>
    </row>
    <row r="24" s="28" customFormat="1" spans="1:5">
      <c r="A24" s="42"/>
      <c r="B24" s="43"/>
      <c r="C24" s="31" t="s">
        <v>595</v>
      </c>
      <c r="D24" s="31"/>
      <c r="E24" s="33" t="s">
        <v>596</v>
      </c>
    </row>
    <row r="25" s="28" customFormat="1" ht="28" spans="1:5">
      <c r="A25" s="39" t="s">
        <v>362</v>
      </c>
      <c r="B25" s="40" t="s">
        <v>363</v>
      </c>
      <c r="C25" s="44" t="s">
        <v>551</v>
      </c>
      <c r="D25" s="48" t="s">
        <v>597</v>
      </c>
      <c r="E25" s="33" t="s">
        <v>598</v>
      </c>
    </row>
    <row r="26" s="28" customFormat="1" spans="1:5">
      <c r="A26" s="42"/>
      <c r="B26" s="43"/>
      <c r="C26" s="44"/>
      <c r="D26" s="32" t="s">
        <v>599</v>
      </c>
      <c r="E26" s="33" t="s">
        <v>600</v>
      </c>
    </row>
    <row r="27" s="28" customFormat="1" ht="28" spans="1:5">
      <c r="A27" s="42"/>
      <c r="B27" s="43"/>
      <c r="C27" s="44"/>
      <c r="D27" s="32" t="s">
        <v>601</v>
      </c>
      <c r="E27" s="33" t="s">
        <v>602</v>
      </c>
    </row>
    <row r="28" s="28" customFormat="1" ht="42" spans="1:5">
      <c r="A28" s="42"/>
      <c r="B28" s="43"/>
      <c r="C28" s="44"/>
      <c r="D28" s="32" t="s">
        <v>603</v>
      </c>
      <c r="E28" s="33" t="s">
        <v>604</v>
      </c>
    </row>
    <row r="29" s="28" customFormat="1" ht="42" spans="1:5">
      <c r="A29" s="39" t="s">
        <v>358</v>
      </c>
      <c r="B29" s="40" t="s">
        <v>359</v>
      </c>
      <c r="C29" s="41" t="s">
        <v>551</v>
      </c>
      <c r="D29" s="32" t="s">
        <v>552</v>
      </c>
      <c r="E29" s="33" t="s">
        <v>605</v>
      </c>
    </row>
    <row r="30" s="28" customFormat="1" ht="70" spans="1:5">
      <c r="A30" s="42"/>
      <c r="B30" s="43"/>
      <c r="C30" s="44"/>
      <c r="D30" s="32" t="s">
        <v>606</v>
      </c>
      <c r="E30" s="33" t="s">
        <v>607</v>
      </c>
    </row>
    <row r="31" s="28" customFormat="1" spans="1:5">
      <c r="A31" s="42"/>
      <c r="B31" s="43"/>
      <c r="C31" s="44"/>
      <c r="D31" s="32" t="s">
        <v>597</v>
      </c>
      <c r="E31" s="33" t="s">
        <v>608</v>
      </c>
    </row>
    <row r="32" s="28" customFormat="1" ht="28" spans="1:5">
      <c r="A32" s="42"/>
      <c r="B32" s="43"/>
      <c r="C32" s="45"/>
      <c r="D32" s="32" t="s">
        <v>609</v>
      </c>
      <c r="E32" s="33" t="s">
        <v>610</v>
      </c>
    </row>
    <row r="33" s="28" customFormat="1" ht="42" spans="1:5">
      <c r="A33" s="42"/>
      <c r="B33" s="49"/>
      <c r="C33" s="46" t="s">
        <v>562</v>
      </c>
      <c r="D33" s="47"/>
      <c r="E33" s="33" t="s">
        <v>611</v>
      </c>
    </row>
    <row r="34" s="28" customFormat="1" ht="42" spans="1:5">
      <c r="A34" s="42"/>
      <c r="B34" s="50" t="s">
        <v>612</v>
      </c>
      <c r="C34" s="36" t="s">
        <v>562</v>
      </c>
      <c r="D34" s="51"/>
      <c r="E34" s="52" t="s">
        <v>613</v>
      </c>
    </row>
    <row r="35" s="28" customFormat="1" ht="42" spans="1:5">
      <c r="A35" s="53"/>
      <c r="B35" s="54"/>
      <c r="C35" s="36" t="s">
        <v>551</v>
      </c>
      <c r="D35" s="51"/>
      <c r="E35" s="52" t="s">
        <v>614</v>
      </c>
    </row>
    <row r="36" s="28" customFormat="1" spans="1:5">
      <c r="A36" s="39" t="s">
        <v>365</v>
      </c>
      <c r="B36" s="55" t="s">
        <v>615</v>
      </c>
      <c r="C36" s="56"/>
      <c r="D36" s="57"/>
      <c r="E36" s="52" t="s">
        <v>137</v>
      </c>
    </row>
    <row r="37" s="28" customFormat="1" spans="1:5">
      <c r="A37" s="53"/>
      <c r="B37" s="58" t="s">
        <v>616</v>
      </c>
      <c r="C37" s="59"/>
      <c r="D37" s="60"/>
      <c r="E37" s="33" t="s">
        <v>617</v>
      </c>
    </row>
    <row r="38" s="28" customFormat="1" spans="1:5">
      <c r="A38" s="29" t="s">
        <v>366</v>
      </c>
      <c r="B38" s="58" t="s">
        <v>618</v>
      </c>
      <c r="C38" s="59"/>
      <c r="D38" s="60"/>
      <c r="E38" s="33" t="s">
        <v>619</v>
      </c>
    </row>
    <row r="39" s="28" customFormat="1" spans="1:5">
      <c r="A39" s="39" t="s">
        <v>368</v>
      </c>
      <c r="B39" s="40" t="s">
        <v>620</v>
      </c>
      <c r="C39" s="41" t="s">
        <v>551</v>
      </c>
      <c r="D39" s="32" t="s">
        <v>621</v>
      </c>
      <c r="E39" s="33" t="s">
        <v>622</v>
      </c>
    </row>
    <row r="40" s="28" customFormat="1" spans="1:5">
      <c r="A40" s="42"/>
      <c r="B40" s="43"/>
      <c r="C40" s="45"/>
      <c r="D40" s="32" t="s">
        <v>623</v>
      </c>
      <c r="E40" s="33" t="s">
        <v>624</v>
      </c>
    </row>
    <row r="41" s="28" customFormat="1" spans="1:5">
      <c r="A41" s="42"/>
      <c r="B41" s="43"/>
      <c r="C41" s="46" t="s">
        <v>625</v>
      </c>
      <c r="D41" s="47"/>
      <c r="E41" s="33" t="s">
        <v>626</v>
      </c>
    </row>
    <row r="42" s="28" customFormat="1" spans="1:5">
      <c r="A42" s="53"/>
      <c r="B42" s="49"/>
      <c r="C42" s="46" t="s">
        <v>562</v>
      </c>
      <c r="D42" s="47"/>
      <c r="E42" s="33" t="s">
        <v>627</v>
      </c>
    </row>
    <row r="43" s="28" customFormat="1" spans="1:5">
      <c r="A43" s="39" t="s">
        <v>370</v>
      </c>
      <c r="B43" s="50" t="s">
        <v>618</v>
      </c>
      <c r="C43" s="61" t="s">
        <v>628</v>
      </c>
      <c r="D43" s="62"/>
      <c r="E43" s="52" t="s">
        <v>629</v>
      </c>
    </row>
    <row r="44" s="28" customFormat="1" ht="28" spans="1:5">
      <c r="A44" s="42"/>
      <c r="B44" s="54"/>
      <c r="C44" s="61" t="s">
        <v>603</v>
      </c>
      <c r="D44" s="62"/>
      <c r="E44" s="52" t="s">
        <v>630</v>
      </c>
    </row>
    <row r="45" s="28" customFormat="1" spans="1:5">
      <c r="A45" s="53"/>
      <c r="B45" s="58" t="s">
        <v>631</v>
      </c>
      <c r="C45" s="59"/>
      <c r="D45" s="60"/>
      <c r="E45" s="33" t="s">
        <v>156</v>
      </c>
    </row>
    <row r="46" s="28" customFormat="1" spans="1:5">
      <c r="A46" s="39" t="s">
        <v>378</v>
      </c>
      <c r="B46" s="40" t="s">
        <v>632</v>
      </c>
      <c r="C46" s="41" t="s">
        <v>551</v>
      </c>
      <c r="D46" s="32" t="s">
        <v>633</v>
      </c>
      <c r="E46" s="33"/>
    </row>
    <row r="47" s="28" customFormat="1" spans="1:5">
      <c r="A47" s="42"/>
      <c r="B47" s="43"/>
      <c r="C47" s="44"/>
      <c r="D47" s="32" t="s">
        <v>634</v>
      </c>
      <c r="E47" s="33"/>
    </row>
    <row r="48" s="28" customFormat="1" spans="1:5">
      <c r="A48" s="53"/>
      <c r="B48" s="49"/>
      <c r="C48" s="45"/>
      <c r="D48" s="32" t="s">
        <v>603</v>
      </c>
      <c r="E48" s="33" t="s">
        <v>635</v>
      </c>
    </row>
    <row r="49" s="28" customFormat="1" spans="1:5">
      <c r="A49" s="29" t="s">
        <v>372</v>
      </c>
      <c r="B49" s="58" t="s">
        <v>373</v>
      </c>
      <c r="C49" s="59"/>
      <c r="D49" s="60"/>
      <c r="E49" s="33" t="s">
        <v>636</v>
      </c>
    </row>
    <row r="50" s="28" customFormat="1" spans="1:5">
      <c r="A50" s="39" t="s">
        <v>374</v>
      </c>
      <c r="B50" s="58" t="s">
        <v>618</v>
      </c>
      <c r="C50" s="59"/>
      <c r="D50" s="60"/>
      <c r="E50" s="33" t="s">
        <v>637</v>
      </c>
    </row>
    <row r="51" s="28" customFormat="1" spans="1:5">
      <c r="A51" s="53"/>
      <c r="B51" s="58" t="s">
        <v>618</v>
      </c>
      <c r="C51" s="59"/>
      <c r="D51" s="60"/>
      <c r="E51" s="33" t="s">
        <v>169</v>
      </c>
    </row>
    <row r="52" s="28" customFormat="1" spans="1:5">
      <c r="A52" s="29" t="s">
        <v>377</v>
      </c>
      <c r="B52" s="58" t="s">
        <v>618</v>
      </c>
      <c r="C52" s="59"/>
      <c r="D52" s="60"/>
      <c r="E52" s="33"/>
    </row>
    <row r="53" s="28" customFormat="1" spans="1:5">
      <c r="A53" s="39" t="s">
        <v>638</v>
      </c>
      <c r="B53" s="58" t="s">
        <v>618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639</v>
      </c>
    </row>
    <row r="55" s="28" customFormat="1" spans="1:5">
      <c r="A55" s="29" t="s">
        <v>379</v>
      </c>
      <c r="B55" s="30"/>
      <c r="C55" s="31"/>
      <c r="D55" s="32"/>
      <c r="E55" s="33" t="s">
        <v>640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641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642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643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644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645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646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647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648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649</v>
      </c>
      <c r="C20" s="9" t="s">
        <v>650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651</v>
      </c>
      <c r="C21" s="9" t="s">
        <v>652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653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654</v>
      </c>
      <c r="C24" s="22" t="s">
        <v>655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656</v>
      </c>
      <c r="C27" s="22" t="s">
        <v>657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658</v>
      </c>
      <c r="C28" s="22" t="s">
        <v>659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660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661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662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663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664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665</v>
      </c>
      <c r="C40" s="22" t="s">
        <v>666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667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668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669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670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671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672</v>
      </c>
      <c r="C52" s="22" t="s">
        <v>673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674</v>
      </c>
      <c r="C1" s="3" t="s">
        <v>675</v>
      </c>
      <c r="E1" s="3" t="s">
        <v>493</v>
      </c>
      <c r="F1" s="3" t="s">
        <v>676</v>
      </c>
    </row>
    <row r="2" spans="2:6">
      <c r="B2" s="4" t="s">
        <v>677</v>
      </c>
      <c r="C2" s="4">
        <v>13</v>
      </c>
      <c r="E2" s="4" t="s">
        <v>678</v>
      </c>
      <c r="F2" s="4">
        <v>6</v>
      </c>
    </row>
    <row r="3" spans="2:6">
      <c r="B3" s="4" t="s">
        <v>679</v>
      </c>
      <c r="C3" s="4">
        <v>13</v>
      </c>
      <c r="E3" s="4" t="s">
        <v>680</v>
      </c>
      <c r="F3" s="4">
        <v>13</v>
      </c>
    </row>
    <row r="4" spans="2:6">
      <c r="B4" s="4" t="s">
        <v>681</v>
      </c>
      <c r="C4" s="4">
        <v>12</v>
      </c>
      <c r="E4" s="4" t="s">
        <v>548</v>
      </c>
      <c r="F4" s="4">
        <v>4</v>
      </c>
    </row>
    <row r="5" spans="2:6">
      <c r="B5" s="4" t="s">
        <v>682</v>
      </c>
      <c r="C5" s="4">
        <v>2</v>
      </c>
      <c r="E5" s="4" t="s">
        <v>683</v>
      </c>
      <c r="F5" s="4">
        <v>6</v>
      </c>
    </row>
    <row r="6" spans="2:6">
      <c r="B6" s="4" t="s">
        <v>684</v>
      </c>
      <c r="C6" s="4">
        <v>2</v>
      </c>
      <c r="E6" s="4" t="s">
        <v>685</v>
      </c>
      <c r="F6" s="4">
        <v>4</v>
      </c>
    </row>
    <row r="7" spans="2:6">
      <c r="B7" s="4" t="s">
        <v>686</v>
      </c>
      <c r="C7" s="4">
        <v>1</v>
      </c>
      <c r="E7" s="4" t="s">
        <v>687</v>
      </c>
      <c r="F7" s="4">
        <v>1</v>
      </c>
    </row>
    <row r="8" spans="2:6">
      <c r="B8" s="4" t="s">
        <v>688</v>
      </c>
      <c r="C8" s="4">
        <v>4</v>
      </c>
      <c r="E8" s="4" t="s">
        <v>689</v>
      </c>
      <c r="F8" s="4">
        <v>3</v>
      </c>
    </row>
    <row r="9" spans="2:6">
      <c r="E9" s="4" t="s">
        <v>690</v>
      </c>
      <c r="F9" s="4">
        <v>1</v>
      </c>
    </row>
    <row r="10" spans="2:6">
      <c r="E10" s="4" t="s">
        <v>691</v>
      </c>
      <c r="F10" s="4">
        <v>5</v>
      </c>
    </row>
    <row r="11" spans="2:6">
      <c r="E11" s="4" t="s">
        <v>692</v>
      </c>
      <c r="F11" s="4">
        <v>1</v>
      </c>
    </row>
    <row r="12" spans="2:6">
      <c r="E12" s="4" t="s">
        <v>688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2026-03-27T13:07:40Z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