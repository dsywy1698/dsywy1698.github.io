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6" activeTab="2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<sst xmlns="http://schemas.openxmlformats.org/spreadsheetml/2006/main" count="1278" uniqueCount="736">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</sst>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7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z val="10"/>
      <name val="Times New Roman"/>
      <charset val="134"/>
    </font>
    <font>
      <sz val="11"/>
      <name val="华文仿宋"/>
      <charset val="134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7" xfId="0" applyNumberFormat="1" applyFont="1" applyFill="1" applyBorder="1" applyAlignment="1">
      <alignment horizontal="center" vertical="top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41" workbookViewId="0">
      <selection activeCell="F43" sqref="F43"/>
    </sheetView>
  </sheetViews>
  <sheetFormatPr defaultColWidth="8.72727272727273" defaultRowHeight="14"/>
  <cols>
    <col min="1" max="1" width="7.59090909090909" style="226" customWidth="1"/>
    <col min="2" max="7" width="25.8727272727273" style="227" customWidth="1"/>
    <col min="8" max="10" width="16.6818181818182" style="228" customWidth="1"/>
    <col min="11" max="16384" width="8.72727272727273" style="229"/>
  </cols>
  <sheetData>
    <row r="1" s="225" customFormat="1" spans="1:10">
      <c r="A1" s="230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1" t="s">
        <v>6</v>
      </c>
      <c r="H1" s="232"/>
      <c r="I1" s="232"/>
      <c r="J1" s="232"/>
    </row>
    <row r="2" spans="1:10">
      <c r="A2" s="233" t="s">
        <v>7</v>
      </c>
      <c r="B2" s="227" t="s">
        <v>8</v>
      </c>
      <c r="C2" s="227" t="s">
        <v>9</v>
      </c>
    </row>
    <row r="3" ht="52" spans="1:10">
      <c r="A3" s="233" t="s">
        <v>10</v>
      </c>
      <c r="C3" s="227" t="s">
        <v>11</v>
      </c>
      <c r="D3" s="227" t="s">
        <v>12</v>
      </c>
    </row>
    <row r="4" ht="26" spans="1:10">
      <c r="A4" s="233" t="s">
        <v>13</v>
      </c>
      <c r="D4" s="227" t="s">
        <v>14</v>
      </c>
    </row>
    <row r="5" ht="70" spans="1:10">
      <c r="A5" s="233" t="s">
        <v>15</v>
      </c>
      <c r="C5" s="227" t="s">
        <v>16</v>
      </c>
      <c r="D5" s="227" t="s">
        <v>17</v>
      </c>
      <c r="H5" s="228" t="s">
        <v>18</v>
      </c>
    </row>
    <row r="6" spans="1:10">
      <c r="A6" s="233" t="s">
        <v>19</v>
      </c>
      <c r="C6" s="227" t="s">
        <v>20</v>
      </c>
    </row>
    <row r="7" ht="221" spans="1:10">
      <c r="A7" s="233" t="s">
        <v>21</v>
      </c>
      <c r="B7" s="227" t="s">
        <v>22</v>
      </c>
      <c r="C7" s="227" t="s">
        <v>23</v>
      </c>
      <c r="D7" s="227" t="s">
        <v>24</v>
      </c>
    </row>
    <row r="8" ht="26" spans="1:10">
      <c r="A8" s="233" t="s">
        <v>25</v>
      </c>
      <c r="D8" s="227" t="s">
        <v>26</v>
      </c>
    </row>
    <row r="9" spans="1:10">
      <c r="A9" s="233" t="s">
        <v>27</v>
      </c>
    </row>
    <row r="10" spans="1:10">
      <c r="A10" s="233" t="s">
        <v>28</v>
      </c>
      <c r="B10" s="227" t="s">
        <v>29</v>
      </c>
    </row>
    <row r="11" spans="1:10">
      <c r="A11" s="233" t="s">
        <v>30</v>
      </c>
    </row>
    <row r="12" spans="1:10">
      <c r="A12" s="233" t="s">
        <v>31</v>
      </c>
      <c r="E12" s="227" t="s">
        <v>32</v>
      </c>
    </row>
    <row r="13" ht="39" spans="1:10">
      <c r="A13" s="233" t="s">
        <v>33</v>
      </c>
      <c r="D13" s="227" t="s">
        <v>34</v>
      </c>
      <c r="F13" s="227" t="s">
        <v>35</v>
      </c>
    </row>
    <row r="14" spans="1:10">
      <c r="A14" s="233" t="s">
        <v>36</v>
      </c>
      <c r="B14" s="227" t="s">
        <v>37</v>
      </c>
    </row>
    <row r="15" spans="1:10">
      <c r="A15" s="233" t="s">
        <v>38</v>
      </c>
    </row>
    <row r="16" ht="56" spans="1:10">
      <c r="A16" s="233" t="s">
        <v>39</v>
      </c>
      <c r="B16" s="227" t="s">
        <v>40</v>
      </c>
      <c r="C16" s="227" t="s">
        <v>41</v>
      </c>
      <c r="H16" s="228" t="s">
        <v>42</v>
      </c>
    </row>
    <row r="17" ht="26" spans="1:8">
      <c r="A17" s="233" t="s">
        <v>43</v>
      </c>
      <c r="C17" s="227" t="s">
        <v>44</v>
      </c>
    </row>
    <row r="18" spans="1:8">
      <c r="A18" s="233" t="s">
        <v>45</v>
      </c>
      <c r="D18" s="227" t="s">
        <v>46</v>
      </c>
    </row>
    <row r="19" ht="42" spans="1:8">
      <c r="A19" s="233" t="s">
        <v>47</v>
      </c>
      <c r="D19" s="227" t="s">
        <v>48</v>
      </c>
      <c r="E19" s="227" t="s">
        <v>32</v>
      </c>
      <c r="H19" s="228" t="s">
        <v>49</v>
      </c>
    </row>
    <row r="20" ht="26" spans="1:8">
      <c r="A20" s="233" t="s">
        <v>50</v>
      </c>
      <c r="B20" s="227" t="s">
        <v>51</v>
      </c>
      <c r="C20" s="227" t="s">
        <v>52</v>
      </c>
    </row>
    <row r="21" ht="52" spans="1:8">
      <c r="A21" s="233" t="s">
        <v>53</v>
      </c>
      <c r="B21" s="227" t="s">
        <v>54</v>
      </c>
      <c r="C21" s="227" t="s">
        <v>55</v>
      </c>
      <c r="D21" s="227" t="s">
        <v>56</v>
      </c>
      <c r="E21" s="227" t="s">
        <v>57</v>
      </c>
    </row>
    <row r="22" spans="1:8">
      <c r="A22" s="233" t="s">
        <v>58</v>
      </c>
    </row>
    <row r="23" ht="42" spans="1:8">
      <c r="A23" s="233" t="s">
        <v>59</v>
      </c>
      <c r="B23" s="227" t="s">
        <v>60</v>
      </c>
      <c r="E23" s="227" t="s">
        <v>61</v>
      </c>
      <c r="H23" s="228" t="s">
        <v>62</v>
      </c>
    </row>
    <row r="24" ht="52" spans="1:8">
      <c r="A24" s="233" t="s">
        <v>63</v>
      </c>
      <c r="B24" s="227" t="s">
        <v>64</v>
      </c>
      <c r="C24" s="227" t="s">
        <v>65</v>
      </c>
      <c r="D24" s="227" t="s">
        <v>66</v>
      </c>
      <c r="E24" s="227" t="s">
        <v>67</v>
      </c>
    </row>
    <row r="25" spans="1:8">
      <c r="A25" s="233" t="s">
        <v>68</v>
      </c>
    </row>
    <row r="26" spans="1:8">
      <c r="A26" s="233" t="s">
        <v>69</v>
      </c>
    </row>
    <row r="27" spans="1:8">
      <c r="A27" s="233" t="s">
        <v>70</v>
      </c>
      <c r="B27" s="227" t="s">
        <v>71</v>
      </c>
      <c r="C27" s="227" t="s">
        <v>72</v>
      </c>
    </row>
    <row r="28" ht="91" spans="1:8">
      <c r="A28" s="233" t="s">
        <v>73</v>
      </c>
      <c r="B28" s="227" t="s">
        <v>74</v>
      </c>
      <c r="C28" s="227" t="s">
        <v>75</v>
      </c>
      <c r="D28" s="227" t="s">
        <v>76</v>
      </c>
      <c r="E28" s="227" t="s">
        <v>77</v>
      </c>
    </row>
    <row r="29" spans="1:8">
      <c r="A29" s="233" t="s">
        <v>78</v>
      </c>
      <c r="E29" s="227" t="s">
        <v>79</v>
      </c>
      <c r="H29" s="228" t="s">
        <v>80</v>
      </c>
    </row>
    <row r="30" spans="1:8">
      <c r="A30" s="233" t="s">
        <v>81</v>
      </c>
      <c r="B30" s="227" t="s">
        <v>82</v>
      </c>
      <c r="C30" s="227" t="s">
        <v>83</v>
      </c>
    </row>
    <row r="31" spans="1:8">
      <c r="A31" s="233" t="s">
        <v>84</v>
      </c>
    </row>
    <row r="32" spans="1:8">
      <c r="A32" s="233" t="s">
        <v>85</v>
      </c>
    </row>
    <row r="33" spans="1:10">
      <c r="A33" s="233" t="s">
        <v>86</v>
      </c>
    </row>
    <row r="34" spans="1:10">
      <c r="A34" s="233" t="s">
        <v>87</v>
      </c>
    </row>
    <row r="35" spans="1:10">
      <c r="A35" s="233" t="s">
        <v>88</v>
      </c>
    </row>
    <row r="36" spans="1:10">
      <c r="A36" s="233" t="s">
        <v>89</v>
      </c>
      <c r="B36" s="227" t="s">
        <v>90</v>
      </c>
    </row>
    <row r="37" ht="26" spans="1:10">
      <c r="A37" s="233" t="s">
        <v>91</v>
      </c>
      <c r="C37" s="227" t="s">
        <v>92</v>
      </c>
      <c r="D37" s="227" t="s">
        <v>93</v>
      </c>
    </row>
    <row r="38" spans="1:10">
      <c r="A38" s="233" t="s">
        <v>94</v>
      </c>
      <c r="B38" s="227" t="s">
        <v>95</v>
      </c>
      <c r="C38" s="234"/>
      <c r="D38" s="234"/>
      <c r="E38" s="234"/>
      <c r="F38" s="234"/>
      <c r="G38" s="234"/>
    </row>
    <row r="39" ht="26" spans="1:10">
      <c r="A39" s="233" t="s">
        <v>96</v>
      </c>
      <c r="C39" s="227" t="s">
        <v>97</v>
      </c>
      <c r="D39" s="227" t="s">
        <v>98</v>
      </c>
      <c r="E39" s="227" t="s">
        <v>99</v>
      </c>
    </row>
    <row r="40" ht="252" spans="1:10">
      <c r="A40" s="233" t="s">
        <v>100</v>
      </c>
      <c r="B40" s="227" t="s">
        <v>101</v>
      </c>
      <c r="C40" s="227" t="s">
        <v>102</v>
      </c>
      <c r="D40" s="227" t="s">
        <v>103</v>
      </c>
      <c r="F40" s="227" t="s">
        <v>104</v>
      </c>
      <c r="H40" s="228" t="s">
        <v>105</v>
      </c>
    </row>
    <row r="41" ht="208" spans="1:10">
      <c r="A41" s="233" t="s">
        <v>106</v>
      </c>
      <c r="C41" s="227" t="s">
        <v>107</v>
      </c>
      <c r="D41" s="227" t="s">
        <v>108</v>
      </c>
      <c r="E41" s="227" t="s">
        <v>109</v>
      </c>
      <c r="H41" s="228" t="s">
        <v>110</v>
      </c>
      <c r="I41" s="228" t="s">
        <v>111</v>
      </c>
      <c r="J41" s="228" t="s">
        <v>112</v>
      </c>
    </row>
    <row r="42" spans="1:10">
      <c r="A42" s="233" t="s">
        <v>113</v>
      </c>
    </row>
    <row r="43" ht="28" spans="1:10">
      <c r="A43" s="233" t="s">
        <v>114</v>
      </c>
      <c r="B43" s="227" t="s">
        <v>115</v>
      </c>
      <c r="E43" s="227" t="s">
        <v>116</v>
      </c>
      <c r="H43" s="228" t="s">
        <v>117</v>
      </c>
    </row>
    <row r="44" ht="26" spans="1:10">
      <c r="A44" s="233" t="s">
        <v>118</v>
      </c>
      <c r="B44" s="227" t="s">
        <v>119</v>
      </c>
    </row>
    <row r="45" ht="26" spans="1:10">
      <c r="A45" s="233" t="s">
        <v>120</v>
      </c>
      <c r="C45" s="227" t="s">
        <v>121</v>
      </c>
      <c r="D45" s="227" t="s">
        <v>122</v>
      </c>
      <c r="E45" s="227" t="s">
        <v>123</v>
      </c>
    </row>
    <row r="46" spans="1:10">
      <c r="A46" s="233" t="s">
        <v>124</v>
      </c>
    </row>
    <row r="47" spans="1:10">
      <c r="A47" s="233" t="s">
        <v>125</v>
      </c>
      <c r="D47" s="227" t="s">
        <v>126</v>
      </c>
    </row>
    <row r="48" ht="42" spans="1:10">
      <c r="A48" s="233" t="s">
        <v>127</v>
      </c>
      <c r="C48" s="227" t="s">
        <v>128</v>
      </c>
      <c r="D48" s="227" t="s">
        <v>129</v>
      </c>
      <c r="H48" s="228" t="s">
        <v>130</v>
      </c>
    </row>
    <row r="49" spans="1:8">
      <c r="A49" s="233" t="s">
        <v>131</v>
      </c>
      <c r="E49" s="227" t="s">
        <v>132</v>
      </c>
    </row>
    <row r="50" ht="78" spans="1:8">
      <c r="A50" s="233" t="s">
        <v>133</v>
      </c>
      <c r="C50" s="227" t="s">
        <v>134</v>
      </c>
    </row>
    <row r="51" spans="1:8">
      <c r="A51" s="233" t="s">
        <v>135</v>
      </c>
    </row>
    <row r="52" ht="26" spans="1:8">
      <c r="A52" s="233" t="s">
        <v>136</v>
      </c>
      <c r="B52" s="227" t="s">
        <v>137</v>
      </c>
      <c r="C52" s="227" t="s">
        <v>138</v>
      </c>
      <c r="E52" s="227" t="s">
        <v>139</v>
      </c>
    </row>
    <row r="53" ht="26" spans="1:8">
      <c r="A53" s="226" t="s">
        <v>140</v>
      </c>
      <c r="B53" s="227" t="s">
        <v>141</v>
      </c>
      <c r="D53" s="234"/>
      <c r="E53" s="234"/>
      <c r="F53" s="234"/>
      <c r="G53" s="234"/>
    </row>
    <row r="54" spans="1:8">
      <c r="A54" s="226" t="s">
        <v>142</v>
      </c>
      <c r="B54" s="227" t="s">
        <v>143</v>
      </c>
      <c r="C54" s="227" t="s">
        <v>144</v>
      </c>
      <c r="D54" s="234"/>
      <c r="E54" s="234"/>
      <c r="F54" s="234"/>
      <c r="G54" s="234"/>
    </row>
    <row r="55" ht="65" spans="1:8">
      <c r="A55" s="226" t="s">
        <v>145</v>
      </c>
      <c r="B55" s="234"/>
      <c r="C55" s="234"/>
      <c r="D55" s="227" t="s">
        <v>146</v>
      </c>
      <c r="E55" s="227" t="s">
        <v>147</v>
      </c>
    </row>
    <row r="56" ht="65" spans="1:8">
      <c r="A56" s="226" t="s">
        <v>148</v>
      </c>
      <c r="B56" s="235" t="s">
        <v>149</v>
      </c>
      <c r="C56" s="235"/>
      <c r="D56" s="227" t="s">
        <v>150</v>
      </c>
      <c r="H56" s="228" t="s">
        <v>151</v>
      </c>
    </row>
    <row r="57" ht="117" spans="1:8">
      <c r="A57" s="226" t="s">
        <v>152</v>
      </c>
      <c r="B57" s="235" t="s">
        <v>153</v>
      </c>
      <c r="C57" s="235" t="s">
        <v>154</v>
      </c>
      <c r="D57" s="227" t="s">
        <v>155</v>
      </c>
    </row>
    <row r="58" spans="1:8">
      <c r="A58" s="226" t="s">
        <v>156</v>
      </c>
      <c r="B58" s="227" t="s">
        <v>157</v>
      </c>
      <c r="C58" s="234"/>
      <c r="D58" s="234"/>
      <c r="E58" s="234"/>
      <c r="F58" s="234"/>
      <c r="G58" s="234"/>
    </row>
    <row r="59" spans="1:8">
      <c r="A59" s="226" t="s">
        <v>158</v>
      </c>
      <c r="B59" s="234"/>
      <c r="C59" s="227" t="s">
        <v>159</v>
      </c>
      <c r="D59" s="234"/>
      <c r="E59" s="234"/>
      <c r="F59" s="234"/>
      <c r="G59" s="234"/>
    </row>
    <row r="60" ht="52" spans="1:8">
      <c r="A60" s="226" t="s">
        <v>160</v>
      </c>
      <c r="B60" s="234" t="s">
        <v>161</v>
      </c>
      <c r="C60" s="234"/>
      <c r="D60" s="227" t="s">
        <v>162</v>
      </c>
    </row>
    <row r="61" spans="1:8">
      <c r="A61" s="226" t="s">
        <v>163</v>
      </c>
      <c r="B61" s="235" t="s">
        <v>164</v>
      </c>
      <c r="C61" s="235"/>
      <c r="D61" s="234"/>
      <c r="E61" s="234"/>
      <c r="F61" s="234"/>
      <c r="G61" s="234"/>
    </row>
    <row r="62" ht="52" spans="1:8">
      <c r="A62" s="226" t="s">
        <v>165</v>
      </c>
      <c r="B62" s="234"/>
      <c r="C62" s="234"/>
      <c r="D62" s="227" t="s">
        <v>166</v>
      </c>
      <c r="E62" s="227" t="s">
        <v>167</v>
      </c>
    </row>
    <row r="63" ht="26" spans="1:8">
      <c r="A63" s="226" t="s">
        <v>168</v>
      </c>
      <c r="B63" s="235" t="s">
        <v>169</v>
      </c>
      <c r="C63" s="235" t="s">
        <v>170</v>
      </c>
      <c r="D63" s="234"/>
      <c r="E63" s="234"/>
      <c r="F63" s="234"/>
      <c r="G63" s="234"/>
    </row>
    <row r="64" ht="26" spans="1:8">
      <c r="A64" s="226" t="s">
        <v>171</v>
      </c>
      <c r="B64" s="234"/>
      <c r="C64" s="234"/>
      <c r="D64" s="227" t="s">
        <v>172</v>
      </c>
      <c r="E64" s="227" t="s">
        <v>173</v>
      </c>
    </row>
    <row r="65" ht="26" spans="1:7">
      <c r="A65" s="226" t="s">
        <v>174</v>
      </c>
      <c r="B65" s="236" t="s">
        <v>175</v>
      </c>
      <c r="C65" s="234"/>
      <c r="D65" s="234"/>
      <c r="E65" s="234"/>
      <c r="F65" s="234"/>
      <c r="G65" s="234"/>
    </row>
    <row r="66" spans="1:7">
      <c r="A66" s="226" t="s">
        <v>176</v>
      </c>
      <c r="B66" s="234"/>
      <c r="C66" s="227" t="s">
        <v>177</v>
      </c>
      <c r="D66" s="234"/>
      <c r="E66" s="234"/>
      <c r="F66" s="234"/>
      <c r="G66" s="234"/>
    </row>
    <row r="67" spans="1:7">
      <c r="A67" s="226" t="s">
        <v>178</v>
      </c>
      <c r="B67" s="234"/>
      <c r="C67" s="234"/>
    </row>
    <row r="68" ht="78" spans="1:7">
      <c r="A68" s="226" t="s">
        <v>179</v>
      </c>
      <c r="B68" s="234"/>
      <c r="C68" s="234"/>
      <c r="D68" s="227" t="s">
        <v>180</v>
      </c>
    </row>
    <row r="69" spans="1:7">
      <c r="A69" s="226" t="s">
        <v>181</v>
      </c>
      <c r="B69" s="235" t="s">
        <v>182</v>
      </c>
      <c r="C69" s="235"/>
    </row>
    <row r="70" ht="26" spans="1:7">
      <c r="A70" s="226" t="s">
        <v>183</v>
      </c>
      <c r="B70" s="235" t="s">
        <v>184</v>
      </c>
      <c r="C70" s="235"/>
      <c r="D70" s="234"/>
      <c r="E70" s="234"/>
      <c r="F70" s="234"/>
      <c r="G70" s="234"/>
    </row>
    <row r="71" spans="1:7">
      <c r="A71" s="226" t="s">
        <v>185</v>
      </c>
      <c r="B71" s="234"/>
      <c r="C71" s="234"/>
    </row>
    <row r="72" spans="1:7">
      <c r="A72" s="226" t="s">
        <v>186</v>
      </c>
      <c r="B72" s="227" t="s">
        <v>187</v>
      </c>
      <c r="C72" s="227" t="s">
        <v>188</v>
      </c>
      <c r="D72" s="234"/>
      <c r="E72" s="234"/>
      <c r="F72" s="234"/>
      <c r="G72" s="234"/>
    </row>
    <row r="73" spans="1:7">
      <c r="A73" s="226" t="s">
        <v>189</v>
      </c>
      <c r="B73" s="234"/>
      <c r="C73" s="227" t="s">
        <v>190</v>
      </c>
      <c r="D73" s="234"/>
      <c r="E73" s="234"/>
      <c r="F73" s="234"/>
      <c r="G73" s="234"/>
    </row>
    <row r="74" spans="1:7">
      <c r="A74" s="226" t="s">
        <v>191</v>
      </c>
    </row>
    <row r="75" spans="1:7">
      <c r="A75" s="226" t="s">
        <v>192</v>
      </c>
      <c r="D75" s="234"/>
      <c r="E75" s="234"/>
      <c r="F75" s="234"/>
      <c r="G75" s="234"/>
    </row>
    <row r="76" spans="1:7">
      <c r="A76" s="226" t="s">
        <v>193</v>
      </c>
      <c r="B76" s="234"/>
      <c r="C76" s="234"/>
      <c r="D76" s="227" t="s">
        <v>194</v>
      </c>
    </row>
    <row r="77" spans="1:7">
      <c r="A77" s="226" t="s">
        <v>195</v>
      </c>
      <c r="B77" s="235"/>
      <c r="C77" s="235"/>
    </row>
    <row r="78" ht="26" spans="1:7">
      <c r="A78" s="237" t="s">
        <v>196</v>
      </c>
      <c r="B78" s="227" t="s">
        <v>197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0" customWidth="1"/>
    <col min="2" max="2" width="32.6181818181818" style="105" customWidth="1"/>
    <col min="3" max="7" width="16.4909090909091" style="105" customWidth="1"/>
    <col min="8" max="16384" width="8.72727272727273" style="221"/>
  </cols>
  <sheetData>
    <row r="1" spans="1:7">
      <c r="A1" s="222"/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9" t="s">
        <v>6</v>
      </c>
    </row>
    <row r="2" s="219" customFormat="1" ht="39" spans="1:7">
      <c r="A2" s="223" t="s">
        <v>198</v>
      </c>
      <c r="B2" s="117"/>
      <c r="C2" s="117"/>
      <c r="D2" s="117" t="s">
        <v>199</v>
      </c>
      <c r="E2" s="117"/>
      <c r="F2" s="117"/>
      <c r="G2" s="117"/>
    </row>
    <row r="3" spans="1:7">
      <c r="A3" s="224" t="s">
        <v>200</v>
      </c>
      <c r="C3" s="105" t="s">
        <v>201</v>
      </c>
    </row>
    <row r="4" spans="1:7">
      <c r="A4" s="224" t="s">
        <v>202</v>
      </c>
      <c r="B4" s="105" t="s">
        <v>203</v>
      </c>
      <c r="D4" s="105" t="s">
        <v>204</v>
      </c>
    </row>
    <row r="5" spans="1:7">
      <c r="A5" s="224" t="s">
        <v>205</v>
      </c>
      <c r="C5" s="105" t="s">
        <v>206</v>
      </c>
      <c r="D5" s="105" t="s">
        <v>207</v>
      </c>
    </row>
    <row r="6" spans="1:7">
      <c r="A6" s="224" t="s">
        <v>208</v>
      </c>
      <c r="B6" s="105" t="s">
        <v>209</v>
      </c>
      <c r="D6" s="105" t="s">
        <v>210</v>
      </c>
    </row>
    <row r="7" spans="1:7">
      <c r="A7" s="224" t="s">
        <v>211</v>
      </c>
      <c r="B7" s="105" t="s">
        <v>212</v>
      </c>
    </row>
    <row r="8" spans="1:7">
      <c r="A8" s="224"/>
      <c r="D8" s="105" t="s">
        <v>213</v>
      </c>
    </row>
    <row r="9" spans="1:7">
      <c r="A9" s="224"/>
    </row>
    <row r="10" spans="1:7">
      <c r="A10" s="224"/>
      <c r="B10" s="105" t="s">
        <v>214</v>
      </c>
    </row>
    <row r="11" spans="1:7">
      <c r="A11" s="224"/>
    </row>
    <row r="12" spans="1:7">
      <c r="A12" s="224"/>
      <c r="B12" s="105" t="s">
        <v>215</v>
      </c>
    </row>
    <row r="13" spans="1:7">
      <c r="A13" s="224"/>
      <c r="B13" s="105" t="s">
        <v>216</v>
      </c>
    </row>
    <row r="14" spans="1:7">
      <c r="A14" s="224"/>
      <c r="B14" s="105" t="s">
        <v>217</v>
      </c>
    </row>
    <row r="15" spans="1:7">
      <c r="A15" s="224"/>
      <c r="B15" s="105" t="s">
        <v>218</v>
      </c>
    </row>
    <row r="16" spans="1:7">
      <c r="A16" s="224"/>
      <c r="B16" s="105" t="s">
        <v>219</v>
      </c>
    </row>
    <row r="17" spans="1:2">
      <c r="A17" s="224"/>
      <c r="B17" s="105" t="s">
        <v>220</v>
      </c>
    </row>
    <row r="18" spans="1:2">
      <c r="A18" s="224"/>
      <c r="B18" s="105" t="s">
        <v>221</v>
      </c>
    </row>
    <row r="19" ht="26" spans="1:2">
      <c r="A19" s="224"/>
      <c r="B19" s="117" t="s">
        <v>222</v>
      </c>
    </row>
    <row r="20" spans="1:2">
      <c r="A20" s="224"/>
      <c r="B20" s="105" t="s">
        <v>223</v>
      </c>
    </row>
    <row r="21" spans="1:2">
      <c r="A21" s="224"/>
      <c r="B21" s="105" t="s">
        <v>224</v>
      </c>
    </row>
    <row r="22" spans="1:2">
      <c r="A22" s="224"/>
      <c r="B22" s="105" t="s">
        <v>225</v>
      </c>
    </row>
    <row r="23" spans="1:2">
      <c r="A23" s="224"/>
      <c r="B23" s="105" t="s">
        <v>226</v>
      </c>
    </row>
    <row r="24" spans="1:2">
      <c r="A24" s="224"/>
      <c r="B24" s="105" t="s">
        <v>227</v>
      </c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117"/>
      <c r="C38" s="117"/>
      <c r="D38" s="117"/>
      <c r="E38" s="117"/>
      <c r="F38" s="117"/>
      <c r="G38" s="117"/>
    </row>
    <row r="39" spans="1:7">
      <c r="A39" s="224"/>
      <c r="B39" s="117"/>
      <c r="C39" s="117"/>
      <c r="D39" s="117"/>
      <c r="E39" s="117"/>
      <c r="F39" s="117"/>
      <c r="G39" s="117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9"/>
  <sheetViews>
    <sheetView tabSelected="1" workbookViewId="0">
      <pane ySplit="1" topLeftCell="A2" activePane="bottomLeft" state="frozen"/>
      <selection/>
      <selection pane="bottomLeft" activeCell="C11" sqref="C11"/>
    </sheetView>
  </sheetViews>
  <sheetFormatPr defaultColWidth="8.72727272727273" defaultRowHeight="14" outlineLevelCol="2"/>
  <cols>
    <col min="1" max="1" width="24" style="210" customWidth="1"/>
    <col min="2" max="2" width="10.6363636363636" style="210" customWidth="1"/>
    <col min="3" max="3" width="91.3636363636364" style="210" customWidth="1"/>
    <col min="4" max="16384" width="8.72727272727273" style="131"/>
  </cols>
  <sheetData>
    <row r="1" s="209" customFormat="1" ht="15" spans="1:3">
      <c r="A1" s="211" t="s">
        <v>228</v>
      </c>
      <c r="B1" s="211" t="s">
        <v>229</v>
      </c>
      <c r="C1" s="211" t="s">
        <v>230</v>
      </c>
    </row>
    <row r="2" spans="1:3">
      <c r="A2" s="212" t="s">
        <v>231</v>
      </c>
      <c r="B2" s="212" t="s">
        <v>232</v>
      </c>
      <c r="C2" s="212" t="s">
        <v>233</v>
      </c>
    </row>
    <row r="3" spans="1:3">
      <c r="A3" s="212" t="s">
        <v>234</v>
      </c>
      <c r="B3" s="212" t="s">
        <v>235</v>
      </c>
      <c r="C3" s="212" t="s">
        <v>236</v>
      </c>
    </row>
    <row r="4" spans="1:3">
      <c r="A4" s="212" t="s">
        <v>237</v>
      </c>
      <c r="B4" s="212" t="s">
        <v>235</v>
      </c>
      <c r="C4" s="212" t="s">
        <v>238</v>
      </c>
    </row>
    <row r="5" ht="56" spans="1:3">
      <c r="A5" s="213" t="s">
        <v>239</v>
      </c>
      <c r="B5" s="212" t="s">
        <v>240</v>
      </c>
      <c r="C5" s="212" t="s">
        <v>241</v>
      </c>
    </row>
    <row r="6" ht="28" spans="1:3">
      <c r="A6" s="214"/>
      <c r="B6" s="212" t="s">
        <v>242</v>
      </c>
      <c r="C6" s="212" t="s">
        <v>243</v>
      </c>
    </row>
    <row r="7" spans="1:3">
      <c r="A7" s="215" t="s">
        <v>106</v>
      </c>
      <c r="B7" s="212" t="s">
        <v>244</v>
      </c>
      <c r="C7" s="212" t="s">
        <v>245</v>
      </c>
    </row>
    <row r="8" ht="140" spans="1:3">
      <c r="A8" s="215"/>
      <c r="B8" s="212" t="s">
        <v>246</v>
      </c>
      <c r="C8" s="212" t="s">
        <v>247</v>
      </c>
    </row>
    <row r="9" spans="1:3">
      <c r="A9" s="215"/>
      <c r="B9" s="212" t="s">
        <v>248</v>
      </c>
      <c r="C9" s="212" t="s">
        <v>249</v>
      </c>
    </row>
    <row r="10" spans="1:3">
      <c r="A10" s="215"/>
      <c r="B10" s="212" t="s">
        <v>250</v>
      </c>
      <c r="C10" s="212" t="s">
        <v>251</v>
      </c>
    </row>
    <row r="11" spans="1:3">
      <c r="A11" s="215"/>
      <c r="B11" s="212" t="s">
        <v>252</v>
      </c>
      <c r="C11" s="212" t="s">
        <v>253</v>
      </c>
    </row>
    <row r="12" spans="1:3">
      <c r="A12" s="215"/>
      <c r="B12" s="212"/>
      <c r="C12" s="212"/>
    </row>
    <row r="13" spans="1:3">
      <c r="A13" s="215"/>
      <c r="B13" s="212"/>
      <c r="C13" s="212"/>
    </row>
    <row r="14" spans="1:3">
      <c r="A14" s="216"/>
      <c r="B14" s="212"/>
      <c r="C14" s="212"/>
    </row>
    <row r="15" spans="1:3">
      <c r="A15" s="212" t="s">
        <v>254</v>
      </c>
      <c r="B15" s="212" t="s">
        <v>255</v>
      </c>
      <c r="C15" s="212" t="s">
        <v>256</v>
      </c>
    </row>
    <row r="16" spans="1:3">
      <c r="A16" s="212" t="s">
        <v>257</v>
      </c>
      <c r="B16" s="212" t="s">
        <v>258</v>
      </c>
      <c r="C16" s="212" t="s">
        <v>259</v>
      </c>
    </row>
    <row r="17" spans="1:3">
      <c r="A17" s="212" t="s">
        <v>260</v>
      </c>
      <c r="B17" s="212" t="s">
        <v>261</v>
      </c>
      <c r="C17" s="217">
        <v>0.440972222222222</v>
      </c>
    </row>
    <row r="18" spans="1:3">
      <c r="A18" s="218" t="s">
        <v>73</v>
      </c>
      <c r="B18" s="212" t="s">
        <v>262</v>
      </c>
      <c r="C18" s="212" t="s">
        <v>263</v>
      </c>
    </row>
    <row r="19" spans="1:3">
      <c r="A19" s="215"/>
      <c r="B19" s="212" t="s">
        <v>264</v>
      </c>
      <c r="C19" s="212" t="s">
        <v>265</v>
      </c>
    </row>
    <row r="20" ht="56" spans="1:3">
      <c r="A20" s="215"/>
      <c r="B20" s="212" t="s">
        <v>266</v>
      </c>
      <c r="C20" s="212" t="s">
        <v>267</v>
      </c>
    </row>
    <row r="21" spans="1:3">
      <c r="A21" s="215"/>
      <c r="B21" s="212" t="s">
        <v>268</v>
      </c>
      <c r="C21" s="212" t="s">
        <v>269</v>
      </c>
    </row>
    <row r="22" ht="28" spans="1:3">
      <c r="A22" s="215"/>
      <c r="B22" s="212" t="s">
        <v>270</v>
      </c>
      <c r="C22" s="212" t="s">
        <v>271</v>
      </c>
    </row>
    <row r="23" spans="1:3">
      <c r="A23" s="215"/>
      <c r="B23" s="212" t="s">
        <v>272</v>
      </c>
      <c r="C23" s="212" t="s">
        <v>273</v>
      </c>
    </row>
    <row r="24" spans="1:3">
      <c r="A24" s="215"/>
      <c r="B24" s="212" t="s">
        <v>274</v>
      </c>
      <c r="C24" s="212" t="s">
        <v>275</v>
      </c>
    </row>
    <row r="25" spans="1:3">
      <c r="A25" s="215"/>
      <c r="B25" s="212" t="s">
        <v>276</v>
      </c>
      <c r="C25" s="212" t="s">
        <v>277</v>
      </c>
    </row>
    <row r="26" spans="1:3">
      <c r="A26" s="215"/>
      <c r="B26" s="212" t="s">
        <v>274</v>
      </c>
      <c r="C26" s="212" t="s">
        <v>278</v>
      </c>
    </row>
    <row r="27" spans="1:3">
      <c r="A27" s="215"/>
      <c r="B27" s="212" t="s">
        <v>279</v>
      </c>
      <c r="C27" s="212" t="s">
        <v>280</v>
      </c>
    </row>
    <row r="28" spans="1:3">
      <c r="A28" s="215"/>
      <c r="B28" s="212" t="s">
        <v>281</v>
      </c>
      <c r="C28" s="212" t="s">
        <v>282</v>
      </c>
    </row>
    <row r="29" spans="1:3">
      <c r="A29" s="215"/>
      <c r="B29" s="212" t="s">
        <v>283</v>
      </c>
      <c r="C29" s="212" t="s">
        <v>284</v>
      </c>
    </row>
    <row r="30" spans="1:3">
      <c r="A30" s="215"/>
      <c r="B30" s="212" t="s">
        <v>283</v>
      </c>
      <c r="C30" s="212" t="s">
        <v>285</v>
      </c>
    </row>
    <row r="31" spans="1:3">
      <c r="A31" s="215"/>
      <c r="B31" s="212"/>
      <c r="C31" s="212"/>
    </row>
    <row r="32" spans="1:3">
      <c r="A32" s="215"/>
      <c r="B32" s="212"/>
      <c r="C32" s="212"/>
    </row>
    <row r="33" spans="1:3">
      <c r="A33" s="215"/>
      <c r="B33" s="212"/>
      <c r="C33" s="212"/>
    </row>
    <row r="34" spans="1:3">
      <c r="A34" s="213" t="s">
        <v>286</v>
      </c>
      <c r="B34" s="212" t="s">
        <v>264</v>
      </c>
      <c r="C34" s="212" t="s">
        <v>287</v>
      </c>
    </row>
    <row r="35" spans="1:3">
      <c r="A35" s="214"/>
      <c r="B35" s="212" t="s">
        <v>288</v>
      </c>
      <c r="C35" s="212" t="s">
        <v>289</v>
      </c>
    </row>
    <row r="36" ht="28" spans="1:3">
      <c r="A36" s="218" t="s">
        <v>290</v>
      </c>
      <c r="B36" s="212" t="s">
        <v>291</v>
      </c>
      <c r="C36" s="212" t="s">
        <v>292</v>
      </c>
    </row>
    <row r="37" spans="1:3">
      <c r="A37" s="215"/>
      <c r="B37" s="212" t="s">
        <v>246</v>
      </c>
      <c r="C37" s="212" t="s">
        <v>293</v>
      </c>
    </row>
    <row r="38" spans="1:3">
      <c r="A38" s="215"/>
      <c r="B38" s="212" t="s">
        <v>294</v>
      </c>
      <c r="C38" s="212" t="s">
        <v>295</v>
      </c>
    </row>
    <row r="39" spans="1:3">
      <c r="A39" s="215"/>
      <c r="B39" s="212"/>
      <c r="C39" s="212"/>
    </row>
    <row r="40" spans="1:3">
      <c r="A40" s="213" t="s">
        <v>296</v>
      </c>
      <c r="B40" s="212" t="s">
        <v>297</v>
      </c>
      <c r="C40" s="212" t="s">
        <v>298</v>
      </c>
    </row>
    <row r="41" spans="1:3">
      <c r="A41" s="214"/>
      <c r="B41" s="212" t="s">
        <v>244</v>
      </c>
      <c r="C41" s="212" t="s">
        <v>299</v>
      </c>
    </row>
    <row r="42" ht="28" spans="1:3">
      <c r="A42" s="218" t="s">
        <v>53</v>
      </c>
      <c r="B42" s="212" t="s">
        <v>244</v>
      </c>
      <c r="C42" s="212" t="s">
        <v>300</v>
      </c>
    </row>
    <row r="43" spans="1:3">
      <c r="A43" s="215"/>
      <c r="B43" s="210" t="s">
        <v>301</v>
      </c>
      <c r="C43" s="210" t="s">
        <v>302</v>
      </c>
    </row>
    <row r="44" spans="1:3">
      <c r="A44" s="215"/>
      <c r="B44" s="210" t="s">
        <v>268</v>
      </c>
      <c r="C44" s="210" t="s">
        <v>303</v>
      </c>
    </row>
    <row r="45" spans="1:3">
      <c r="A45" s="215"/>
      <c r="B45" s="210" t="s">
        <v>274</v>
      </c>
      <c r="C45" s="210" t="s">
        <v>304</v>
      </c>
    </row>
    <row r="46" ht="28" spans="1:3">
      <c r="A46" s="215"/>
      <c r="B46" s="210" t="s">
        <v>274</v>
      </c>
      <c r="C46" s="210" t="s">
        <v>305</v>
      </c>
    </row>
    <row r="47" spans="1:3">
      <c r="A47" s="215"/>
      <c r="B47" s="210" t="s">
        <v>306</v>
      </c>
      <c r="C47" s="210" t="s">
        <v>307</v>
      </c>
    </row>
    <row r="48" ht="98" spans="1:3">
      <c r="A48" s="218" t="s">
        <v>308</v>
      </c>
      <c r="B48" s="210" t="s">
        <v>244</v>
      </c>
      <c r="C48" s="210" t="s">
        <v>309</v>
      </c>
    </row>
    <row r="49" ht="84" spans="1:3">
      <c r="A49" s="215"/>
      <c r="B49" s="210" t="s">
        <v>310</v>
      </c>
      <c r="C49" s="210" t="s">
        <v>311</v>
      </c>
    </row>
    <row r="50" ht="28" spans="1:3">
      <c r="A50" s="216"/>
      <c r="B50" s="210" t="s">
        <v>312</v>
      </c>
      <c r="C50" s="210" t="s">
        <v>313</v>
      </c>
    </row>
    <row r="51" spans="1:3">
      <c r="A51" s="210" t="s">
        <v>43</v>
      </c>
      <c r="B51" s="210" t="s">
        <v>314</v>
      </c>
      <c r="C51" s="210" t="s">
        <v>315</v>
      </c>
    </row>
    <row r="52" spans="1:3">
      <c r="A52" s="218" t="s">
        <v>316</v>
      </c>
      <c r="B52" s="210" t="s">
        <v>246</v>
      </c>
      <c r="C52" s="210" t="s">
        <v>317</v>
      </c>
    </row>
    <row r="53" spans="1:3">
      <c r="A53" s="216"/>
      <c r="B53" s="210" t="s">
        <v>310</v>
      </c>
      <c r="C53" s="210" t="s">
        <v>318</v>
      </c>
    </row>
    <row r="54" spans="1:3">
      <c r="A54" s="210" t="s">
        <v>63</v>
      </c>
      <c r="B54" s="210" t="s">
        <v>248</v>
      </c>
      <c r="C54" s="210" t="s">
        <v>319</v>
      </c>
    </row>
    <row r="55" spans="1:3">
      <c r="A55" s="218" t="s">
        <v>320</v>
      </c>
      <c r="B55" s="210" t="s">
        <v>321</v>
      </c>
      <c r="C55" s="210" t="s">
        <v>322</v>
      </c>
    </row>
    <row r="56" spans="1:3">
      <c r="A56" s="216"/>
      <c r="B56" s="210" t="s">
        <v>274</v>
      </c>
      <c r="C56" s="210" t="s">
        <v>323</v>
      </c>
    </row>
    <row r="57" spans="1:3">
      <c r="A57" s="210" t="s">
        <v>324</v>
      </c>
      <c r="B57" s="210" t="s">
        <v>325</v>
      </c>
      <c r="C57" s="210" t="s">
        <v>326</v>
      </c>
    </row>
    <row r="58" spans="1:3">
      <c r="A58" s="210" t="s">
        <v>10</v>
      </c>
      <c r="B58" s="210" t="s">
        <v>310</v>
      </c>
      <c r="C58" s="210" t="s">
        <v>327</v>
      </c>
    </row>
    <row r="59" spans="1:3">
      <c r="A59" s="210" t="s">
        <v>328</v>
      </c>
      <c r="B59" s="210" t="s">
        <v>329</v>
      </c>
      <c r="C59" s="210" t="s">
        <v>330</v>
      </c>
    </row>
    <row r="60" spans="1:3">
      <c r="A60" s="210" t="s">
        <v>331</v>
      </c>
      <c r="B60" s="210" t="s">
        <v>332</v>
      </c>
      <c r="C60" s="210" t="s">
        <v>333</v>
      </c>
    </row>
    <row r="61" spans="1:3">
      <c r="A61" s="210" t="s">
        <v>334</v>
      </c>
      <c r="B61" s="210" t="s">
        <v>332</v>
      </c>
      <c r="C61" s="210" t="s">
        <v>335</v>
      </c>
    </row>
    <row r="62" spans="1:3">
      <c r="A62" s="210" t="s">
        <v>336</v>
      </c>
      <c r="B62" s="210" t="s">
        <v>270</v>
      </c>
      <c r="C62" s="210" t="s">
        <v>337</v>
      </c>
    </row>
    <row r="63" ht="28" spans="1:3">
      <c r="A63" s="210" t="s">
        <v>338</v>
      </c>
      <c r="B63" s="210" t="s">
        <v>312</v>
      </c>
      <c r="C63" s="210" t="s">
        <v>339</v>
      </c>
    </row>
    <row r="64" ht="28" spans="1:3">
      <c r="A64" s="218" t="s">
        <v>340</v>
      </c>
      <c r="B64" s="210" t="s">
        <v>312</v>
      </c>
      <c r="C64" s="210" t="s">
        <v>341</v>
      </c>
    </row>
    <row r="65" spans="1:3">
      <c r="A65" s="216"/>
      <c r="B65" s="210" t="s">
        <v>342</v>
      </c>
      <c r="C65" s="210" t="s">
        <v>343</v>
      </c>
    </row>
    <row r="66" ht="140" spans="1:3">
      <c r="A66" s="210" t="s">
        <v>344</v>
      </c>
      <c r="B66" s="210" t="s">
        <v>345</v>
      </c>
      <c r="C66" s="210" t="s">
        <v>346</v>
      </c>
    </row>
    <row r="67" spans="1:3">
      <c r="A67" s="210" t="s">
        <v>10</v>
      </c>
      <c r="B67" s="210" t="s">
        <v>272</v>
      </c>
      <c r="C67" s="210" t="s">
        <v>347</v>
      </c>
    </row>
    <row r="68" spans="1:3">
      <c r="A68" s="210" t="s">
        <v>348</v>
      </c>
      <c r="B68" s="210" t="s">
        <v>349</v>
      </c>
      <c r="C68" s="210" t="s">
        <v>350</v>
      </c>
    </row>
    <row r="69" spans="1:3">
      <c r="A69" s="210" t="s">
        <v>351</v>
      </c>
      <c r="B69" s="210" t="s">
        <v>352</v>
      </c>
      <c r="C69" s="210" t="s">
        <v>353</v>
      </c>
    </row>
    <row r="70" ht="70" spans="1:3">
      <c r="A70" s="210" t="s">
        <v>354</v>
      </c>
      <c r="B70" s="210" t="s">
        <v>355</v>
      </c>
      <c r="C70" s="210" t="s">
        <v>356</v>
      </c>
    </row>
    <row r="71" spans="1:3">
      <c r="A71" s="210" t="s">
        <v>357</v>
      </c>
      <c r="B71" s="210" t="s">
        <v>279</v>
      </c>
      <c r="C71" s="210" t="s">
        <v>358</v>
      </c>
    </row>
    <row r="72" ht="28" spans="1:3">
      <c r="A72" s="210" t="s">
        <v>47</v>
      </c>
      <c r="B72" s="210" t="s">
        <v>359</v>
      </c>
      <c r="C72" s="210" t="s">
        <v>360</v>
      </c>
    </row>
    <row r="73" spans="1:3">
      <c r="A73" s="210" t="s">
        <v>361</v>
      </c>
      <c r="B73" s="210" t="s">
        <v>362</v>
      </c>
      <c r="C73" s="210" t="s">
        <v>363</v>
      </c>
    </row>
    <row r="74" spans="1:3">
      <c r="A74" s="218" t="s">
        <v>364</v>
      </c>
      <c r="B74" s="210" t="s">
        <v>365</v>
      </c>
      <c r="C74" s="210" t="s">
        <v>366</v>
      </c>
    </row>
    <row r="75" spans="1:3">
      <c r="A75" s="216"/>
      <c r="B75" s="210" t="s">
        <v>362</v>
      </c>
      <c r="C75" s="210" t="s">
        <v>367</v>
      </c>
    </row>
    <row r="76" spans="1:3">
      <c r="A76" s="218" t="s">
        <v>368</v>
      </c>
      <c r="B76" s="210" t="s">
        <v>369</v>
      </c>
      <c r="C76" s="210" t="s">
        <v>370</v>
      </c>
    </row>
    <row r="77" spans="1:3">
      <c r="A77" s="216"/>
      <c r="B77" s="210" t="s">
        <v>371</v>
      </c>
      <c r="C77" s="210" t="s">
        <v>372</v>
      </c>
    </row>
    <row r="78" spans="1:3">
      <c r="A78" s="210" t="s">
        <v>373</v>
      </c>
      <c r="B78" s="210" t="s">
        <v>374</v>
      </c>
      <c r="C78" s="210" t="s">
        <v>375</v>
      </c>
    </row>
    <row r="79" ht="56" spans="1:3">
      <c r="A79" s="210" t="s">
        <v>376</v>
      </c>
      <c r="B79" s="210" t="s">
        <v>377</v>
      </c>
      <c r="C79" s="210" t="s">
        <v>378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1"/>
      <c r="B1" s="182" t="s">
        <v>1</v>
      </c>
      <c r="C1" s="182"/>
      <c r="D1" s="183" t="s">
        <v>2</v>
      </c>
      <c r="E1" s="184"/>
      <c r="F1" s="185"/>
      <c r="G1" s="182" t="s">
        <v>3</v>
      </c>
      <c r="H1" s="182" t="s">
        <v>4</v>
      </c>
      <c r="I1" s="182" t="s">
        <v>5</v>
      </c>
      <c r="J1" s="182" t="s">
        <v>6</v>
      </c>
    </row>
    <row r="2" ht="16.5" spans="1:10">
      <c r="A2" s="182" t="s">
        <v>379</v>
      </c>
      <c r="B2" s="186" t="s">
        <v>380</v>
      </c>
      <c r="C2" s="187" t="s">
        <v>381</v>
      </c>
      <c r="D2" s="188"/>
      <c r="E2" s="186" t="s">
        <v>380</v>
      </c>
      <c r="F2" s="186"/>
      <c r="G2" s="189" t="s">
        <v>382</v>
      </c>
      <c r="H2" s="189"/>
      <c r="I2" s="181"/>
      <c r="J2" s="190"/>
    </row>
    <row r="3" ht="16.5" spans="1:10">
      <c r="A3" s="182" t="s">
        <v>383</v>
      </c>
      <c r="B3" s="191" t="s">
        <v>384</v>
      </c>
      <c r="C3" s="191"/>
      <c r="D3" s="191"/>
      <c r="E3" s="191"/>
      <c r="F3" s="191"/>
      <c r="G3" s="191"/>
      <c r="H3" s="191"/>
      <c r="I3" s="181"/>
      <c r="J3" s="190"/>
    </row>
    <row r="4" ht="16.5" spans="1:10">
      <c r="A4" s="182" t="s">
        <v>385</v>
      </c>
      <c r="B4" s="192" t="s">
        <v>290</v>
      </c>
      <c r="C4" s="192"/>
      <c r="D4" s="192"/>
      <c r="E4" s="192"/>
      <c r="F4" s="192"/>
      <c r="G4" s="192"/>
      <c r="H4" s="192"/>
      <c r="I4" s="181"/>
      <c r="J4" s="190"/>
    </row>
    <row r="5" ht="16.5" spans="1:10">
      <c r="A5" s="182" t="s">
        <v>386</v>
      </c>
      <c r="B5" s="193">
        <v>1</v>
      </c>
      <c r="C5" s="193"/>
      <c r="D5" s="194">
        <v>2</v>
      </c>
      <c r="E5" s="194"/>
      <c r="F5" s="194"/>
      <c r="G5" s="193" t="s">
        <v>387</v>
      </c>
      <c r="H5" s="193"/>
      <c r="I5" s="181"/>
      <c r="J5" s="190"/>
    </row>
    <row r="6" ht="16.5" spans="1:10">
      <c r="A6" s="182" t="s">
        <v>388</v>
      </c>
      <c r="B6" s="195">
        <v>1</v>
      </c>
      <c r="C6" s="195"/>
      <c r="D6" s="195"/>
      <c r="E6" s="195"/>
      <c r="F6" s="195"/>
      <c r="G6" s="196" t="s">
        <v>389</v>
      </c>
      <c r="H6" s="196"/>
      <c r="I6" s="181"/>
      <c r="J6" s="190"/>
    </row>
    <row r="7" ht="16.5" spans="1:10">
      <c r="A7" s="182" t="s">
        <v>390</v>
      </c>
      <c r="B7" s="197" t="s">
        <v>391</v>
      </c>
      <c r="C7" s="197"/>
      <c r="D7" s="197"/>
      <c r="E7" s="197"/>
      <c r="F7" s="197"/>
      <c r="G7" s="198" t="s">
        <v>392</v>
      </c>
      <c r="H7" s="198"/>
      <c r="I7" s="181"/>
      <c r="J7" s="190"/>
    </row>
    <row r="8" ht="16.5" spans="1:10">
      <c r="A8" s="182" t="s">
        <v>393</v>
      </c>
      <c r="B8" s="199">
        <v>1</v>
      </c>
      <c r="C8" s="199"/>
      <c r="D8" s="200" t="s">
        <v>394</v>
      </c>
      <c r="E8" s="200"/>
      <c r="F8" s="200"/>
      <c r="G8" s="199" t="s">
        <v>395</v>
      </c>
      <c r="H8" s="199"/>
      <c r="I8" s="181"/>
      <c r="J8" s="190"/>
    </row>
    <row r="9" s="3" customFormat="1" ht="16.5" spans="1:10">
      <c r="A9" s="182" t="s">
        <v>396</v>
      </c>
      <c r="B9" s="4" t="s">
        <v>397</v>
      </c>
      <c r="C9" s="4"/>
      <c r="D9" s="4"/>
      <c r="E9" s="4"/>
      <c r="F9" s="4"/>
      <c r="G9" s="201" t="s">
        <v>398</v>
      </c>
      <c r="H9" s="201"/>
      <c r="I9" s="3"/>
      <c r="J9" s="202"/>
    </row>
    <row r="10" s="3" customFormat="1" ht="16.5" spans="1:10">
      <c r="A10" s="182" t="s">
        <v>399</v>
      </c>
      <c r="B10" s="20" t="s">
        <v>397</v>
      </c>
      <c r="C10" s="20"/>
      <c r="D10" s="20"/>
      <c r="E10" s="20"/>
      <c r="F10" s="20"/>
      <c r="G10" s="20"/>
      <c r="H10" s="20"/>
      <c r="I10" s="203"/>
      <c r="J10" s="202"/>
    </row>
    <row r="11" ht="16.5" spans="1:10">
      <c r="A11" s="182" t="s">
        <v>400</v>
      </c>
      <c r="B11" s="186" t="s">
        <v>401</v>
      </c>
      <c r="C11" s="186"/>
      <c r="D11" s="186"/>
      <c r="E11" s="186"/>
      <c r="F11" s="186"/>
      <c r="G11" s="186"/>
      <c r="H11" s="186"/>
      <c r="I11" s="181"/>
      <c r="J11" s="190"/>
    </row>
    <row r="12" ht="16.5" spans="1:10">
      <c r="A12" s="182" t="s">
        <v>402</v>
      </c>
      <c r="B12" s="191">
        <v>1</v>
      </c>
      <c r="C12" s="191"/>
      <c r="D12" s="204" t="s">
        <v>403</v>
      </c>
      <c r="E12" s="191">
        <v>1</v>
      </c>
      <c r="F12" s="204" t="s">
        <v>403</v>
      </c>
      <c r="G12" s="181" t="s">
        <v>397</v>
      </c>
      <c r="H12" s="181"/>
      <c r="I12" s="181"/>
      <c r="J12" s="190"/>
    </row>
    <row r="13" ht="16.5" spans="1:10">
      <c r="A13" s="182" t="s">
        <v>404</v>
      </c>
      <c r="B13" s="192">
        <v>1</v>
      </c>
      <c r="C13" s="192"/>
      <c r="D13" s="192"/>
      <c r="E13" s="192"/>
      <c r="F13" s="192"/>
      <c r="G13" s="192"/>
      <c r="H13" s="181" t="s">
        <v>397</v>
      </c>
      <c r="I13" s="181"/>
      <c r="J13" s="190"/>
    </row>
    <row r="14" ht="16.5" spans="1:10">
      <c r="A14" s="182" t="s">
        <v>405</v>
      </c>
      <c r="B14" s="205">
        <v>1</v>
      </c>
      <c r="C14" s="205"/>
      <c r="D14" s="205"/>
      <c r="E14" s="205"/>
      <c r="F14" s="205"/>
      <c r="G14" s="206">
        <v>2</v>
      </c>
      <c r="H14" s="207" t="s">
        <v>397</v>
      </c>
      <c r="I14" s="207"/>
      <c r="J14" s="208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1" customFormat="1" spans="1:10">
      <c r="A1" s="154" t="s">
        <v>406</v>
      </c>
      <c r="B1" s="155"/>
      <c r="C1" s="151" t="s">
        <v>1</v>
      </c>
      <c r="D1" s="151" t="s">
        <v>2</v>
      </c>
      <c r="E1" s="156" t="s">
        <v>3</v>
      </c>
      <c r="F1" s="157"/>
      <c r="G1" s="156" t="s">
        <v>4</v>
      </c>
      <c r="H1" s="157"/>
      <c r="I1" s="151" t="s">
        <v>5</v>
      </c>
      <c r="J1" s="151" t="s">
        <v>6</v>
      </c>
    </row>
    <row r="2" s="152" customFormat="1" spans="1:10">
      <c r="A2" s="158" t="s">
        <v>407</v>
      </c>
      <c r="B2" s="159" t="s">
        <v>408</v>
      </c>
      <c r="C2" s="160" t="s">
        <v>7</v>
      </c>
      <c r="D2" s="161"/>
      <c r="E2" s="161"/>
      <c r="F2" s="161"/>
      <c r="G2" s="161"/>
      <c r="H2" s="162"/>
    </row>
    <row r="3" s="152" customFormat="1" spans="1:10">
      <c r="A3" s="163"/>
      <c r="B3" s="159" t="s">
        <v>409</v>
      </c>
      <c r="C3" s="160" t="s">
        <v>31</v>
      </c>
      <c r="D3" s="161"/>
      <c r="E3" s="161"/>
      <c r="F3" s="161"/>
      <c r="G3" s="161"/>
      <c r="H3" s="162"/>
    </row>
    <row r="4" s="152" customFormat="1" spans="1:10">
      <c r="A4" s="163"/>
      <c r="B4" s="159"/>
      <c r="C4" s="160" t="s">
        <v>25</v>
      </c>
      <c r="D4" s="161"/>
      <c r="E4" s="161"/>
      <c r="F4" s="161"/>
      <c r="G4" s="161"/>
      <c r="H4" s="162"/>
    </row>
    <row r="5" s="152" customFormat="1" spans="1:10">
      <c r="A5" s="163"/>
      <c r="B5" s="159" t="s">
        <v>410</v>
      </c>
      <c r="C5" s="160" t="s">
        <v>36</v>
      </c>
      <c r="D5" s="161"/>
      <c r="E5" s="161"/>
      <c r="F5" s="161"/>
      <c r="G5" s="161"/>
      <c r="H5" s="162"/>
    </row>
    <row r="6" s="152" customFormat="1" spans="1:10">
      <c r="A6" s="163"/>
      <c r="B6" s="159" t="s">
        <v>411</v>
      </c>
      <c r="C6" s="55" t="s">
        <v>21</v>
      </c>
      <c r="D6" s="164" t="s">
        <v>120</v>
      </c>
      <c r="E6" s="165"/>
      <c r="F6" s="165"/>
      <c r="G6" s="165"/>
      <c r="H6" s="166"/>
    </row>
    <row r="7" s="152" customFormat="1" spans="1:10">
      <c r="A7" s="163"/>
      <c r="B7" s="159"/>
      <c r="C7" s="55" t="s">
        <v>59</v>
      </c>
      <c r="D7" s="152" t="s">
        <v>91</v>
      </c>
      <c r="E7" s="164" t="s">
        <v>106</v>
      </c>
      <c r="F7" s="165"/>
      <c r="G7" s="165"/>
      <c r="H7" s="166"/>
    </row>
    <row r="8" s="152" customFormat="1" spans="1:10">
      <c r="A8" s="163"/>
      <c r="B8" s="159" t="s">
        <v>412</v>
      </c>
      <c r="C8" s="55" t="s">
        <v>15</v>
      </c>
      <c r="D8" s="164" t="s">
        <v>96</v>
      </c>
      <c r="E8" s="165"/>
      <c r="F8" s="165"/>
      <c r="G8" s="165"/>
      <c r="H8" s="166"/>
    </row>
    <row r="9" s="152" customFormat="1" spans="1:10">
      <c r="A9" s="163"/>
      <c r="B9" s="159" t="s">
        <v>413</v>
      </c>
      <c r="C9" s="160" t="s">
        <v>27</v>
      </c>
      <c r="D9" s="161"/>
      <c r="E9" s="161"/>
      <c r="F9" s="161"/>
      <c r="G9" s="161"/>
      <c r="H9" s="162"/>
    </row>
    <row r="10" s="152" customFormat="1" spans="1:10">
      <c r="A10" s="163"/>
      <c r="B10" s="159" t="s">
        <v>414</v>
      </c>
      <c r="C10" s="160" t="s">
        <v>39</v>
      </c>
      <c r="D10" s="161"/>
      <c r="E10" s="161"/>
      <c r="F10" s="161"/>
      <c r="G10" s="161"/>
      <c r="H10" s="162"/>
    </row>
    <row r="11" s="152" customFormat="1" spans="1:10">
      <c r="A11" s="167"/>
      <c r="B11" s="159" t="s">
        <v>415</v>
      </c>
      <c r="C11" s="160" t="s">
        <v>84</v>
      </c>
      <c r="D11" s="161"/>
      <c r="E11" s="161"/>
      <c r="F11" s="161"/>
      <c r="G11" s="161"/>
      <c r="H11" s="162"/>
    </row>
    <row r="12" s="153" customFormat="1" spans="1:10">
      <c r="A12" s="168" t="s">
        <v>416</v>
      </c>
      <c r="B12" s="169" t="s">
        <v>417</v>
      </c>
      <c r="C12" s="170" t="s">
        <v>106</v>
      </c>
      <c r="D12" s="171"/>
      <c r="E12" s="172" t="s">
        <v>21</v>
      </c>
      <c r="F12" s="173"/>
      <c r="G12" s="173"/>
      <c r="H12" s="174"/>
    </row>
    <row r="13" s="153" customFormat="1" spans="1:10">
      <c r="A13" s="175"/>
      <c r="B13" s="169"/>
      <c r="C13" s="170" t="s">
        <v>45</v>
      </c>
      <c r="D13" s="176"/>
      <c r="E13" s="176"/>
      <c r="F13" s="176"/>
      <c r="G13" s="176"/>
      <c r="H13" s="171"/>
    </row>
    <row r="14" s="153" customFormat="1" spans="1:10">
      <c r="A14" s="175"/>
      <c r="B14" s="169" t="s">
        <v>418</v>
      </c>
      <c r="C14" s="170" t="s">
        <v>419</v>
      </c>
      <c r="D14" s="176"/>
      <c r="E14" s="171"/>
      <c r="F14" s="173" t="s">
        <v>39</v>
      </c>
      <c r="G14" s="173"/>
      <c r="H14" s="174"/>
    </row>
    <row r="15" s="153" customFormat="1" spans="1:10">
      <c r="A15" s="175"/>
      <c r="B15" s="169" t="s">
        <v>420</v>
      </c>
      <c r="C15" s="170" t="s">
        <v>10</v>
      </c>
      <c r="D15" s="176"/>
      <c r="E15" s="176"/>
      <c r="F15" s="176"/>
      <c r="G15" s="176"/>
      <c r="H15" s="171"/>
    </row>
    <row r="16" s="153" customFormat="1" spans="1:10">
      <c r="A16" s="175"/>
      <c r="B16" s="169"/>
      <c r="C16" s="170" t="s">
        <v>13</v>
      </c>
      <c r="D16" s="176"/>
      <c r="E16" s="176"/>
      <c r="F16" s="176"/>
      <c r="G16" s="176"/>
      <c r="H16" s="171"/>
    </row>
    <row r="17" s="153" customFormat="1" spans="1:10">
      <c r="A17" s="175"/>
      <c r="B17" s="169" t="s">
        <v>421</v>
      </c>
      <c r="C17" s="170" t="s">
        <v>30</v>
      </c>
      <c r="D17" s="176"/>
      <c r="E17" s="176"/>
      <c r="F17" s="176"/>
      <c r="G17" s="176"/>
      <c r="H17" s="171"/>
    </row>
    <row r="18" s="153" customFormat="1" spans="1:10">
      <c r="A18" s="175"/>
      <c r="B18" s="169" t="s">
        <v>422</v>
      </c>
      <c r="C18" s="170" t="s">
        <v>50</v>
      </c>
      <c r="D18" s="176"/>
      <c r="E18" s="176"/>
      <c r="F18" s="176"/>
      <c r="G18" s="176"/>
      <c r="H18" s="171"/>
    </row>
    <row r="19" s="153" customFormat="1" spans="1:10">
      <c r="A19" s="175"/>
      <c r="B19" s="169" t="s">
        <v>423</v>
      </c>
      <c r="C19" s="170" t="s">
        <v>96</v>
      </c>
      <c r="D19" s="176"/>
      <c r="E19" s="176"/>
      <c r="F19" s="176"/>
      <c r="G19" s="176"/>
      <c r="H19" s="171"/>
      <c r="I19" s="177"/>
      <c r="J19" s="178"/>
    </row>
    <row r="20" s="153" customFormat="1" spans="1:10">
      <c r="A20" s="175"/>
      <c r="B20" s="169" t="s">
        <v>424</v>
      </c>
      <c r="C20" s="170" t="s">
        <v>100</v>
      </c>
      <c r="D20" s="176"/>
      <c r="E20" s="176"/>
      <c r="F20" s="176"/>
      <c r="G20" s="171"/>
      <c r="H20" s="174" t="s">
        <v>38</v>
      </c>
      <c r="I20" s="177"/>
      <c r="J20" s="178"/>
    </row>
    <row r="21" s="153" customFormat="1" spans="1:10">
      <c r="A21" s="175"/>
      <c r="B21" s="169" t="s">
        <v>425</v>
      </c>
      <c r="C21" s="177"/>
      <c r="D21" s="178"/>
      <c r="E21" s="172" t="s">
        <v>28</v>
      </c>
      <c r="F21" s="173"/>
      <c r="G21" s="173"/>
      <c r="H21" s="174"/>
    </row>
    <row r="22" s="153" customFormat="1" spans="1:10">
      <c r="A22" s="179"/>
      <c r="B22" s="169" t="s">
        <v>426</v>
      </c>
      <c r="C22" s="177"/>
      <c r="D22" s="180"/>
      <c r="E22" s="180"/>
      <c r="F22" s="180"/>
      <c r="G22" s="180"/>
      <c r="H22" s="178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1"/>
    <col min="2" max="9" width="10.3272727272727" style="131" customWidth="1"/>
    <col min="10" max="16384" width="8.72727272727273" style="131"/>
  </cols>
  <sheetData>
    <row r="1" s="130" customFormat="1" customHeight="1" spans="1:16">
      <c r="A1" s="132" t="s">
        <v>427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</row>
    <row r="2" s="131" customFormat="1" customHeight="1" spans="1:16">
      <c r="A2" s="134" t="s">
        <v>428</v>
      </c>
      <c r="B2" s="135"/>
      <c r="C2" s="136"/>
      <c r="D2" s="137" t="s">
        <v>50</v>
      </c>
      <c r="E2" s="137" t="s">
        <v>124</v>
      </c>
      <c r="F2" s="138"/>
      <c r="G2" s="138"/>
      <c r="H2" s="139"/>
      <c r="I2" s="139"/>
    </row>
    <row r="3" s="131" customFormat="1" customHeight="1" spans="1:16">
      <c r="A3" s="140"/>
      <c r="B3" s="136" t="s">
        <v>38</v>
      </c>
      <c r="C3" s="136" t="s">
        <v>50</v>
      </c>
      <c r="D3" s="137" t="s">
        <v>30</v>
      </c>
      <c r="E3" s="137" t="s">
        <v>7</v>
      </c>
      <c r="F3" s="138" t="s">
        <v>78</v>
      </c>
      <c r="G3" s="138" t="s">
        <v>91</v>
      </c>
      <c r="H3" s="139" t="s">
        <v>124</v>
      </c>
      <c r="I3" s="139" t="s">
        <v>106</v>
      </c>
    </row>
    <row r="4" s="131" customFormat="1" customHeight="1" spans="1:16">
      <c r="A4" s="140"/>
      <c r="B4" s="136" t="s">
        <v>45</v>
      </c>
      <c r="C4" s="136" t="s">
        <v>43</v>
      </c>
      <c r="D4" s="137" t="s">
        <v>135</v>
      </c>
      <c r="E4" s="137" t="s">
        <v>94</v>
      </c>
      <c r="F4" s="138" t="s">
        <v>21</v>
      </c>
      <c r="G4" s="138" t="s">
        <v>69</v>
      </c>
      <c r="H4" s="139" t="s">
        <v>58</v>
      </c>
      <c r="I4" s="139" t="s">
        <v>33</v>
      </c>
    </row>
    <row r="5" s="131" customFormat="1" customHeight="1" spans="1:16">
      <c r="A5" s="140"/>
      <c r="B5" s="136" t="s">
        <v>85</v>
      </c>
      <c r="C5" s="136" t="s">
        <v>31</v>
      </c>
      <c r="D5" s="137" t="s">
        <v>47</v>
      </c>
      <c r="E5" s="137" t="s">
        <v>88</v>
      </c>
      <c r="F5" s="138" t="s">
        <v>84</v>
      </c>
      <c r="G5" s="138" t="s">
        <v>28</v>
      </c>
      <c r="H5" s="139" t="s">
        <v>39</v>
      </c>
      <c r="I5" s="139" t="s">
        <v>125</v>
      </c>
    </row>
    <row r="6" s="131" customFormat="1" customHeight="1" spans="1:16">
      <c r="A6" s="140"/>
      <c r="B6" s="136" t="s">
        <v>25</v>
      </c>
      <c r="C6" s="136" t="s">
        <v>87</v>
      </c>
      <c r="D6" s="137" t="s">
        <v>10</v>
      </c>
      <c r="E6" s="137" t="s">
        <v>86</v>
      </c>
      <c r="F6" s="138" t="s">
        <v>100</v>
      </c>
      <c r="G6" s="138" t="s">
        <v>133</v>
      </c>
      <c r="H6" s="139" t="s">
        <v>73</v>
      </c>
      <c r="I6" s="139" t="s">
        <v>19</v>
      </c>
    </row>
    <row r="7" s="131" customFormat="1" customHeight="1" spans="1:16">
      <c r="A7" s="140"/>
      <c r="B7" s="136" t="s">
        <v>118</v>
      </c>
      <c r="C7" s="136" t="s">
        <v>36</v>
      </c>
      <c r="D7" s="137" t="s">
        <v>70</v>
      </c>
      <c r="E7" s="137" t="s">
        <v>13</v>
      </c>
      <c r="F7" s="138" t="s">
        <v>113</v>
      </c>
      <c r="G7" s="138" t="s">
        <v>59</v>
      </c>
      <c r="H7" s="139" t="s">
        <v>89</v>
      </c>
      <c r="I7" s="139" t="s">
        <v>114</v>
      </c>
    </row>
    <row r="8" s="131" customFormat="1" customHeight="1" spans="1:16">
      <c r="A8" s="140"/>
      <c r="B8" s="136" t="s">
        <v>131</v>
      </c>
      <c r="C8" s="136" t="s">
        <v>68</v>
      </c>
      <c r="D8" s="137" t="s">
        <v>81</v>
      </c>
      <c r="E8" s="137" t="s">
        <v>120</v>
      </c>
      <c r="F8" s="138" t="s">
        <v>53</v>
      </c>
      <c r="G8" s="138" t="s">
        <v>127</v>
      </c>
      <c r="H8" s="139" t="s">
        <v>63</v>
      </c>
      <c r="I8" s="139" t="s">
        <v>96</v>
      </c>
    </row>
    <row r="9" s="131" customFormat="1" customHeight="1" spans="1:16">
      <c r="A9" s="141"/>
      <c r="B9" s="142"/>
      <c r="C9" s="143"/>
      <c r="D9" s="144" t="s">
        <v>136</v>
      </c>
      <c r="E9" s="145"/>
      <c r="F9" s="146"/>
      <c r="G9" s="146"/>
      <c r="H9" s="146"/>
      <c r="I9" s="147"/>
    </row>
    <row r="10" s="131" customFormat="1" customHeight="1" spans="1:16">
      <c r="A10" s="134" t="s">
        <v>429</v>
      </c>
      <c r="B10" s="135"/>
      <c r="C10" s="136"/>
      <c r="D10" s="137" t="s">
        <v>50</v>
      </c>
      <c r="E10" s="137" t="s">
        <v>124</v>
      </c>
      <c r="F10" s="138"/>
      <c r="G10" s="138"/>
      <c r="H10" s="139"/>
      <c r="I10" s="139"/>
    </row>
    <row r="11" s="131" customFormat="1" customHeight="1" spans="1:16">
      <c r="A11" s="140"/>
      <c r="B11" s="136" t="s">
        <v>58</v>
      </c>
      <c r="C11" s="136" t="s">
        <v>106</v>
      </c>
      <c r="D11" s="137" t="s">
        <v>69</v>
      </c>
      <c r="E11" s="137" t="s">
        <v>135</v>
      </c>
      <c r="F11" s="138" t="s">
        <v>15</v>
      </c>
      <c r="G11" s="138" t="s">
        <v>91</v>
      </c>
      <c r="H11" s="139" t="s">
        <v>38</v>
      </c>
      <c r="I11" s="139" t="s">
        <v>27</v>
      </c>
    </row>
    <row r="12" s="131" customFormat="1" customHeight="1" spans="1:16">
      <c r="A12" s="140"/>
      <c r="B12" s="136" t="s">
        <v>94</v>
      </c>
      <c r="C12" s="136" t="s">
        <v>33</v>
      </c>
      <c r="D12" s="137" t="s">
        <v>7</v>
      </c>
      <c r="E12" s="137" t="s">
        <v>30</v>
      </c>
      <c r="F12" s="138" t="s">
        <v>21</v>
      </c>
      <c r="G12" s="138" t="s">
        <v>78</v>
      </c>
      <c r="H12" s="139" t="s">
        <v>45</v>
      </c>
      <c r="I12" s="139" t="s">
        <v>43</v>
      </c>
    </row>
    <row r="13" s="131" customFormat="1" customHeight="1" spans="1:16">
      <c r="A13" s="140"/>
      <c r="B13" s="136" t="s">
        <v>85</v>
      </c>
      <c r="C13" s="136" t="s">
        <v>47</v>
      </c>
      <c r="D13" s="137" t="s">
        <v>39</v>
      </c>
      <c r="E13" s="137" t="s">
        <v>125</v>
      </c>
      <c r="F13" s="138" t="s">
        <v>133</v>
      </c>
      <c r="G13" s="138" t="s">
        <v>86</v>
      </c>
      <c r="H13" s="139" t="s">
        <v>88</v>
      </c>
      <c r="I13" s="139" t="s">
        <v>31</v>
      </c>
    </row>
    <row r="14" s="131" customFormat="1" customHeight="1" spans="1:16">
      <c r="A14" s="140"/>
      <c r="B14" s="136" t="s">
        <v>25</v>
      </c>
      <c r="C14" s="136" t="s">
        <v>87</v>
      </c>
      <c r="D14" s="137" t="s">
        <v>10</v>
      </c>
      <c r="E14" s="137" t="s">
        <v>73</v>
      </c>
      <c r="F14" s="138" t="s">
        <v>28</v>
      </c>
      <c r="G14" s="138" t="s">
        <v>84</v>
      </c>
      <c r="H14" s="139" t="s">
        <v>19</v>
      </c>
      <c r="I14" s="139" t="s">
        <v>100</v>
      </c>
    </row>
    <row r="15" s="131" customFormat="1" customHeight="1" spans="1:16">
      <c r="A15" s="140"/>
      <c r="B15" s="136" t="s">
        <v>36</v>
      </c>
      <c r="C15" s="136" t="s">
        <v>118</v>
      </c>
      <c r="D15" s="137" t="s">
        <v>114</v>
      </c>
      <c r="E15" s="137" t="s">
        <v>113</v>
      </c>
      <c r="F15" s="138" t="s">
        <v>13</v>
      </c>
      <c r="G15" s="138" t="s">
        <v>59</v>
      </c>
      <c r="H15" s="139" t="s">
        <v>89</v>
      </c>
      <c r="I15" s="139" t="s">
        <v>70</v>
      </c>
    </row>
    <row r="16" s="131" customFormat="1" customHeight="1" spans="1:16">
      <c r="A16" s="140"/>
      <c r="B16" s="136" t="s">
        <v>131</v>
      </c>
      <c r="C16" s="136" t="s">
        <v>68</v>
      </c>
      <c r="D16" s="137" t="s">
        <v>127</v>
      </c>
      <c r="E16" s="137" t="s">
        <v>120</v>
      </c>
      <c r="F16" s="138" t="s">
        <v>53</v>
      </c>
      <c r="G16" s="138" t="s">
        <v>81</v>
      </c>
      <c r="H16" s="139" t="s">
        <v>136</v>
      </c>
      <c r="I16" s="139" t="s">
        <v>96</v>
      </c>
    </row>
    <row r="17" s="131" customFormat="1" customHeight="1" spans="1:9">
      <c r="A17" s="141"/>
      <c r="B17" s="142"/>
      <c r="C17" s="143"/>
      <c r="D17" s="144" t="s">
        <v>63</v>
      </c>
      <c r="E17" s="145"/>
      <c r="F17" s="146"/>
      <c r="G17" s="146"/>
      <c r="H17" s="146"/>
      <c r="I17" s="147"/>
    </row>
    <row r="18" s="131" customFormat="1" customHeight="1" spans="1:9">
      <c r="A18" s="134" t="s">
        <v>430</v>
      </c>
      <c r="B18" s="135"/>
      <c r="C18" s="136"/>
      <c r="D18" s="137" t="s">
        <v>50</v>
      </c>
      <c r="E18" s="137"/>
      <c r="F18" s="138" t="s">
        <v>124</v>
      </c>
      <c r="G18" s="138"/>
      <c r="H18" s="139"/>
      <c r="I18" s="139"/>
    </row>
    <row r="19" s="131" customFormat="1" customHeight="1" spans="1:9">
      <c r="A19" s="140"/>
      <c r="B19" s="148" t="s">
        <v>27</v>
      </c>
      <c r="C19" s="136" t="s">
        <v>38</v>
      </c>
      <c r="D19" s="137" t="s">
        <v>135</v>
      </c>
      <c r="E19" s="137" t="s">
        <v>91</v>
      </c>
      <c r="F19" s="138" t="s">
        <v>58</v>
      </c>
      <c r="G19" s="138" t="s">
        <v>106</v>
      </c>
      <c r="H19" s="139" t="s">
        <v>15</v>
      </c>
      <c r="I19" s="139" t="s">
        <v>69</v>
      </c>
    </row>
    <row r="20" s="131" customFormat="1" customHeight="1" spans="1:9">
      <c r="A20" s="140"/>
      <c r="B20" s="136" t="s">
        <v>78</v>
      </c>
      <c r="C20" s="136" t="s">
        <v>30</v>
      </c>
      <c r="D20" s="137" t="s">
        <v>94</v>
      </c>
      <c r="E20" s="137" t="s">
        <v>33</v>
      </c>
      <c r="F20" s="138" t="s">
        <v>43</v>
      </c>
      <c r="G20" s="138" t="s">
        <v>47</v>
      </c>
      <c r="H20" s="139" t="s">
        <v>45</v>
      </c>
      <c r="I20" s="139" t="s">
        <v>7</v>
      </c>
    </row>
    <row r="21" s="131" customFormat="1" customHeight="1" spans="1:9">
      <c r="A21" s="140"/>
      <c r="B21" s="136" t="s">
        <v>88</v>
      </c>
      <c r="C21" s="136" t="s">
        <v>85</v>
      </c>
      <c r="D21" s="137" t="s">
        <v>84</v>
      </c>
      <c r="E21" s="137" t="s">
        <v>39</v>
      </c>
      <c r="F21" s="138" t="s">
        <v>28</v>
      </c>
      <c r="G21" s="138" t="s">
        <v>21</v>
      </c>
      <c r="H21" s="139" t="s">
        <v>89</v>
      </c>
      <c r="I21" s="139" t="s">
        <v>31</v>
      </c>
    </row>
    <row r="22" s="131" customFormat="1" customHeight="1" spans="1:9">
      <c r="A22" s="140"/>
      <c r="B22" s="136" t="s">
        <v>25</v>
      </c>
      <c r="C22" s="136" t="s">
        <v>100</v>
      </c>
      <c r="D22" s="137" t="s">
        <v>86</v>
      </c>
      <c r="E22" s="137" t="s">
        <v>73</v>
      </c>
      <c r="F22" s="138" t="s">
        <v>133</v>
      </c>
      <c r="G22" s="138" t="s">
        <v>113</v>
      </c>
      <c r="H22" s="139" t="s">
        <v>19</v>
      </c>
      <c r="I22" s="139" t="s">
        <v>13</v>
      </c>
    </row>
    <row r="23" s="131" customFormat="1" customHeight="1" spans="1:9">
      <c r="A23" s="140"/>
      <c r="B23" s="136" t="s">
        <v>70</v>
      </c>
      <c r="C23" s="136" t="s">
        <v>118</v>
      </c>
      <c r="D23" s="137" t="s">
        <v>87</v>
      </c>
      <c r="E23" s="137" t="s">
        <v>36</v>
      </c>
      <c r="F23" s="138" t="s">
        <v>120</v>
      </c>
      <c r="G23" s="138" t="s">
        <v>10</v>
      </c>
      <c r="H23" s="139" t="s">
        <v>59</v>
      </c>
      <c r="I23" s="139" t="s">
        <v>53</v>
      </c>
    </row>
    <row r="24" s="131" customFormat="1" customHeight="1" spans="1:9">
      <c r="A24" s="140"/>
      <c r="B24" s="136" t="s">
        <v>127</v>
      </c>
      <c r="C24" s="136" t="s">
        <v>96</v>
      </c>
      <c r="D24" s="137" t="s">
        <v>81</v>
      </c>
      <c r="E24" s="137" t="s">
        <v>68</v>
      </c>
      <c r="F24" s="138" t="s">
        <v>87</v>
      </c>
      <c r="G24" s="138" t="s">
        <v>114</v>
      </c>
      <c r="H24" s="139" t="s">
        <v>131</v>
      </c>
      <c r="I24" s="139" t="s">
        <v>53</v>
      </c>
    </row>
    <row r="25" s="131" customFormat="1" customHeight="1" spans="1:9">
      <c r="A25" s="141"/>
      <c r="B25" s="149"/>
      <c r="C25" s="150"/>
      <c r="D25" s="144" t="s">
        <v>136</v>
      </c>
      <c r="E25" s="145"/>
      <c r="F25" s="146"/>
      <c r="G25" s="146"/>
      <c r="H25" s="146"/>
      <c r="I25" s="147"/>
    </row>
    <row r="26" customHeight="1" spans="1:9">
      <c r="A26" s="134" t="s">
        <v>431</v>
      </c>
      <c r="B26" s="135"/>
      <c r="C26" s="136"/>
      <c r="D26" s="137"/>
      <c r="E26" s="137"/>
      <c r="F26" s="138"/>
      <c r="G26" s="138"/>
      <c r="H26" s="139" t="s">
        <v>87</v>
      </c>
      <c r="I26" s="139"/>
    </row>
    <row r="27" customHeight="1" spans="1:9">
      <c r="A27" s="140"/>
      <c r="B27" s="148" t="s">
        <v>15</v>
      </c>
      <c r="C27" s="136" t="s">
        <v>38</v>
      </c>
      <c r="D27" s="137" t="s">
        <v>27</v>
      </c>
      <c r="E27" s="137" t="s">
        <v>43</v>
      </c>
      <c r="F27" s="138" t="s">
        <v>124</v>
      </c>
      <c r="G27" s="138" t="s">
        <v>91</v>
      </c>
      <c r="H27" s="139" t="s">
        <v>135</v>
      </c>
      <c r="I27" s="139" t="s">
        <v>58</v>
      </c>
    </row>
    <row r="28" customHeight="1" spans="1:9">
      <c r="A28" s="140"/>
      <c r="B28" s="136" t="s">
        <v>45</v>
      </c>
      <c r="C28" s="136" t="s">
        <v>7</v>
      </c>
      <c r="D28" s="137" t="s">
        <v>78</v>
      </c>
      <c r="E28" s="137" t="s">
        <v>30</v>
      </c>
      <c r="F28" s="138" t="s">
        <v>86</v>
      </c>
      <c r="G28" s="138" t="s">
        <v>88</v>
      </c>
      <c r="H28" s="139" t="s">
        <v>69</v>
      </c>
      <c r="I28" s="139" t="s">
        <v>50</v>
      </c>
    </row>
    <row r="29" customHeight="1" spans="1:9">
      <c r="A29" s="140"/>
      <c r="B29" s="136" t="s">
        <v>89</v>
      </c>
      <c r="C29" s="136" t="s">
        <v>63</v>
      </c>
      <c r="D29" s="137" t="s">
        <v>133</v>
      </c>
      <c r="E29" s="137" t="s">
        <v>85</v>
      </c>
      <c r="F29" s="138" t="s">
        <v>33</v>
      </c>
      <c r="G29" s="138" t="s">
        <v>39</v>
      </c>
      <c r="H29" s="139" t="s">
        <v>28</v>
      </c>
      <c r="I29" s="139" t="s">
        <v>31</v>
      </c>
    </row>
    <row r="30" customHeight="1" spans="1:9">
      <c r="A30" s="140"/>
      <c r="B30" s="136" t="s">
        <v>53</v>
      </c>
      <c r="C30" s="136" t="s">
        <v>21</v>
      </c>
      <c r="D30" s="137" t="s">
        <v>100</v>
      </c>
      <c r="E30" s="137" t="s">
        <v>84</v>
      </c>
      <c r="F30" s="138" t="s">
        <v>73</v>
      </c>
      <c r="G30" s="138" t="s">
        <v>19</v>
      </c>
      <c r="H30" s="139" t="s">
        <v>125</v>
      </c>
      <c r="I30" s="139" t="s">
        <v>25</v>
      </c>
    </row>
    <row r="31" customHeight="1" spans="1:9">
      <c r="A31" s="140"/>
      <c r="B31" s="136" t="s">
        <v>127</v>
      </c>
      <c r="C31" s="136" t="s">
        <v>59</v>
      </c>
      <c r="D31" s="137" t="s">
        <v>10</v>
      </c>
      <c r="E31" s="137" t="s">
        <v>70</v>
      </c>
      <c r="F31" s="138" t="s">
        <v>81</v>
      </c>
      <c r="G31" s="138" t="s">
        <v>36</v>
      </c>
      <c r="H31" s="139" t="s">
        <v>47</v>
      </c>
      <c r="I31" s="139" t="s">
        <v>113</v>
      </c>
    </row>
    <row r="32" customHeight="1" spans="1:9">
      <c r="A32" s="140"/>
      <c r="B32" s="136" t="s">
        <v>118</v>
      </c>
      <c r="C32" s="136" t="s">
        <v>114</v>
      </c>
      <c r="D32" s="137" t="s">
        <v>131</v>
      </c>
      <c r="E32" s="137" t="s">
        <v>106</v>
      </c>
      <c r="F32" s="138" t="s">
        <v>13</v>
      </c>
      <c r="G32" s="138" t="s">
        <v>96</v>
      </c>
      <c r="H32" s="139" t="s">
        <v>68</v>
      </c>
      <c r="I32" s="139" t="s">
        <v>120</v>
      </c>
    </row>
    <row r="33" customHeight="1" spans="1:9">
      <c r="A33" s="141"/>
      <c r="B33" s="149"/>
      <c r="C33" s="150"/>
      <c r="D33" s="144" t="s">
        <v>136</v>
      </c>
      <c r="E33" s="145"/>
      <c r="F33" s="146"/>
      <c r="G33" s="146"/>
      <c r="H33" s="146"/>
      <c r="I33" s="147"/>
    </row>
    <row r="34" customHeight="1" spans="1:9">
      <c r="A34" s="134" t="s">
        <v>432</v>
      </c>
      <c r="B34" s="135"/>
      <c r="C34" s="136"/>
      <c r="D34" s="137"/>
      <c r="E34" s="137"/>
      <c r="F34" s="138" t="s">
        <v>87</v>
      </c>
      <c r="G34" s="138" t="s">
        <v>63</v>
      </c>
      <c r="H34" s="139"/>
      <c r="I34" s="139"/>
    </row>
    <row r="35" customHeight="1" spans="1:9">
      <c r="A35" s="140"/>
      <c r="B35" s="148" t="s">
        <v>86</v>
      </c>
      <c r="C35" s="136" t="s">
        <v>135</v>
      </c>
      <c r="D35" s="137" t="s">
        <v>50</v>
      </c>
      <c r="E35" s="137" t="s">
        <v>27</v>
      </c>
      <c r="F35" s="138" t="s">
        <v>43</v>
      </c>
      <c r="G35" s="138" t="s">
        <v>15</v>
      </c>
      <c r="H35" s="139" t="s">
        <v>124</v>
      </c>
      <c r="I35" s="139" t="s">
        <v>69</v>
      </c>
    </row>
    <row r="36" customHeight="1" spans="1:9">
      <c r="A36" s="140"/>
      <c r="B36" s="136" t="s">
        <v>125</v>
      </c>
      <c r="C36" s="136" t="s">
        <v>133</v>
      </c>
      <c r="D36" s="137" t="s">
        <v>88</v>
      </c>
      <c r="E36" s="137" t="s">
        <v>58</v>
      </c>
      <c r="F36" s="138" t="s">
        <v>91</v>
      </c>
      <c r="G36" s="138" t="s">
        <v>38</v>
      </c>
      <c r="H36" s="139" t="s">
        <v>45</v>
      </c>
      <c r="I36" s="139" t="s">
        <v>78</v>
      </c>
    </row>
    <row r="37" customHeight="1" spans="1:9">
      <c r="A37" s="140"/>
      <c r="B37" s="136" t="s">
        <v>33</v>
      </c>
      <c r="C37" s="136" t="s">
        <v>30</v>
      </c>
      <c r="D37" s="137" t="s">
        <v>89</v>
      </c>
      <c r="E37" s="137" t="s">
        <v>85</v>
      </c>
      <c r="F37" s="138" t="s">
        <v>7</v>
      </c>
      <c r="G37" s="138" t="s">
        <v>31</v>
      </c>
      <c r="H37" s="139" t="s">
        <v>100</v>
      </c>
      <c r="I37" s="139" t="s">
        <v>39</v>
      </c>
    </row>
    <row r="38" customHeight="1" spans="1:9">
      <c r="A38" s="140"/>
      <c r="B38" s="136" t="s">
        <v>73</v>
      </c>
      <c r="C38" s="136" t="s">
        <v>21</v>
      </c>
      <c r="D38" s="137" t="s">
        <v>28</v>
      </c>
      <c r="E38" s="137" t="s">
        <v>47</v>
      </c>
      <c r="F38" s="138" t="s">
        <v>53</v>
      </c>
      <c r="G38" s="138" t="s">
        <v>84</v>
      </c>
      <c r="H38" s="139" t="s">
        <v>113</v>
      </c>
      <c r="I38" s="139" t="s">
        <v>10</v>
      </c>
    </row>
    <row r="39" customHeight="1" spans="1:9">
      <c r="A39" s="140"/>
      <c r="B39" s="136" t="s">
        <v>114</v>
      </c>
      <c r="C39" s="136" t="s">
        <v>127</v>
      </c>
      <c r="D39" s="137" t="s">
        <v>70</v>
      </c>
      <c r="E39" s="137" t="s">
        <v>19</v>
      </c>
      <c r="F39" s="138" t="s">
        <v>120</v>
      </c>
      <c r="G39" s="138" t="s">
        <v>13</v>
      </c>
      <c r="H39" s="139" t="s">
        <v>25</v>
      </c>
      <c r="I39" s="139" t="s">
        <v>59</v>
      </c>
    </row>
    <row r="40" customHeight="1" spans="1:9">
      <c r="A40" s="140"/>
      <c r="B40" s="136" t="s">
        <v>106</v>
      </c>
      <c r="C40" s="136" t="s">
        <v>118</v>
      </c>
      <c r="D40" s="137" t="s">
        <v>96</v>
      </c>
      <c r="E40" s="137" t="s">
        <v>131</v>
      </c>
      <c r="F40" s="138" t="s">
        <v>136</v>
      </c>
      <c r="G40" s="138" t="s">
        <v>68</v>
      </c>
      <c r="H40" s="139" t="s">
        <v>36</v>
      </c>
      <c r="I40" s="139" t="s">
        <v>81</v>
      </c>
    </row>
    <row r="41" customHeight="1" spans="1:9">
      <c r="A41" s="141"/>
      <c r="B41" s="149"/>
      <c r="C41" s="150"/>
      <c r="D41" s="144"/>
      <c r="E41" s="145"/>
      <c r="F41" s="146"/>
      <c r="G41" s="146"/>
      <c r="H41" s="146"/>
      <c r="I41" s="147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118" customWidth="1"/>
    <col min="2" max="2" width="20.5545454545455" style="119" customWidth="1"/>
    <col min="3" max="3" width="61.9" style="120" customWidth="1"/>
  </cols>
  <sheetData>
    <row r="1" spans="1:3">
      <c r="A1" s="121" t="s">
        <v>433</v>
      </c>
      <c r="B1" s="122" t="s">
        <v>434</v>
      </c>
      <c r="C1" s="123" t="s">
        <v>230</v>
      </c>
    </row>
    <row r="2" spans="1:3">
      <c r="A2" s="124" t="s">
        <v>1</v>
      </c>
      <c r="B2" s="119" t="s">
        <v>435</v>
      </c>
      <c r="C2" s="120" t="s">
        <v>436</v>
      </c>
    </row>
    <row r="3" spans="1:3">
      <c r="A3" s="124"/>
      <c r="B3" s="119" t="s">
        <v>437</v>
      </c>
      <c r="C3" s="120" t="s">
        <v>438</v>
      </c>
    </row>
    <row r="4" spans="1:3">
      <c r="A4" s="124"/>
      <c r="B4" s="119" t="s">
        <v>439</v>
      </c>
      <c r="C4" s="120" t="s">
        <v>440</v>
      </c>
    </row>
    <row r="5" spans="1:3">
      <c r="A5" s="124"/>
      <c r="B5" s="119" t="s">
        <v>441</v>
      </c>
      <c r="C5" s="120" t="s">
        <v>442</v>
      </c>
    </row>
    <row r="6" spans="1:3">
      <c r="A6" s="124"/>
      <c r="B6" s="119" t="s">
        <v>443</v>
      </c>
      <c r="C6" s="120" t="s">
        <v>444</v>
      </c>
    </row>
    <row r="7" spans="1:3">
      <c r="A7" s="124"/>
      <c r="B7" s="119" t="s">
        <v>445</v>
      </c>
      <c r="C7" s="120" t="s">
        <v>446</v>
      </c>
    </row>
    <row r="8" spans="1:3">
      <c r="A8" s="124"/>
      <c r="B8" s="119" t="s">
        <v>447</v>
      </c>
      <c r="C8" s="120" t="s">
        <v>448</v>
      </c>
    </row>
    <row r="9" spans="1:3">
      <c r="A9" s="124"/>
      <c r="B9" s="119" t="s">
        <v>449</v>
      </c>
      <c r="C9" s="120" t="s">
        <v>450</v>
      </c>
    </row>
    <row r="10" spans="1:3">
      <c r="A10" s="124"/>
      <c r="B10" s="119" t="s">
        <v>451</v>
      </c>
      <c r="C10" s="120" t="s">
        <v>452</v>
      </c>
    </row>
    <row r="11" spans="1:3">
      <c r="A11" s="124"/>
      <c r="B11" s="119" t="s">
        <v>453</v>
      </c>
      <c r="C11" s="120" t="s">
        <v>454</v>
      </c>
    </row>
    <row r="12" spans="1:3">
      <c r="A12" s="124"/>
      <c r="B12" s="119" t="s">
        <v>455</v>
      </c>
      <c r="C12" s="120" t="s">
        <v>456</v>
      </c>
    </row>
    <row r="13" spans="1:3">
      <c r="A13" s="124"/>
      <c r="B13" s="119" t="s">
        <v>457</v>
      </c>
      <c r="C13" s="120" t="s">
        <v>458</v>
      </c>
    </row>
    <row r="14" spans="1:3">
      <c r="A14" s="124"/>
      <c r="B14" s="119" t="s">
        <v>459</v>
      </c>
      <c r="C14" s="120" t="s">
        <v>460</v>
      </c>
    </row>
    <row r="15" spans="1:3">
      <c r="A15" s="124"/>
      <c r="B15" s="119" t="s">
        <v>461</v>
      </c>
      <c r="C15" s="120" t="s">
        <v>462</v>
      </c>
    </row>
    <row r="16" spans="1:3">
      <c r="A16" s="124"/>
      <c r="B16" s="119" t="s">
        <v>463</v>
      </c>
      <c r="C16" s="120" t="s">
        <v>464</v>
      </c>
    </row>
    <row r="17" spans="1:3">
      <c r="A17" s="124"/>
      <c r="B17" s="119" t="s">
        <v>465</v>
      </c>
      <c r="C17" s="120" t="s">
        <v>466</v>
      </c>
    </row>
    <row r="18" spans="1:3">
      <c r="A18" s="124"/>
      <c r="B18" s="119" t="s">
        <v>467</v>
      </c>
      <c r="C18" s="120" t="s">
        <v>468</v>
      </c>
    </row>
    <row r="19" spans="1:3">
      <c r="A19" s="124"/>
      <c r="B19" s="119" t="s">
        <v>469</v>
      </c>
      <c r="C19" s="120" t="s">
        <v>470</v>
      </c>
    </row>
    <row r="20" spans="1:3">
      <c r="A20" s="124"/>
      <c r="B20" s="119" t="s">
        <v>471</v>
      </c>
      <c r="C20" s="120" t="s">
        <v>472</v>
      </c>
    </row>
    <row r="21" spans="1:3">
      <c r="A21" s="124"/>
      <c r="B21" s="119" t="s">
        <v>471</v>
      </c>
      <c r="C21" s="120" t="s">
        <v>473</v>
      </c>
    </row>
    <row r="22" spans="1:3">
      <c r="A22" s="124"/>
      <c r="B22" s="119" t="s">
        <v>474</v>
      </c>
      <c r="C22" s="120" t="s">
        <v>475</v>
      </c>
    </row>
    <row r="23" spans="1:3">
      <c r="A23" s="124"/>
      <c r="B23" s="119" t="s">
        <v>476</v>
      </c>
      <c r="C23" s="120" t="s">
        <v>477</v>
      </c>
    </row>
    <row r="24" spans="1:3">
      <c r="A24" s="124"/>
      <c r="B24" s="119" t="s">
        <v>478</v>
      </c>
      <c r="C24" s="120" t="s">
        <v>479</v>
      </c>
    </row>
    <row r="25" spans="1:3">
      <c r="A25" s="125" t="s">
        <v>2</v>
      </c>
      <c r="B25" s="119" t="s">
        <v>480</v>
      </c>
      <c r="C25" s="120" t="s">
        <v>481</v>
      </c>
    </row>
    <row r="26" spans="1:3">
      <c r="A26" s="125"/>
      <c r="B26" s="119" t="s">
        <v>482</v>
      </c>
      <c r="C26" s="120" t="s">
        <v>483</v>
      </c>
    </row>
    <row r="27" spans="1:3">
      <c r="A27" s="125"/>
      <c r="B27" s="119" t="s">
        <v>484</v>
      </c>
      <c r="C27" s="120" t="s">
        <v>485</v>
      </c>
    </row>
    <row r="28" spans="1:3">
      <c r="A28" s="125"/>
      <c r="B28" s="119" t="s">
        <v>486</v>
      </c>
      <c r="C28" s="120" t="s">
        <v>487</v>
      </c>
    </row>
    <row r="29" spans="1:3">
      <c r="A29" s="125"/>
      <c r="B29" s="119" t="s">
        <v>488</v>
      </c>
      <c r="C29" s="120" t="s">
        <v>489</v>
      </c>
    </row>
    <row r="30" spans="1:3">
      <c r="A30" s="125"/>
      <c r="B30" s="119" t="s">
        <v>490</v>
      </c>
      <c r="C30" s="120" t="s">
        <v>491</v>
      </c>
    </row>
    <row r="31" spans="1:3">
      <c r="A31" s="125"/>
      <c r="B31" s="119" t="s">
        <v>492</v>
      </c>
      <c r="C31" s="120" t="s">
        <v>493</v>
      </c>
    </row>
    <row r="32" spans="1:3">
      <c r="A32" s="125"/>
      <c r="B32" s="119" t="s">
        <v>494</v>
      </c>
      <c r="C32" s="120" t="s">
        <v>495</v>
      </c>
    </row>
    <row r="33" spans="1:3">
      <c r="A33" s="125"/>
      <c r="B33" s="119" t="s">
        <v>496</v>
      </c>
      <c r="C33" s="120" t="s">
        <v>497</v>
      </c>
    </row>
    <row r="34" spans="1:3">
      <c r="A34" s="125"/>
      <c r="B34" s="119" t="s">
        <v>498</v>
      </c>
      <c r="C34" s="120" t="s">
        <v>499</v>
      </c>
    </row>
    <row r="35" spans="1:3">
      <c r="A35" s="125"/>
      <c r="B35" s="119" t="s">
        <v>500</v>
      </c>
      <c r="C35" s="120" t="s">
        <v>501</v>
      </c>
    </row>
    <row r="36" spans="1:3">
      <c r="A36" s="125"/>
      <c r="B36" s="119" t="s">
        <v>502</v>
      </c>
      <c r="C36" s="120" t="s">
        <v>503</v>
      </c>
    </row>
    <row r="37" spans="1:3">
      <c r="A37" s="126"/>
      <c r="B37" s="119" t="s">
        <v>504</v>
      </c>
      <c r="C37" s="120" t="s">
        <v>505</v>
      </c>
    </row>
    <row r="38" spans="1:3">
      <c r="A38" s="127" t="s">
        <v>3</v>
      </c>
      <c r="B38" s="119" t="s">
        <v>506</v>
      </c>
      <c r="C38" s="120" t="s">
        <v>507</v>
      </c>
    </row>
    <row r="39" spans="1:3">
      <c r="A39" s="128"/>
      <c r="B39" s="119" t="s">
        <v>508</v>
      </c>
      <c r="C39" s="120" t="s">
        <v>509</v>
      </c>
    </row>
    <row r="40" spans="1:3">
      <c r="A40" s="128"/>
      <c r="B40" s="119" t="s">
        <v>510</v>
      </c>
      <c r="C40" s="120" t="s">
        <v>511</v>
      </c>
    </row>
    <row r="41" spans="1:3">
      <c r="A41" s="128"/>
      <c r="B41" s="119" t="s">
        <v>512</v>
      </c>
      <c r="C41" s="120" t="s">
        <v>444</v>
      </c>
    </row>
    <row r="42" spans="1:3">
      <c r="A42" s="128"/>
      <c r="B42" s="119" t="s">
        <v>513</v>
      </c>
      <c r="C42" s="120" t="s">
        <v>514</v>
      </c>
    </row>
    <row r="43" spans="1:3">
      <c r="A43" s="128"/>
      <c r="B43" s="119" t="s">
        <v>515</v>
      </c>
      <c r="C43" s="120" t="s">
        <v>516</v>
      </c>
    </row>
    <row r="44" spans="1:3">
      <c r="A44" s="128"/>
      <c r="B44" s="119" t="s">
        <v>517</v>
      </c>
      <c r="C44" s="120" t="s">
        <v>518</v>
      </c>
    </row>
    <row r="45" spans="1:3">
      <c r="A45" s="128"/>
      <c r="B45" s="119" t="s">
        <v>519</v>
      </c>
      <c r="C45" s="120" t="s">
        <v>520</v>
      </c>
    </row>
    <row r="46" spans="1:3">
      <c r="A46" s="128"/>
      <c r="B46" s="119" t="s">
        <v>521</v>
      </c>
      <c r="C46" s="120" t="s">
        <v>522</v>
      </c>
    </row>
    <row r="47" spans="1:3">
      <c r="A47" s="128"/>
      <c r="B47" s="119" t="s">
        <v>523</v>
      </c>
      <c r="C47" s="120" t="s">
        <v>524</v>
      </c>
    </row>
    <row r="48" spans="1:3">
      <c r="A48" s="128"/>
      <c r="B48" s="119" t="s">
        <v>525</v>
      </c>
      <c r="C48" s="120" t="s">
        <v>526</v>
      </c>
    </row>
    <row r="49" spans="1:3">
      <c r="A49" s="128"/>
      <c r="B49" s="119" t="s">
        <v>527</v>
      </c>
      <c r="C49" s="120" t="s">
        <v>528</v>
      </c>
    </row>
    <row r="50" spans="1:3">
      <c r="A50" s="129"/>
      <c r="B50" s="119" t="s">
        <v>529</v>
      </c>
      <c r="C50" s="120" t="s">
        <v>530</v>
      </c>
    </row>
    <row r="51" customFormat="1" spans="1:3">
      <c r="A51" s="118"/>
      <c r="B51" s="119" t="s">
        <v>531</v>
      </c>
      <c r="C51" s="120"/>
    </row>
    <row r="52" customFormat="1" spans="1:3">
      <c r="A52" s="118"/>
      <c r="B52" s="119" t="s">
        <v>531</v>
      </c>
      <c r="C52" s="120"/>
    </row>
    <row r="53" customFormat="1" spans="1:3">
      <c r="A53" s="118"/>
      <c r="B53" s="119" t="s">
        <v>531</v>
      </c>
      <c r="C53" s="120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7" workbookViewId="0">
      <selection activeCell="D50" sqref="D50:D51"/>
    </sheetView>
  </sheetViews>
  <sheetFormatPr defaultColWidth="8.72727272727273" defaultRowHeight="14" outlineLevelCol="4"/>
  <cols>
    <col min="1" max="1" width="4" style="102" customWidth="1"/>
    <col min="2" max="2" width="7.21818181818182" style="103" customWidth="1"/>
    <col min="3" max="3" width="9.21818181818182" style="104" customWidth="1"/>
    <col min="4" max="4" width="62.4545454545455" style="105" customWidth="1"/>
  </cols>
  <sheetData>
    <row r="1" spans="1:5">
      <c r="A1" s="106" t="s">
        <v>532</v>
      </c>
      <c r="B1" s="107" t="s">
        <v>0</v>
      </c>
      <c r="C1" s="108" t="s">
        <v>533</v>
      </c>
      <c r="D1" s="109" t="s">
        <v>534</v>
      </c>
    </row>
    <row r="2" spans="1:5">
      <c r="A2" s="110">
        <v>1</v>
      </c>
      <c r="B2" s="111" t="s">
        <v>7</v>
      </c>
      <c r="C2" s="112">
        <v>20111216</v>
      </c>
      <c r="D2" s="105" t="s">
        <v>535</v>
      </c>
    </row>
    <row r="3" spans="1:5">
      <c r="A3" s="110">
        <v>2</v>
      </c>
      <c r="B3" s="111" t="s">
        <v>10</v>
      </c>
      <c r="C3" s="113">
        <v>20111227</v>
      </c>
      <c r="D3" s="105" t="s">
        <v>536</v>
      </c>
    </row>
    <row r="4" spans="1:5">
      <c r="A4" s="110">
        <v>3</v>
      </c>
      <c r="B4" s="111" t="s">
        <v>13</v>
      </c>
      <c r="C4" s="113">
        <v>20120518</v>
      </c>
      <c r="D4" s="105" t="s">
        <v>537</v>
      </c>
    </row>
    <row r="5" customFormat="1" spans="1:5">
      <c r="A5" s="110">
        <v>4</v>
      </c>
      <c r="B5" s="111" t="s">
        <v>15</v>
      </c>
      <c r="C5" s="113">
        <v>20120714</v>
      </c>
      <c r="D5" s="105" t="s">
        <v>17</v>
      </c>
    </row>
    <row r="6" spans="1:5">
      <c r="A6" s="110">
        <v>5</v>
      </c>
      <c r="B6" s="111" t="s">
        <v>19</v>
      </c>
      <c r="C6" s="113">
        <v>20120504</v>
      </c>
      <c r="D6" s="105" t="s">
        <v>380</v>
      </c>
    </row>
    <row r="7" spans="1:5">
      <c r="A7" s="110">
        <v>6</v>
      </c>
      <c r="B7" s="111" t="s">
        <v>21</v>
      </c>
      <c r="C7" s="113">
        <v>20120809</v>
      </c>
      <c r="D7" s="105" t="s">
        <v>538</v>
      </c>
    </row>
    <row r="8" spans="1:5">
      <c r="A8" s="110">
        <v>7</v>
      </c>
      <c r="B8" s="111" t="s">
        <v>25</v>
      </c>
      <c r="C8" s="113">
        <v>20120227</v>
      </c>
      <c r="D8" s="105" t="s">
        <v>539</v>
      </c>
    </row>
    <row r="9" spans="1:5">
      <c r="A9" s="110">
        <v>8</v>
      </c>
      <c r="B9" s="111" t="s">
        <v>27</v>
      </c>
      <c r="C9" s="113">
        <v>20120127</v>
      </c>
      <c r="D9" s="105" t="s">
        <v>540</v>
      </c>
    </row>
    <row r="10" spans="1:5">
      <c r="A10" s="110">
        <v>9</v>
      </c>
      <c r="B10" s="111" t="s">
        <v>28</v>
      </c>
      <c r="C10" s="113">
        <v>20111202</v>
      </c>
      <c r="D10" s="105" t="s">
        <v>541</v>
      </c>
    </row>
    <row r="11" customFormat="1" spans="1:5">
      <c r="A11" s="110">
        <v>10</v>
      </c>
      <c r="B11" s="111" t="s">
        <v>30</v>
      </c>
      <c r="C11" s="113">
        <v>20120623</v>
      </c>
      <c r="D11" s="105"/>
    </row>
    <row r="12" spans="1:5">
      <c r="A12" s="110">
        <v>11</v>
      </c>
      <c r="B12" s="111" t="s">
        <v>31</v>
      </c>
      <c r="C12" s="113">
        <v>20111024</v>
      </c>
      <c r="D12" s="105" t="s">
        <v>542</v>
      </c>
    </row>
    <row r="13" spans="1:5">
      <c r="A13" s="110">
        <v>12</v>
      </c>
      <c r="B13" s="111" t="s">
        <v>33</v>
      </c>
      <c r="C13" s="113">
        <v>20110908</v>
      </c>
      <c r="D13" s="105" t="s">
        <v>543</v>
      </c>
    </row>
    <row r="14" spans="1:5">
      <c r="A14" s="110">
        <v>13</v>
      </c>
      <c r="B14" s="111" t="s">
        <v>36</v>
      </c>
      <c r="C14" s="113">
        <v>20120228</v>
      </c>
      <c r="D14" s="105" t="s">
        <v>544</v>
      </c>
    </row>
    <row r="15" customFormat="1" spans="1:5">
      <c r="A15" s="110">
        <v>14</v>
      </c>
      <c r="B15" s="111" t="s">
        <v>38</v>
      </c>
      <c r="C15" s="113">
        <v>20110904</v>
      </c>
      <c r="D15" s="105"/>
    </row>
    <row r="16" spans="1:5">
      <c r="A16" s="110">
        <v>15</v>
      </c>
      <c r="B16" s="111" t="s">
        <v>39</v>
      </c>
      <c r="C16" s="112">
        <v>20111201</v>
      </c>
      <c r="D16" s="105" t="s">
        <v>545</v>
      </c>
      <c r="E16" t="s">
        <v>546</v>
      </c>
    </row>
    <row r="17" spans="1:5">
      <c r="A17" s="110">
        <v>16</v>
      </c>
      <c r="B17" s="111" t="s">
        <v>43</v>
      </c>
      <c r="C17" s="113">
        <v>20120722</v>
      </c>
      <c r="D17" s="105" t="s">
        <v>547</v>
      </c>
    </row>
    <row r="18" customFormat="1" spans="1:5">
      <c r="A18" s="110">
        <v>17</v>
      </c>
      <c r="B18" s="111" t="s">
        <v>45</v>
      </c>
      <c r="C18" s="113">
        <v>20111215</v>
      </c>
      <c r="D18" s="105"/>
      <c r="E18" t="s">
        <v>546</v>
      </c>
    </row>
    <row r="19" customFormat="1" spans="1:5">
      <c r="A19" s="110">
        <v>18</v>
      </c>
      <c r="B19" s="111" t="s">
        <v>47</v>
      </c>
      <c r="C19" s="113">
        <v>20120509</v>
      </c>
      <c r="D19" s="105"/>
    </row>
    <row r="20" spans="1:5">
      <c r="A20" s="110">
        <v>19</v>
      </c>
      <c r="B20" s="111" t="s">
        <v>50</v>
      </c>
      <c r="C20" s="113">
        <v>20120530</v>
      </c>
      <c r="D20" s="105" t="s">
        <v>548</v>
      </c>
    </row>
    <row r="21" spans="1:5">
      <c r="A21" s="110">
        <v>20</v>
      </c>
      <c r="B21" s="111" t="s">
        <v>53</v>
      </c>
      <c r="C21" s="113">
        <v>20120827</v>
      </c>
      <c r="D21" s="105" t="s">
        <v>549</v>
      </c>
      <c r="E21" t="s">
        <v>546</v>
      </c>
    </row>
    <row r="22" customFormat="1" spans="1:5">
      <c r="A22" s="110">
        <v>21</v>
      </c>
      <c r="B22" s="111" t="s">
        <v>58</v>
      </c>
      <c r="C22" s="113">
        <v>20120816</v>
      </c>
      <c r="D22" s="105"/>
    </row>
    <row r="23" spans="1:5">
      <c r="A23" s="110">
        <v>22</v>
      </c>
      <c r="B23" s="111" t="s">
        <v>59</v>
      </c>
      <c r="C23" s="113">
        <v>20120518</v>
      </c>
      <c r="D23" s="105" t="s">
        <v>550</v>
      </c>
    </row>
    <row r="24" spans="1:5">
      <c r="A24" s="110">
        <v>23</v>
      </c>
      <c r="B24" s="111" t="s">
        <v>63</v>
      </c>
      <c r="C24" s="113">
        <v>20120413</v>
      </c>
      <c r="D24" s="105" t="s">
        <v>551</v>
      </c>
    </row>
    <row r="25" spans="1:5">
      <c r="A25" s="110">
        <v>24</v>
      </c>
      <c r="B25" s="111" t="s">
        <v>68</v>
      </c>
      <c r="C25" s="113">
        <v>20120629</v>
      </c>
      <c r="D25" s="105" t="s">
        <v>552</v>
      </c>
    </row>
    <row r="26" spans="1:5">
      <c r="A26" s="110">
        <v>25</v>
      </c>
      <c r="B26" s="111" t="s">
        <v>69</v>
      </c>
      <c r="C26" s="113">
        <v>20111105</v>
      </c>
      <c r="D26" s="105" t="s">
        <v>553</v>
      </c>
    </row>
    <row r="27" spans="1:5">
      <c r="A27" s="110">
        <v>26</v>
      </c>
      <c r="B27" s="111" t="s">
        <v>70</v>
      </c>
      <c r="C27" s="113">
        <v>20120112</v>
      </c>
      <c r="D27" s="105" t="s">
        <v>554</v>
      </c>
    </row>
    <row r="28" spans="1:5">
      <c r="A28" s="110">
        <v>27</v>
      </c>
      <c r="B28" s="111" t="s">
        <v>73</v>
      </c>
      <c r="C28" s="113">
        <v>20111119</v>
      </c>
      <c r="D28" s="105" t="s">
        <v>555</v>
      </c>
    </row>
    <row r="29" customFormat="1" spans="1:5">
      <c r="A29" s="110">
        <v>28</v>
      </c>
      <c r="B29" s="111" t="s">
        <v>78</v>
      </c>
      <c r="C29" s="113">
        <v>20120110</v>
      </c>
      <c r="D29" s="105" t="s">
        <v>556</v>
      </c>
    </row>
    <row r="30" spans="1:5">
      <c r="A30" s="110">
        <v>29</v>
      </c>
      <c r="B30" s="111" t="s">
        <v>81</v>
      </c>
      <c r="C30" s="113">
        <v>20120331</v>
      </c>
      <c r="D30" s="105" t="s">
        <v>557</v>
      </c>
    </row>
    <row r="31" spans="1:5">
      <c r="A31" s="110">
        <v>30</v>
      </c>
      <c r="B31" s="111" t="s">
        <v>84</v>
      </c>
      <c r="C31" s="113">
        <v>20111109</v>
      </c>
      <c r="D31" s="105" t="s">
        <v>558</v>
      </c>
    </row>
    <row r="32" spans="1:5">
      <c r="A32" s="110">
        <v>31</v>
      </c>
      <c r="B32" s="111" t="s">
        <v>85</v>
      </c>
      <c r="C32" s="113">
        <v>20120824</v>
      </c>
      <c r="D32" s="105" t="s">
        <v>559</v>
      </c>
    </row>
    <row r="33" customFormat="1" spans="1:5">
      <c r="A33" s="110">
        <v>32</v>
      </c>
      <c r="B33" s="111" t="s">
        <v>86</v>
      </c>
      <c r="C33" s="113">
        <v>20120425</v>
      </c>
      <c r="D33" s="105"/>
    </row>
    <row r="34" spans="1:5">
      <c r="A34" s="110">
        <v>33</v>
      </c>
      <c r="B34" s="111" t="s">
        <v>87</v>
      </c>
      <c r="C34" s="113">
        <v>20120624</v>
      </c>
      <c r="D34" s="105" t="s">
        <v>560</v>
      </c>
    </row>
    <row r="35" customFormat="1" spans="1:5">
      <c r="A35" s="110">
        <v>34</v>
      </c>
      <c r="B35" s="111" t="s">
        <v>88</v>
      </c>
      <c r="C35" s="113">
        <v>20120507</v>
      </c>
      <c r="D35" s="105"/>
    </row>
    <row r="36" spans="1:5">
      <c r="A36" s="110">
        <v>35</v>
      </c>
      <c r="B36" s="111" t="s">
        <v>89</v>
      </c>
      <c r="C36" s="113">
        <v>20120603</v>
      </c>
      <c r="D36" s="105" t="s">
        <v>561</v>
      </c>
    </row>
    <row r="37" spans="1:5">
      <c r="A37" s="110">
        <v>36</v>
      </c>
      <c r="B37" s="111" t="s">
        <v>91</v>
      </c>
      <c r="C37" s="112">
        <v>20120326</v>
      </c>
      <c r="D37" s="105" t="s">
        <v>562</v>
      </c>
    </row>
    <row r="38" spans="1:5">
      <c r="A38" s="114">
        <v>37</v>
      </c>
      <c r="B38" s="114" t="s">
        <v>94</v>
      </c>
      <c r="C38" s="115">
        <v>20111106</v>
      </c>
      <c r="D38" s="116" t="s">
        <v>563</v>
      </c>
      <c r="E38" t="s">
        <v>546</v>
      </c>
    </row>
    <row r="39" spans="1:5">
      <c r="A39" s="110">
        <v>38</v>
      </c>
      <c r="B39" s="111" t="s">
        <v>96</v>
      </c>
      <c r="C39" s="113">
        <v>20120811</v>
      </c>
      <c r="D39" s="117" t="s">
        <v>564</v>
      </c>
    </row>
    <row r="40" spans="1:5">
      <c r="A40" s="110">
        <v>39</v>
      </c>
      <c r="B40" s="111" t="s">
        <v>100</v>
      </c>
      <c r="C40" s="113">
        <v>20111217</v>
      </c>
      <c r="D40" s="117" t="s">
        <v>565</v>
      </c>
    </row>
    <row r="41" spans="1:5">
      <c r="A41" s="110">
        <v>40</v>
      </c>
      <c r="B41" s="111" t="s">
        <v>106</v>
      </c>
      <c r="C41" s="113">
        <v>20111013</v>
      </c>
      <c r="D41" s="105" t="s">
        <v>566</v>
      </c>
      <c r="E41" t="s">
        <v>546</v>
      </c>
    </row>
    <row r="42" customFormat="1" spans="1:5">
      <c r="A42" s="110">
        <v>41</v>
      </c>
      <c r="B42" s="111" t="s">
        <v>113</v>
      </c>
      <c r="C42" s="113">
        <v>20111027</v>
      </c>
      <c r="D42" s="105"/>
    </row>
    <row r="43" spans="1:5">
      <c r="A43" s="110">
        <v>42</v>
      </c>
      <c r="B43" s="111" t="s">
        <v>114</v>
      </c>
      <c r="C43" s="113">
        <v>20120207</v>
      </c>
      <c r="D43" s="105" t="s">
        <v>567</v>
      </c>
      <c r="E43" t="s">
        <v>546</v>
      </c>
    </row>
    <row r="44" customFormat="1" spans="1:5">
      <c r="A44" s="110">
        <v>43</v>
      </c>
      <c r="B44" s="111" t="s">
        <v>118</v>
      </c>
      <c r="C44" s="112">
        <v>20120508</v>
      </c>
      <c r="D44" s="105"/>
    </row>
    <row r="45" spans="1:5">
      <c r="A45" s="110">
        <v>44</v>
      </c>
      <c r="B45" s="111" t="s">
        <v>120</v>
      </c>
      <c r="C45" s="113">
        <v>20110929</v>
      </c>
      <c r="D45" s="105" t="s">
        <v>568</v>
      </c>
    </row>
    <row r="46" customFormat="1" spans="1:5">
      <c r="A46" s="110">
        <v>45</v>
      </c>
      <c r="B46" s="111" t="s">
        <v>124</v>
      </c>
      <c r="C46" s="113">
        <v>20111205</v>
      </c>
      <c r="D46" s="105"/>
    </row>
    <row r="47" spans="1:5">
      <c r="A47" s="110">
        <v>46</v>
      </c>
      <c r="B47" s="111" t="s">
        <v>125</v>
      </c>
      <c r="C47" s="113">
        <v>20120108</v>
      </c>
      <c r="D47" s="105" t="s">
        <v>569</v>
      </c>
      <c r="E47" t="s">
        <v>546</v>
      </c>
    </row>
    <row r="48" spans="1:5">
      <c r="A48" s="110">
        <v>47</v>
      </c>
      <c r="B48" s="111" t="s">
        <v>127</v>
      </c>
      <c r="C48" s="113">
        <v>20120311</v>
      </c>
      <c r="D48" s="105" t="s">
        <v>570</v>
      </c>
    </row>
    <row r="49" customFormat="1" spans="1:4">
      <c r="A49" s="110">
        <v>48</v>
      </c>
      <c r="B49" s="111" t="s">
        <v>131</v>
      </c>
      <c r="C49" s="113">
        <v>20110902</v>
      </c>
      <c r="D49" s="105"/>
    </row>
    <row r="50" spans="1:4">
      <c r="A50" s="110">
        <v>49</v>
      </c>
      <c r="B50" s="111" t="s">
        <v>133</v>
      </c>
      <c r="C50" s="113">
        <v>20120723</v>
      </c>
      <c r="D50" s="105" t="s">
        <v>571</v>
      </c>
    </row>
    <row r="51" customFormat="1" spans="1:4">
      <c r="A51" s="110">
        <v>50</v>
      </c>
      <c r="B51" s="111" t="s">
        <v>135</v>
      </c>
      <c r="C51" s="113">
        <v>20120101</v>
      </c>
      <c r="D51" s="105"/>
    </row>
    <row r="52" spans="1:4">
      <c r="A52" s="110">
        <v>51</v>
      </c>
      <c r="B52" s="111" t="s">
        <v>136</v>
      </c>
      <c r="C52" s="113">
        <v>20111220</v>
      </c>
      <c r="D52" s="105" t="s">
        <v>572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8" customWidth="1"/>
    <col min="2" max="2" width="8.72727272727273" style="69"/>
    <col min="3" max="3" width="7.55454545454545" style="70" customWidth="1"/>
    <col min="4" max="4" width="8.72727272727273" style="71"/>
    <col min="5" max="5" width="77.2727272727273" style="72" customWidth="1"/>
    <col min="6" max="16384" width="8.72727272727273" style="67"/>
  </cols>
  <sheetData>
    <row r="1" s="66" customFormat="1" spans="1:5">
      <c r="A1" s="73" t="s">
        <v>573</v>
      </c>
      <c r="B1" s="74" t="s">
        <v>574</v>
      </c>
      <c r="C1" s="75" t="s">
        <v>575</v>
      </c>
      <c r="D1" s="76"/>
      <c r="E1" s="77" t="s">
        <v>576</v>
      </c>
    </row>
    <row r="2" s="67" customFormat="1" ht="409" customHeight="1" spans="1:5">
      <c r="A2" s="78" t="s">
        <v>385</v>
      </c>
      <c r="B2" s="79" t="s">
        <v>290</v>
      </c>
      <c r="C2" s="80" t="s">
        <v>577</v>
      </c>
      <c r="D2" s="71" t="s">
        <v>578</v>
      </c>
      <c r="E2" s="72" t="s">
        <v>579</v>
      </c>
    </row>
    <row r="3" s="67" customFormat="1" ht="56" spans="1:5">
      <c r="A3" s="81"/>
      <c r="B3" s="82"/>
      <c r="C3" s="83"/>
      <c r="D3" s="71" t="s">
        <v>580</v>
      </c>
      <c r="E3" s="72" t="s">
        <v>581</v>
      </c>
    </row>
    <row r="4" s="67" customFormat="1" spans="1:5">
      <c r="A4" s="81"/>
      <c r="B4" s="82"/>
      <c r="C4" s="83"/>
      <c r="D4" s="71" t="s">
        <v>582</v>
      </c>
      <c r="E4" s="72" t="s">
        <v>583</v>
      </c>
    </row>
    <row r="5" s="67" customFormat="1" ht="56" spans="1:5">
      <c r="A5" s="81"/>
      <c r="B5" s="82"/>
      <c r="C5" s="83"/>
      <c r="D5" s="71" t="s">
        <v>584</v>
      </c>
      <c r="E5" s="72" t="s">
        <v>585</v>
      </c>
    </row>
    <row r="6" s="67" customFormat="1" ht="238" spans="1:5">
      <c r="A6" s="81"/>
      <c r="B6" s="82"/>
      <c r="C6" s="83"/>
      <c r="D6" s="71" t="s">
        <v>586</v>
      </c>
      <c r="E6" s="72" t="s">
        <v>587</v>
      </c>
    </row>
    <row r="7" s="67" customFormat="1" ht="238" spans="1:5">
      <c r="A7" s="81"/>
      <c r="B7" s="82"/>
      <c r="C7" s="80" t="s">
        <v>588</v>
      </c>
      <c r="D7" s="71" t="s">
        <v>589</v>
      </c>
      <c r="E7" s="72" t="s">
        <v>590</v>
      </c>
    </row>
    <row r="8" s="67" customFormat="1" ht="56" spans="1:5">
      <c r="A8" s="81"/>
      <c r="B8" s="82"/>
      <c r="C8" s="83"/>
      <c r="D8" s="71" t="s">
        <v>591</v>
      </c>
      <c r="E8" s="72" t="s">
        <v>592</v>
      </c>
    </row>
    <row r="9" s="67" customFormat="1" ht="84" spans="1:5">
      <c r="A9" s="81"/>
      <c r="B9" s="82"/>
      <c r="C9" s="83"/>
      <c r="D9" s="71" t="s">
        <v>593</v>
      </c>
      <c r="E9" s="72" t="s">
        <v>594</v>
      </c>
    </row>
    <row r="10" s="67" customFormat="1" ht="28" spans="1:5">
      <c r="A10" s="81"/>
      <c r="B10" s="82"/>
      <c r="C10" s="83"/>
      <c r="D10" s="71" t="s">
        <v>595</v>
      </c>
      <c r="E10" s="72" t="s">
        <v>596</v>
      </c>
    </row>
    <row r="11" s="67" customFormat="1" spans="1:5">
      <c r="A11" s="81"/>
      <c r="B11" s="82"/>
      <c r="C11" s="84"/>
      <c r="D11" s="71" t="s">
        <v>597</v>
      </c>
      <c r="E11" s="72" t="s">
        <v>598</v>
      </c>
    </row>
    <row r="12" s="67" customFormat="1" ht="154" spans="1:5">
      <c r="A12" s="81"/>
      <c r="B12" s="82"/>
      <c r="C12" s="70"/>
      <c r="D12" s="71" t="s">
        <v>599</v>
      </c>
      <c r="E12" s="72" t="s">
        <v>600</v>
      </c>
    </row>
    <row r="13" s="67" customFormat="1" ht="56" spans="1:5">
      <c r="A13" s="81"/>
      <c r="B13" s="82"/>
      <c r="C13" s="85" t="s">
        <v>601</v>
      </c>
      <c r="D13" s="76"/>
      <c r="E13" s="72" t="s">
        <v>602</v>
      </c>
    </row>
    <row r="14" s="67" customFormat="1" ht="84" spans="1:5">
      <c r="A14" s="81"/>
      <c r="B14" s="82"/>
      <c r="C14" s="85" t="s">
        <v>603</v>
      </c>
      <c r="D14" s="76"/>
      <c r="E14" s="72" t="s">
        <v>604</v>
      </c>
    </row>
    <row r="15" s="67" customFormat="1" ht="28" spans="1:5">
      <c r="A15" s="81"/>
      <c r="B15" s="82"/>
      <c r="C15" s="85" t="s">
        <v>605</v>
      </c>
      <c r="D15" s="76"/>
      <c r="E15" s="72" t="s">
        <v>606</v>
      </c>
    </row>
    <row r="16" s="67" customFormat="1" spans="1:5">
      <c r="A16" s="81"/>
      <c r="B16" s="82"/>
      <c r="C16" s="85" t="s">
        <v>607</v>
      </c>
      <c r="D16" s="76"/>
      <c r="E16" s="72"/>
    </row>
    <row r="17" s="67" customFormat="1" spans="1:5">
      <c r="A17" s="81"/>
      <c r="B17" s="82"/>
      <c r="C17" s="85" t="s">
        <v>608</v>
      </c>
      <c r="D17" s="76"/>
      <c r="E17" s="72" t="s">
        <v>609</v>
      </c>
    </row>
    <row r="18" s="67" customFormat="1" spans="1:5">
      <c r="A18" s="81"/>
      <c r="B18" s="82"/>
      <c r="C18" s="80" t="s">
        <v>610</v>
      </c>
      <c r="D18" s="71" t="s">
        <v>611</v>
      </c>
      <c r="E18" s="72" t="s">
        <v>612</v>
      </c>
    </row>
    <row r="19" s="67" customFormat="1" spans="1:5">
      <c r="A19" s="81"/>
      <c r="B19" s="82"/>
      <c r="C19" s="84"/>
      <c r="D19" s="71" t="s">
        <v>613</v>
      </c>
      <c r="E19" s="72" t="s">
        <v>614</v>
      </c>
    </row>
    <row r="20" s="67" customFormat="1" spans="1:5">
      <c r="A20" s="81"/>
      <c r="B20" s="82"/>
      <c r="C20" s="85" t="s">
        <v>615</v>
      </c>
      <c r="D20" s="76"/>
      <c r="E20" s="72"/>
    </row>
    <row r="21" s="67" customFormat="1" spans="1:5">
      <c r="A21" s="81"/>
      <c r="B21" s="82"/>
      <c r="C21" s="85" t="s">
        <v>616</v>
      </c>
      <c r="D21" s="76"/>
      <c r="E21" s="72" t="s">
        <v>617</v>
      </c>
    </row>
    <row r="22" s="67" customFormat="1" ht="28" spans="1:5">
      <c r="A22" s="81"/>
      <c r="B22" s="82"/>
      <c r="C22" s="85" t="s">
        <v>618</v>
      </c>
      <c r="D22" s="86"/>
      <c r="E22" s="72" t="s">
        <v>619</v>
      </c>
    </row>
    <row r="23" s="67" customFormat="1" spans="1:5">
      <c r="A23" s="81"/>
      <c r="B23" s="82"/>
      <c r="C23" s="70" t="s">
        <v>620</v>
      </c>
      <c r="D23" s="70"/>
      <c r="E23" s="72" t="s">
        <v>621</v>
      </c>
    </row>
    <row r="24" s="67" customFormat="1" spans="1:5">
      <c r="A24" s="81"/>
      <c r="B24" s="82"/>
      <c r="C24" s="70" t="s">
        <v>622</v>
      </c>
      <c r="D24" s="70"/>
      <c r="E24" s="72" t="s">
        <v>623</v>
      </c>
    </row>
    <row r="25" s="67" customFormat="1" ht="28" spans="1:5">
      <c r="A25" s="78" t="s">
        <v>383</v>
      </c>
      <c r="B25" s="79" t="s">
        <v>384</v>
      </c>
      <c r="C25" s="83" t="s">
        <v>577</v>
      </c>
      <c r="D25" s="87" t="s">
        <v>624</v>
      </c>
      <c r="E25" s="72" t="s">
        <v>625</v>
      </c>
    </row>
    <row r="26" s="67" customFormat="1" spans="1:5">
      <c r="A26" s="81"/>
      <c r="B26" s="82"/>
      <c r="C26" s="83"/>
      <c r="D26" s="71" t="s">
        <v>626</v>
      </c>
      <c r="E26" s="72" t="s">
        <v>627</v>
      </c>
    </row>
    <row r="27" s="67" customFormat="1" ht="28" spans="1:5">
      <c r="A27" s="81"/>
      <c r="B27" s="82"/>
      <c r="C27" s="83"/>
      <c r="D27" s="71" t="s">
        <v>628</v>
      </c>
      <c r="E27" s="72" t="s">
        <v>629</v>
      </c>
    </row>
    <row r="28" s="67" customFormat="1" ht="42" spans="1:5">
      <c r="A28" s="81"/>
      <c r="B28" s="82"/>
      <c r="C28" s="83"/>
      <c r="D28" s="71" t="s">
        <v>630</v>
      </c>
      <c r="E28" s="72" t="s">
        <v>631</v>
      </c>
    </row>
    <row r="29" s="67" customFormat="1" ht="42" spans="1:5">
      <c r="A29" s="78" t="s">
        <v>379</v>
      </c>
      <c r="B29" s="79" t="s">
        <v>380</v>
      </c>
      <c r="C29" s="80" t="s">
        <v>577</v>
      </c>
      <c r="D29" s="71" t="s">
        <v>578</v>
      </c>
      <c r="E29" s="72" t="s">
        <v>632</v>
      </c>
    </row>
    <row r="30" s="67" customFormat="1" ht="70" spans="1:5">
      <c r="A30" s="81"/>
      <c r="B30" s="82"/>
      <c r="C30" s="83"/>
      <c r="D30" s="71" t="s">
        <v>633</v>
      </c>
      <c r="E30" s="72" t="s">
        <v>634</v>
      </c>
    </row>
    <row r="31" s="67" customFormat="1" spans="1:5">
      <c r="A31" s="81"/>
      <c r="B31" s="82"/>
      <c r="C31" s="83"/>
      <c r="D31" s="71" t="s">
        <v>624</v>
      </c>
      <c r="E31" s="72" t="s">
        <v>635</v>
      </c>
    </row>
    <row r="32" s="67" customFormat="1" ht="28" spans="1:5">
      <c r="A32" s="81"/>
      <c r="B32" s="82"/>
      <c r="C32" s="84"/>
      <c r="D32" s="71" t="s">
        <v>636</v>
      </c>
      <c r="E32" s="72" t="s">
        <v>637</v>
      </c>
    </row>
    <row r="33" s="67" customFormat="1" ht="42" spans="1:5">
      <c r="A33" s="81"/>
      <c r="B33" s="88"/>
      <c r="C33" s="85" t="s">
        <v>588</v>
      </c>
      <c r="D33" s="86"/>
      <c r="E33" s="72" t="s">
        <v>638</v>
      </c>
    </row>
    <row r="34" s="67" customFormat="1" ht="42" spans="1:5">
      <c r="A34" s="81"/>
      <c r="B34" s="89" t="s">
        <v>639</v>
      </c>
      <c r="C34" s="75" t="s">
        <v>588</v>
      </c>
      <c r="D34" s="90"/>
      <c r="E34" s="91" t="s">
        <v>640</v>
      </c>
    </row>
    <row r="35" s="67" customFormat="1" ht="42" spans="1:5">
      <c r="A35" s="92"/>
      <c r="B35" s="93"/>
      <c r="C35" s="75" t="s">
        <v>577</v>
      </c>
      <c r="D35" s="90"/>
      <c r="E35" s="91" t="s">
        <v>641</v>
      </c>
    </row>
    <row r="36" s="67" customFormat="1" spans="1:5">
      <c r="A36" s="78" t="s">
        <v>386</v>
      </c>
      <c r="B36" s="94" t="s">
        <v>642</v>
      </c>
      <c r="C36" s="95"/>
      <c r="D36" s="96"/>
      <c r="E36" s="91" t="s">
        <v>157</v>
      </c>
    </row>
    <row r="37" s="67" customFormat="1" spans="1:5">
      <c r="A37" s="92"/>
      <c r="B37" s="97" t="s">
        <v>643</v>
      </c>
      <c r="C37" s="98"/>
      <c r="D37" s="99"/>
      <c r="E37" s="72" t="s">
        <v>644</v>
      </c>
    </row>
    <row r="38" s="67" customFormat="1" spans="1:5">
      <c r="A38" s="68" t="s">
        <v>388</v>
      </c>
      <c r="B38" s="97" t="s">
        <v>645</v>
      </c>
      <c r="C38" s="98"/>
      <c r="D38" s="99"/>
      <c r="E38" s="72" t="s">
        <v>646</v>
      </c>
    </row>
    <row r="39" s="67" customFormat="1" spans="1:5">
      <c r="A39" s="78" t="s">
        <v>390</v>
      </c>
      <c r="B39" s="79" t="s">
        <v>647</v>
      </c>
      <c r="C39" s="80" t="s">
        <v>577</v>
      </c>
      <c r="D39" s="71" t="s">
        <v>648</v>
      </c>
      <c r="E39" s="72" t="s">
        <v>649</v>
      </c>
    </row>
    <row r="40" s="67" customFormat="1" spans="1:5">
      <c r="A40" s="81"/>
      <c r="B40" s="82"/>
      <c r="C40" s="84"/>
      <c r="D40" s="71" t="s">
        <v>650</v>
      </c>
      <c r="E40" s="72" t="s">
        <v>651</v>
      </c>
    </row>
    <row r="41" s="67" customFormat="1" spans="1:5">
      <c r="A41" s="81"/>
      <c r="B41" s="82"/>
      <c r="C41" s="85" t="s">
        <v>652</v>
      </c>
      <c r="D41" s="86"/>
      <c r="E41" s="72" t="s">
        <v>653</v>
      </c>
    </row>
    <row r="42" s="67" customFormat="1" spans="1:5">
      <c r="A42" s="92"/>
      <c r="B42" s="88"/>
      <c r="C42" s="85" t="s">
        <v>588</v>
      </c>
      <c r="D42" s="86"/>
      <c r="E42" s="72" t="s">
        <v>654</v>
      </c>
    </row>
    <row r="43" s="67" customFormat="1" spans="1:5">
      <c r="A43" s="78" t="s">
        <v>393</v>
      </c>
      <c r="B43" s="89" t="s">
        <v>645</v>
      </c>
      <c r="C43" s="100" t="s">
        <v>655</v>
      </c>
      <c r="D43" s="101"/>
      <c r="E43" s="91" t="s">
        <v>656</v>
      </c>
    </row>
    <row r="44" s="67" customFormat="1" ht="28" spans="1:5">
      <c r="A44" s="81"/>
      <c r="B44" s="93"/>
      <c r="C44" s="100" t="s">
        <v>630</v>
      </c>
      <c r="D44" s="101"/>
      <c r="E44" s="91" t="s">
        <v>657</v>
      </c>
    </row>
    <row r="45" s="67" customFormat="1" spans="1:5">
      <c r="A45" s="92"/>
      <c r="B45" s="97" t="s">
        <v>658</v>
      </c>
      <c r="C45" s="98"/>
      <c r="D45" s="99"/>
      <c r="E45" s="72" t="s">
        <v>177</v>
      </c>
    </row>
    <row r="46" s="67" customFormat="1" spans="1:5">
      <c r="A46" s="78" t="s">
        <v>405</v>
      </c>
      <c r="B46" s="79" t="s">
        <v>659</v>
      </c>
      <c r="C46" s="80" t="s">
        <v>577</v>
      </c>
      <c r="D46" s="71" t="s">
        <v>660</v>
      </c>
      <c r="E46" s="72"/>
    </row>
    <row r="47" s="67" customFormat="1" spans="1:5">
      <c r="A47" s="81"/>
      <c r="B47" s="82"/>
      <c r="C47" s="83"/>
      <c r="D47" s="71" t="s">
        <v>661</v>
      </c>
      <c r="E47" s="72"/>
    </row>
    <row r="48" s="67" customFormat="1" spans="1:5">
      <c r="A48" s="92"/>
      <c r="B48" s="88"/>
      <c r="C48" s="84"/>
      <c r="D48" s="71" t="s">
        <v>630</v>
      </c>
      <c r="E48" s="72" t="s">
        <v>662</v>
      </c>
    </row>
    <row r="49" s="67" customFormat="1" spans="1:5">
      <c r="A49" s="68" t="s">
        <v>400</v>
      </c>
      <c r="B49" s="97" t="s">
        <v>401</v>
      </c>
      <c r="C49" s="98"/>
      <c r="D49" s="99"/>
      <c r="E49" s="72" t="s">
        <v>663</v>
      </c>
    </row>
    <row r="50" s="67" customFormat="1" spans="1:5">
      <c r="A50" s="78" t="s">
        <v>402</v>
      </c>
      <c r="B50" s="97" t="s">
        <v>645</v>
      </c>
      <c r="C50" s="98"/>
      <c r="D50" s="99"/>
      <c r="E50" s="72" t="s">
        <v>664</v>
      </c>
    </row>
    <row r="51" s="67" customFormat="1" spans="1:5">
      <c r="A51" s="92"/>
      <c r="B51" s="97" t="s">
        <v>645</v>
      </c>
      <c r="C51" s="98"/>
      <c r="D51" s="99"/>
      <c r="E51" s="72" t="s">
        <v>190</v>
      </c>
    </row>
    <row r="52" s="67" customFormat="1" spans="1:5">
      <c r="A52" s="68" t="s">
        <v>404</v>
      </c>
      <c r="B52" s="97" t="s">
        <v>645</v>
      </c>
      <c r="C52" s="98"/>
      <c r="D52" s="99"/>
      <c r="E52" s="72"/>
    </row>
    <row r="53" s="67" customFormat="1" spans="1:5">
      <c r="A53" s="78" t="s">
        <v>665</v>
      </c>
      <c r="B53" s="97" t="s">
        <v>645</v>
      </c>
      <c r="C53" s="98"/>
      <c r="D53" s="99"/>
      <c r="E53" s="72"/>
    </row>
    <row r="54" s="67" customFormat="1" ht="28" spans="1:5">
      <c r="A54" s="92"/>
      <c r="B54" s="97"/>
      <c r="C54" s="98"/>
      <c r="D54" s="99"/>
      <c r="E54" s="72" t="s">
        <v>666</v>
      </c>
    </row>
    <row r="55" s="67" customFormat="1" spans="1:5">
      <c r="A55" s="68" t="s">
        <v>396</v>
      </c>
      <c r="B55" s="69"/>
      <c r="C55" s="70"/>
      <c r="D55" s="71"/>
      <c r="E55" s="72" t="s">
        <v>667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47"/>
    <col min="2" max="2" width="61.8090909090909" style="48" customWidth="1"/>
    <col min="3" max="3" width="61.8090909090909" style="49" customWidth="1"/>
    <col min="4" max="4" width="61.8090909090909" style="50" customWidth="1"/>
    <col min="5" max="5" width="61.8090909090909" style="51" customWidth="1"/>
    <col min="6" max="6" width="61.8090909090909" style="52" customWidth="1"/>
    <col min="7" max="7" width="61.8090909090909" style="53" customWidth="1"/>
    <col min="8" max="16384" width="8.72727272727273" style="46"/>
  </cols>
  <sheetData>
    <row r="1" s="45" customFormat="1" spans="1:7">
      <c r="A1" s="54" t="s">
        <v>0</v>
      </c>
      <c r="B1" s="55" t="s">
        <v>1</v>
      </c>
      <c r="C1" s="56" t="s">
        <v>2</v>
      </c>
      <c r="D1" s="19" t="s">
        <v>3</v>
      </c>
      <c r="E1" s="57" t="s">
        <v>4</v>
      </c>
      <c r="F1" s="58" t="s">
        <v>5</v>
      </c>
      <c r="G1" s="59" t="s">
        <v>6</v>
      </c>
    </row>
    <row r="2" s="46" customFormat="1" ht="56" spans="1:7">
      <c r="A2" s="54" t="s">
        <v>7</v>
      </c>
      <c r="B2" s="60" t="s">
        <v>668</v>
      </c>
      <c r="C2" s="49"/>
      <c r="D2" s="50"/>
      <c r="E2" s="51"/>
      <c r="F2" s="52"/>
      <c r="G2" s="53"/>
    </row>
    <row r="3" s="46" customFormat="1" ht="28" spans="1:7">
      <c r="A3" s="54" t="s">
        <v>10</v>
      </c>
      <c r="B3" s="48"/>
      <c r="C3" s="49" t="s">
        <v>669</v>
      </c>
      <c r="D3" s="50"/>
      <c r="E3" s="51"/>
      <c r="F3" s="52"/>
      <c r="G3" s="53"/>
    </row>
    <row r="4" s="46" customFormat="1" spans="1:7">
      <c r="A4" s="54" t="s">
        <v>13</v>
      </c>
      <c r="B4" s="48"/>
      <c r="C4" s="49"/>
      <c r="D4" s="50"/>
      <c r="E4" s="51"/>
      <c r="F4" s="52"/>
      <c r="G4" s="53"/>
    </row>
    <row r="5" s="46" customFormat="1" ht="28" spans="1:7">
      <c r="A5" s="54" t="s">
        <v>15</v>
      </c>
      <c r="B5" s="48"/>
      <c r="C5" s="49" t="s">
        <v>670</v>
      </c>
      <c r="D5" s="50"/>
      <c r="E5" s="51"/>
      <c r="F5" s="52"/>
      <c r="G5" s="53"/>
    </row>
    <row r="6" s="46" customFormat="1" spans="1:7">
      <c r="A6" s="54" t="s">
        <v>19</v>
      </c>
      <c r="B6" s="48"/>
      <c r="C6" s="61" t="s">
        <v>671</v>
      </c>
      <c r="D6" s="50"/>
      <c r="E6" s="51"/>
      <c r="F6" s="52"/>
      <c r="G6" s="53"/>
    </row>
    <row r="7" s="46" customFormat="1" ht="42" spans="1:7">
      <c r="A7" s="54" t="s">
        <v>21</v>
      </c>
      <c r="B7" s="48"/>
      <c r="C7" s="49" t="s">
        <v>672</v>
      </c>
      <c r="D7" s="50"/>
      <c r="E7" s="51"/>
      <c r="F7" s="52"/>
      <c r="G7" s="53"/>
    </row>
    <row r="8" s="46" customFormat="1" spans="1:7">
      <c r="A8" s="54" t="s">
        <v>25</v>
      </c>
      <c r="B8" s="48"/>
      <c r="C8" s="49"/>
      <c r="D8" s="50"/>
      <c r="E8" s="51"/>
      <c r="F8" s="52"/>
      <c r="G8" s="53"/>
    </row>
    <row r="9" s="46" customFormat="1" spans="1:7">
      <c r="A9" s="54" t="s">
        <v>27</v>
      </c>
      <c r="B9" s="48"/>
      <c r="C9" s="49"/>
      <c r="D9" s="50"/>
      <c r="E9" s="51"/>
      <c r="F9" s="52"/>
      <c r="G9" s="53"/>
    </row>
    <row r="10" s="46" customFormat="1" ht="28" spans="1:7">
      <c r="A10" s="54" t="s">
        <v>28</v>
      </c>
      <c r="B10" s="62" t="s">
        <v>673</v>
      </c>
      <c r="C10" s="49"/>
      <c r="D10" s="50"/>
      <c r="E10" s="51"/>
      <c r="F10" s="52"/>
      <c r="G10" s="53"/>
    </row>
    <row r="11" s="46" customFormat="1" spans="1:7">
      <c r="A11" s="54" t="s">
        <v>30</v>
      </c>
      <c r="B11" s="48"/>
      <c r="C11" s="49"/>
      <c r="D11" s="50"/>
      <c r="E11" s="51"/>
      <c r="F11" s="52"/>
      <c r="G11" s="53"/>
    </row>
    <row r="12" s="46" customFormat="1" spans="1:7">
      <c r="A12" s="54" t="s">
        <v>31</v>
      </c>
      <c r="B12" s="48"/>
      <c r="C12" s="49"/>
      <c r="D12" s="50"/>
      <c r="E12" s="51"/>
      <c r="F12" s="52"/>
      <c r="G12" s="53"/>
    </row>
    <row r="13" s="46" customFormat="1" spans="1:7">
      <c r="A13" s="54" t="s">
        <v>33</v>
      </c>
      <c r="B13" s="48"/>
      <c r="C13" s="49"/>
      <c r="D13" s="50"/>
      <c r="E13" s="51"/>
      <c r="F13" s="52"/>
      <c r="G13" s="53"/>
    </row>
    <row r="14" s="46" customFormat="1" ht="28" spans="1:7">
      <c r="A14" s="54" t="s">
        <v>36</v>
      </c>
      <c r="B14" s="62" t="s">
        <v>674</v>
      </c>
      <c r="C14" s="49"/>
      <c r="D14" s="50"/>
      <c r="E14" s="51"/>
      <c r="F14" s="52"/>
      <c r="G14" s="53"/>
    </row>
    <row r="15" s="46" customFormat="1" spans="1:7">
      <c r="A15" s="54" t="s">
        <v>38</v>
      </c>
      <c r="B15" s="48"/>
      <c r="C15" s="49"/>
      <c r="D15" s="50"/>
      <c r="E15" s="51"/>
      <c r="F15" s="52"/>
      <c r="G15" s="53"/>
    </row>
    <row r="16" s="46" customFormat="1" spans="1:7">
      <c r="A16" s="54" t="s">
        <v>39</v>
      </c>
      <c r="B16" s="48"/>
      <c r="C16" s="49"/>
      <c r="D16" s="50"/>
      <c r="E16" s="51"/>
      <c r="F16" s="52"/>
      <c r="G16" s="53"/>
    </row>
    <row r="17" s="46" customFormat="1" ht="28" spans="1:7">
      <c r="A17" s="54" t="s">
        <v>43</v>
      </c>
      <c r="B17" s="48"/>
      <c r="C17" s="61" t="s">
        <v>675</v>
      </c>
      <c r="D17" s="50"/>
      <c r="E17" s="51"/>
      <c r="F17" s="52"/>
      <c r="G17" s="53"/>
    </row>
    <row r="18" s="46" customFormat="1" spans="1:7">
      <c r="A18" s="54" t="s">
        <v>45</v>
      </c>
      <c r="B18" s="48"/>
      <c r="C18" s="49"/>
      <c r="D18" s="50"/>
      <c r="E18" s="51"/>
      <c r="F18" s="52"/>
      <c r="G18" s="53"/>
    </row>
    <row r="19" s="46" customFormat="1" spans="1:7">
      <c r="A19" s="54" t="s">
        <v>47</v>
      </c>
      <c r="B19" s="48"/>
      <c r="C19" s="49"/>
      <c r="D19" s="50"/>
      <c r="E19" s="51"/>
      <c r="F19" s="52"/>
      <c r="G19" s="53"/>
    </row>
    <row r="20" s="46" customFormat="1" ht="42" spans="1:7">
      <c r="A20" s="54" t="s">
        <v>50</v>
      </c>
      <c r="B20" s="62" t="s">
        <v>676</v>
      </c>
      <c r="C20" s="49" t="s">
        <v>677</v>
      </c>
      <c r="D20" s="50"/>
      <c r="E20" s="51"/>
      <c r="F20" s="52"/>
      <c r="G20" s="53"/>
    </row>
    <row r="21" s="46" customFormat="1" ht="280" spans="1:7">
      <c r="A21" s="54" t="s">
        <v>53</v>
      </c>
      <c r="B21" s="48" t="s">
        <v>678</v>
      </c>
      <c r="C21" s="49" t="s">
        <v>679</v>
      </c>
      <c r="D21" s="50"/>
      <c r="E21" s="51"/>
      <c r="F21" s="52"/>
      <c r="G21" s="53"/>
    </row>
    <row r="22" s="46" customFormat="1" spans="1:7">
      <c r="A22" s="54" t="s">
        <v>58</v>
      </c>
      <c r="B22" s="48"/>
      <c r="C22" s="49"/>
      <c r="D22" s="50"/>
      <c r="E22" s="51"/>
      <c r="F22" s="52"/>
      <c r="G22" s="53"/>
    </row>
    <row r="23" s="46" customFormat="1" ht="56" spans="1:7">
      <c r="A23" s="54" t="s">
        <v>59</v>
      </c>
      <c r="B23" s="62" t="s">
        <v>680</v>
      </c>
      <c r="C23" s="49"/>
      <c r="D23" s="50"/>
      <c r="E23" s="51"/>
      <c r="F23" s="52"/>
      <c r="G23" s="53"/>
    </row>
    <row r="24" s="46" customFormat="1" ht="70" spans="1:7">
      <c r="A24" s="54" t="s">
        <v>63</v>
      </c>
      <c r="B24" s="62" t="s">
        <v>681</v>
      </c>
      <c r="C24" s="61" t="s">
        <v>682</v>
      </c>
      <c r="D24" s="50"/>
      <c r="E24" s="51"/>
      <c r="F24" s="52"/>
      <c r="G24" s="53"/>
    </row>
    <row r="25" s="46" customFormat="1" spans="1:7">
      <c r="A25" s="54" t="s">
        <v>68</v>
      </c>
      <c r="B25" s="48"/>
      <c r="C25" s="49"/>
      <c r="D25" s="50"/>
      <c r="E25" s="51"/>
      <c r="F25" s="52"/>
      <c r="G25" s="53"/>
    </row>
    <row r="26" s="46" customFormat="1" spans="1:7">
      <c r="A26" s="54" t="s">
        <v>69</v>
      </c>
      <c r="B26" s="48"/>
      <c r="C26" s="49"/>
      <c r="D26" s="50"/>
      <c r="E26" s="51"/>
      <c r="F26" s="52"/>
      <c r="G26" s="53"/>
    </row>
    <row r="27" s="46" customFormat="1" ht="112" spans="1:7">
      <c r="A27" s="54" t="s">
        <v>70</v>
      </c>
      <c r="B27" s="48" t="s">
        <v>683</v>
      </c>
      <c r="C27" s="61" t="s">
        <v>684</v>
      </c>
      <c r="D27" s="50"/>
      <c r="E27" s="51"/>
      <c r="F27" s="52"/>
      <c r="G27" s="53"/>
    </row>
    <row r="28" s="46" customFormat="1" ht="409" customHeight="1" spans="1:7">
      <c r="A28" s="54" t="s">
        <v>73</v>
      </c>
      <c r="B28" s="48" t="s">
        <v>685</v>
      </c>
      <c r="C28" s="61" t="s">
        <v>686</v>
      </c>
      <c r="D28" s="50"/>
      <c r="E28" s="51"/>
      <c r="F28" s="52"/>
      <c r="G28" s="53"/>
    </row>
    <row r="29" s="46" customFormat="1" spans="1:7">
      <c r="A29" s="54" t="s">
        <v>78</v>
      </c>
      <c r="B29" s="48"/>
      <c r="C29" s="49"/>
      <c r="D29" s="50"/>
      <c r="E29" s="51"/>
      <c r="F29" s="52"/>
      <c r="G29" s="53"/>
    </row>
    <row r="30" s="46" customFormat="1" ht="28" spans="1:7">
      <c r="A30" s="54" t="s">
        <v>81</v>
      </c>
      <c r="B30" s="48"/>
      <c r="C30" s="61" t="s">
        <v>687</v>
      </c>
      <c r="D30" s="50"/>
      <c r="E30" s="51"/>
      <c r="F30" s="52"/>
      <c r="G30" s="53"/>
    </row>
    <row r="31" s="46" customFormat="1" spans="1:7">
      <c r="A31" s="54" t="s">
        <v>84</v>
      </c>
      <c r="B31" s="48"/>
      <c r="C31" s="49"/>
      <c r="D31" s="50"/>
      <c r="E31" s="51"/>
      <c r="F31" s="52"/>
      <c r="G31" s="53"/>
    </row>
    <row r="32" s="46" customFormat="1" spans="1:7">
      <c r="A32" s="54" t="s">
        <v>85</v>
      </c>
      <c r="B32" s="48"/>
      <c r="C32" s="49"/>
      <c r="D32" s="50"/>
      <c r="E32" s="51"/>
      <c r="F32" s="52"/>
      <c r="G32" s="53"/>
    </row>
    <row r="33" s="46" customFormat="1" spans="1:7">
      <c r="A33" s="54" t="s">
        <v>86</v>
      </c>
      <c r="B33" s="48"/>
      <c r="C33" s="49"/>
      <c r="D33" s="50"/>
      <c r="E33" s="51"/>
      <c r="F33" s="52"/>
      <c r="G33" s="53"/>
    </row>
    <row r="34" s="46" customFormat="1" spans="1:7">
      <c r="A34" s="54" t="s">
        <v>87</v>
      </c>
      <c r="B34" s="48"/>
      <c r="C34" s="49"/>
      <c r="D34" s="50"/>
      <c r="E34" s="51"/>
      <c r="F34" s="52"/>
      <c r="G34" s="53"/>
    </row>
    <row r="35" s="46" customFormat="1" spans="1:7">
      <c r="A35" s="54" t="s">
        <v>88</v>
      </c>
      <c r="B35" s="48"/>
      <c r="C35" s="49"/>
      <c r="D35" s="50"/>
      <c r="E35" s="51"/>
      <c r="F35" s="52"/>
      <c r="G35" s="53"/>
    </row>
    <row r="36" s="46" customFormat="1" ht="42" spans="1:7">
      <c r="A36" s="54" t="s">
        <v>89</v>
      </c>
      <c r="B36" s="62" t="s">
        <v>688</v>
      </c>
      <c r="C36" s="49"/>
      <c r="D36" s="50"/>
      <c r="E36" s="51"/>
      <c r="F36" s="52"/>
      <c r="G36" s="53"/>
    </row>
    <row r="37" s="46" customFormat="1" ht="126" spans="1:7">
      <c r="A37" s="54" t="s">
        <v>91</v>
      </c>
      <c r="B37" s="48"/>
      <c r="C37" s="61" t="s">
        <v>689</v>
      </c>
      <c r="D37" s="50"/>
      <c r="E37" s="51"/>
      <c r="F37" s="52"/>
      <c r="G37" s="53"/>
    </row>
    <row r="38" s="46" customFormat="1" ht="28" spans="1:7">
      <c r="A38" s="54" t="s">
        <v>94</v>
      </c>
      <c r="B38" s="63" t="s">
        <v>690</v>
      </c>
      <c r="C38" s="64"/>
      <c r="D38" s="65"/>
      <c r="E38" s="65"/>
      <c r="F38" s="65"/>
      <c r="G38" s="65"/>
    </row>
    <row r="39" s="46" customFormat="1" ht="42" spans="1:7">
      <c r="A39" s="54" t="s">
        <v>96</v>
      </c>
      <c r="B39" s="48"/>
      <c r="C39" s="61" t="s">
        <v>691</v>
      </c>
      <c r="D39" s="50"/>
      <c r="E39" s="51"/>
      <c r="F39" s="52"/>
      <c r="G39" s="53"/>
    </row>
    <row r="40" s="46" customFormat="1" spans="1:7">
      <c r="A40" s="54" t="s">
        <v>100</v>
      </c>
      <c r="B40" s="62" t="s">
        <v>692</v>
      </c>
      <c r="C40" s="61" t="s">
        <v>693</v>
      </c>
      <c r="D40" s="50"/>
      <c r="E40" s="51"/>
      <c r="F40" s="52"/>
      <c r="G40" s="53"/>
    </row>
    <row r="41" s="46" customFormat="1" ht="126" spans="1:7">
      <c r="A41" s="54" t="s">
        <v>106</v>
      </c>
      <c r="B41" s="48"/>
      <c r="C41" s="61" t="s">
        <v>694</v>
      </c>
      <c r="D41" s="50"/>
      <c r="E41" s="51"/>
      <c r="F41" s="52"/>
      <c r="G41" s="53"/>
    </row>
    <row r="42" s="46" customFormat="1" spans="1:7">
      <c r="A42" s="54" t="s">
        <v>113</v>
      </c>
      <c r="B42" s="48"/>
      <c r="C42" s="49"/>
      <c r="D42" s="50"/>
      <c r="E42" s="51"/>
      <c r="F42" s="52"/>
      <c r="G42" s="53"/>
    </row>
    <row r="43" s="46" customFormat="1" spans="1:7">
      <c r="A43" s="54" t="s">
        <v>114</v>
      </c>
      <c r="B43" s="62" t="s">
        <v>695</v>
      </c>
      <c r="C43" s="49"/>
      <c r="D43" s="50"/>
      <c r="E43" s="51"/>
      <c r="F43" s="52"/>
      <c r="G43" s="53"/>
    </row>
    <row r="44" s="46" customFormat="1" spans="1:7">
      <c r="A44" s="54" t="s">
        <v>118</v>
      </c>
      <c r="B44" s="48"/>
      <c r="C44" s="49"/>
      <c r="D44" s="50"/>
      <c r="E44" s="51"/>
      <c r="F44" s="52"/>
      <c r="G44" s="53"/>
    </row>
    <row r="45" s="46" customFormat="1" ht="387" spans="1:7">
      <c r="A45" s="54" t="s">
        <v>120</v>
      </c>
      <c r="B45" s="48" t="s">
        <v>696</v>
      </c>
      <c r="C45" s="49"/>
      <c r="D45" s="50"/>
      <c r="E45" s="51"/>
      <c r="F45" s="52"/>
      <c r="G45" s="53"/>
    </row>
    <row r="46" s="46" customFormat="1" spans="1:7">
      <c r="A46" s="54" t="s">
        <v>124</v>
      </c>
      <c r="B46" s="48"/>
      <c r="C46" s="49"/>
      <c r="D46" s="50"/>
      <c r="E46" s="51"/>
      <c r="F46" s="52"/>
      <c r="G46" s="53"/>
    </row>
    <row r="47" s="46" customFormat="1" spans="1:7">
      <c r="A47" s="54" t="s">
        <v>125</v>
      </c>
      <c r="B47" s="48"/>
      <c r="C47" s="49"/>
      <c r="D47" s="50"/>
      <c r="E47" s="51"/>
      <c r="F47" s="52"/>
      <c r="G47" s="53"/>
    </row>
    <row r="48" s="46" customFormat="1" spans="1:7">
      <c r="A48" s="54" t="s">
        <v>127</v>
      </c>
      <c r="B48" s="48"/>
      <c r="C48" s="61" t="s">
        <v>697</v>
      </c>
      <c r="D48" s="50"/>
      <c r="E48" s="51"/>
      <c r="F48" s="52"/>
      <c r="G48" s="53"/>
    </row>
    <row r="49" s="46" customFormat="1" spans="1:7">
      <c r="A49" s="54" t="s">
        <v>131</v>
      </c>
      <c r="B49" s="48"/>
      <c r="C49" s="49"/>
      <c r="D49" s="50"/>
      <c r="E49" s="51"/>
      <c r="F49" s="52"/>
      <c r="G49" s="53"/>
    </row>
    <row r="50" s="46" customFormat="1" ht="322" spans="1:7">
      <c r="A50" s="54" t="s">
        <v>133</v>
      </c>
      <c r="B50" s="48"/>
      <c r="C50" s="61" t="s">
        <v>698</v>
      </c>
      <c r="D50" s="50"/>
      <c r="E50" s="51"/>
      <c r="F50" s="52"/>
      <c r="G50" s="53"/>
    </row>
    <row r="51" s="46" customFormat="1" spans="1:7">
      <c r="A51" s="54" t="s">
        <v>135</v>
      </c>
      <c r="B51" s="48"/>
      <c r="C51" s="49"/>
      <c r="D51" s="50"/>
      <c r="E51" s="51"/>
      <c r="F51" s="52"/>
      <c r="G51" s="53"/>
    </row>
    <row r="52" s="46" customFormat="1" ht="224" spans="1:7">
      <c r="A52" s="54" t="s">
        <v>136</v>
      </c>
      <c r="B52" s="48" t="s">
        <v>699</v>
      </c>
      <c r="C52" s="61" t="s">
        <v>700</v>
      </c>
      <c r="D52" s="50"/>
      <c r="E52" s="51"/>
      <c r="F52" s="52"/>
      <c r="G52" s="5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4" t="s">
        <v>701</v>
      </c>
      <c r="C1" s="44" t="s">
        <v>702</v>
      </c>
      <c r="E1" s="44" t="s">
        <v>517</v>
      </c>
      <c r="F1" s="44" t="s">
        <v>703</v>
      </c>
    </row>
    <row r="2" spans="2:6">
      <c r="B2" s="21" t="s">
        <v>704</v>
      </c>
      <c r="C2" s="21">
        <v>13</v>
      </c>
      <c r="E2" s="21" t="s">
        <v>705</v>
      </c>
      <c r="F2" s="21">
        <v>6</v>
      </c>
    </row>
    <row r="3" spans="2:6">
      <c r="B3" s="21" t="s">
        <v>706</v>
      </c>
      <c r="C3" s="21">
        <v>13</v>
      </c>
      <c r="E3" s="21" t="s">
        <v>707</v>
      </c>
      <c r="F3" s="21">
        <v>13</v>
      </c>
    </row>
    <row r="4" spans="2:6">
      <c r="B4" s="21" t="s">
        <v>708</v>
      </c>
      <c r="C4" s="21">
        <v>12</v>
      </c>
      <c r="E4" s="21" t="s">
        <v>574</v>
      </c>
      <c r="F4" s="21">
        <v>4</v>
      </c>
    </row>
    <row r="5" spans="2:6">
      <c r="B5" s="21" t="s">
        <v>709</v>
      </c>
      <c r="C5" s="21">
        <v>2</v>
      </c>
      <c r="E5" s="21" t="s">
        <v>710</v>
      </c>
      <c r="F5" s="21">
        <v>6</v>
      </c>
    </row>
    <row r="6" spans="2:6">
      <c r="B6" s="21" t="s">
        <v>711</v>
      </c>
      <c r="C6" s="21">
        <v>2</v>
      </c>
      <c r="E6" s="21" t="s">
        <v>712</v>
      </c>
      <c r="F6" s="21">
        <v>4</v>
      </c>
    </row>
    <row r="7" spans="2:6">
      <c r="B7" s="21" t="s">
        <v>713</v>
      </c>
      <c r="C7" s="21">
        <v>1</v>
      </c>
      <c r="E7" s="21" t="s">
        <v>714</v>
      </c>
      <c r="F7" s="21">
        <v>1</v>
      </c>
    </row>
    <row r="8" spans="2:6">
      <c r="B8" s="21" t="s">
        <v>715</v>
      </c>
      <c r="C8" s="21">
        <v>4</v>
      </c>
      <c r="E8" s="21" t="s">
        <v>716</v>
      </c>
      <c r="F8" s="21">
        <v>3</v>
      </c>
    </row>
    <row r="9" spans="2:6">
      <c r="E9" s="21" t="s">
        <v>717</v>
      </c>
      <c r="F9" s="21">
        <v>1</v>
      </c>
    </row>
    <row r="10" spans="2:6">
      <c r="E10" s="21" t="s">
        <v>718</v>
      </c>
      <c r="F10" s="21">
        <v>5</v>
      </c>
    </row>
    <row r="11" spans="2:6">
      <c r="E11" s="21" t="s">
        <v>719</v>
      </c>
      <c r="F11" s="21">
        <v>1</v>
      </c>
    </row>
    <row r="12" spans="2:6">
      <c r="E12" s="21" t="s">
        <v>715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99"/>
  <sheetViews>
    <sheetView workbookViewId="0">
      <pane xSplit="3" ySplit="1" topLeftCell="T11" activePane="bottomRight" state="frozen"/>
      <selection/>
      <selection pane="topRight"/>
      <selection pane="bottomLeft"/>
      <selection pane="bottomRight" activeCell="BI28" sqref="BI28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720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721</v>
      </c>
      <c r="BD1" s="12" t="s">
        <v>722</v>
      </c>
      <c r="BF1" s="11">
        <v>1</v>
      </c>
      <c r="BG1" s="11">
        <v>2</v>
      </c>
      <c r="BH1" s="11">
        <v>3</v>
      </c>
      <c r="BI1" s="11">
        <v>4</v>
      </c>
      <c r="BJ1" s="11" t="s">
        <v>723</v>
      </c>
      <c r="BK1" s="11">
        <v>5</v>
      </c>
      <c r="BL1" s="11">
        <v>6</v>
      </c>
      <c r="BM1" s="11">
        <v>7</v>
      </c>
      <c r="BN1" s="11">
        <v>8</v>
      </c>
      <c r="BO1" s="13" t="s">
        <v>722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379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383</v>
      </c>
      <c r="BF17" s="21" cm="1">
        <f t="array" ref="BF17">SUMPRODUCT(LEN(BF25:BF97)-LEN(SUBSTITUTE(BF25:BF97,"数","")))</f>
        <v>1</v>
      </c>
      <c r="BG17" s="21" cm="1">
        <f t="array" ref="BG17">SUMPRODUCT(LEN(BG25:BG97)-LEN(SUBSTITUTE(BG25:BG97,"数","")))</f>
        <v>2</v>
      </c>
      <c r="BH17" s="21" cm="1">
        <f t="array" ref="BH17">SUMPRODUCT(LEN(BH25:BH97)-LEN(SUBSTITUTE(BH25:BH97,"数","")))</f>
        <v>1</v>
      </c>
      <c r="BI17" s="21" cm="1">
        <f t="array" ref="BI17">SUMPRODUCT(LEN(BI25:BI97)-LEN(SUBSTITUTE(BI25:BI97,"数","")))</f>
        <v>2</v>
      </c>
      <c r="BJ17" s="21" cm="1">
        <f t="array" ref="BJ17">SUMPRODUCT(LEN(BJ25:BJ97)-LEN(SUBSTITUTE(BJ25:BJ97,"数","")))</f>
        <v>0</v>
      </c>
      <c r="BK17" s="21" cm="1">
        <f t="array" ref="BK17">SUMPRODUCT(LEN(BK25:BK97)-LEN(SUBSTITUTE(BK25:BK97,"数","")))</f>
        <v>1</v>
      </c>
      <c r="BL17" s="21" cm="1">
        <f t="array" ref="BL17">SUMPRODUCT(LEN(BL25:BL97)-LEN(SUBSTITUTE(BL25:BL97,"数","")))</f>
        <v>0</v>
      </c>
      <c r="BM17" s="21" cm="1">
        <f t="array" ref="BM17">SUMPRODUCT(LEN(BM25:BM97)-LEN(SUBSTITUTE(BM25:BM97,"数","")))</f>
        <v>0</v>
      </c>
      <c r="BN17" s="21" cm="1">
        <f t="array" ref="BN17">SUMPRODUCT(LEN(BN25:BN97)-LEN(SUBSTITUTE(BN25:BN97,"数","")))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386</v>
      </c>
      <c r="BF18" s="21" cm="1">
        <f t="array" ref="BF18">SUMPRODUCT(LEN(BF26:BF98)-LEN(SUBSTITUTE(BF26:BF98,"政","")))</f>
        <v>0</v>
      </c>
      <c r="BG18" s="21" cm="1">
        <f t="array" ref="BG18">SUMPRODUCT(LEN(BG26:BG98)-LEN(SUBSTITUTE(BG26:BG98,"政","")))</f>
        <v>0</v>
      </c>
      <c r="BH18" s="21" cm="1">
        <f t="array" ref="BH18">SUMPRODUCT(LEN(BH26:BH98)-LEN(SUBSTITUTE(BH26:BH98,"政","")))</f>
        <v>7</v>
      </c>
      <c r="BI18" s="21" cm="1">
        <f t="array" ref="BI18">SUMPRODUCT(LEN(BI26:BI98)-LEN(SUBSTITUTE(BI26:BI98,"政","")))</f>
        <v>4</v>
      </c>
      <c r="BJ18" s="21" cm="1">
        <f t="array" ref="BJ18">SUMPRODUCT(LEN(BJ26:BJ98)-LEN(SUBSTITUTE(BJ26:BJ98,"政","")))</f>
        <v>0</v>
      </c>
      <c r="BK18" s="21" cm="1">
        <f t="array" ref="BK18">SUMPRODUCT(LEN(BK26:BK98)-LEN(SUBSTITUTE(BK26:BK98,"政","")))</f>
        <v>0</v>
      </c>
      <c r="BL18" s="21" cm="1">
        <f t="array" ref="BL18">SUMPRODUCT(LEN(BL26:BL98)-LEN(SUBSTITUTE(BL26:BL98,"政","")))</f>
        <v>0</v>
      </c>
      <c r="BM18" s="21" cm="1">
        <f t="array" ref="BM18">SUMPRODUCT(LEN(BM26:BM98)-LEN(SUBSTITUTE(BM26:BM98,"政","")))</f>
        <v>0</v>
      </c>
      <c r="BN18" s="21" cm="1">
        <f t="array" ref="BN18">SUMPRODUCT(LEN(BN26:BN98)-LEN(SUBSTITUTE(BN26:BN98,"政","")))</f>
        <v>0</v>
      </c>
      <c r="BO18" s="21">
        <f t="shared" si="1"/>
        <v>11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388</v>
      </c>
      <c r="BF19" s="21" cm="1">
        <f t="array" ref="BF19">SUMPRODUCT(LEN(BF27:BF99)-LEN(SUBSTITUTE(BF27:BF99,"史","")))</f>
        <v>0</v>
      </c>
      <c r="BG19" s="21" cm="1">
        <f t="array" ref="BG19">SUMPRODUCT(LEN(BG27:BG99)-LEN(SUBSTITUTE(BG27:BG99,"史","")))</f>
        <v>0</v>
      </c>
      <c r="BH19" s="21" cm="1">
        <f t="array" ref="BH19">SUMPRODUCT(LEN(BH27:BH99)-LEN(SUBSTITUTE(BH27:BH99,"史","")))</f>
        <v>0</v>
      </c>
      <c r="BI19" s="21" cm="1">
        <f t="array" ref="BI19">SUMPRODUCT(LEN(BI27:BI99)-LEN(SUBSTITUTE(BI27:BI99,"史","")))</f>
        <v>1</v>
      </c>
      <c r="BJ19" s="21" cm="1">
        <f t="array" ref="BJ19">SUMPRODUCT(LEN(BJ27:BJ99)-LEN(SUBSTITUTE(BJ27:BJ99,"史","")))</f>
        <v>0</v>
      </c>
      <c r="BK19" s="21" cm="1">
        <f t="array" ref="BK19">SUMPRODUCT(LEN(BK27:BK99)-LEN(SUBSTITUTE(BK27:BK99,"史","")))</f>
        <v>0</v>
      </c>
      <c r="BL19" s="21" cm="1">
        <f t="array" ref="BL19">SUMPRODUCT(LEN(BL27:BL99)-LEN(SUBSTITUTE(BL27:BL99,"史","")))</f>
        <v>0</v>
      </c>
      <c r="BM19" s="21" cm="1">
        <f t="array" ref="BM19">SUMPRODUCT(LEN(BM27:BM99)-LEN(SUBSTITUTE(BM27:BM99,"史","")))</f>
        <v>0</v>
      </c>
      <c r="BN19" s="21" cm="1">
        <f t="array" ref="BN19">SUMPRODUCT(LEN(BN27:BN99)-LEN(SUBSTITUTE(BN27:BN99,"史","")))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390</v>
      </c>
      <c r="BF20" s="21" cm="1">
        <f t="array" ref="BF20">SUMPRODUCT(LEN(BF28:BF100)-LEN(SUBSTITUTE(BF28:BF100,"地","")))</f>
        <v>0</v>
      </c>
      <c r="BG20" s="21" cm="1">
        <f t="array" ref="BG20">SUMPRODUCT(LEN(BG28:BG100)-LEN(SUBSTITUTE(BG28:BG100,"地","")))</f>
        <v>0</v>
      </c>
      <c r="BH20" s="21" cm="1">
        <f t="array" ref="BH20">SUMPRODUCT(LEN(BH28:BH100)-LEN(SUBSTITUTE(BH28:BH100,"地","")))</f>
        <v>0</v>
      </c>
      <c r="BI20" s="21" cm="1">
        <f t="array" ref="BI20">SUMPRODUCT(LEN(BI28:BI100)-LEN(SUBSTITUTE(BI28:BI100,"地","")))</f>
        <v>0</v>
      </c>
      <c r="BJ20" s="21" cm="1">
        <f t="array" ref="BJ20">SUMPRODUCT(LEN(BJ28:BJ100)-LEN(SUBSTITUTE(BJ28:BJ100,"地","")))</f>
        <v>0</v>
      </c>
      <c r="BK20" s="21" cm="1">
        <f t="array" ref="BK20">SUMPRODUCT(LEN(BK28:BK100)-LEN(SUBSTITUTE(BK28:BK100,"地","")))</f>
        <v>1</v>
      </c>
      <c r="BL20" s="21" cm="1">
        <f t="array" ref="BL20">SUMPRODUCT(LEN(BL28:BL100)-LEN(SUBSTITUTE(BL28:BL100,"地","")))</f>
        <v>2</v>
      </c>
      <c r="BM20" s="21" cm="1">
        <f t="array" ref="BM20">SUMPRODUCT(LEN(BM28:BM100)-LEN(SUBSTITUTE(BM28:BM100,"地","")))</f>
        <v>0</v>
      </c>
      <c r="BN20" s="21" cm="1">
        <f t="array" ref="BN20">SUMPRODUCT(LEN(BN28:BN100)-LEN(SUBSTITUTE(BN28:BN100,"地","")))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393</v>
      </c>
      <c r="BF21" s="21" cm="1">
        <f t="array" ref="BF21">SUMPRODUCT(LEN(BF29:BF101)-LEN(SUBSTITUTE(BF29:BF101,"生","")))</f>
        <v>0</v>
      </c>
      <c r="BG21" s="21" cm="1">
        <f t="array" ref="BG21">SUMPRODUCT(LEN(BG29:BG101)-LEN(SUBSTITUTE(BG29:BG101,"生","")))</f>
        <v>0</v>
      </c>
      <c r="BH21" s="21" cm="1">
        <f t="array" ref="BH21">SUMPRODUCT(LEN(BH29:BH101)-LEN(SUBSTITUTE(BH29:BH101,"生","")))</f>
        <v>1</v>
      </c>
      <c r="BI21" s="21" cm="1">
        <f t="array" ref="BI21">SUMPRODUCT(LEN(BI29:BI101)-LEN(SUBSTITUTE(BI29:BI101,"生","")))</f>
        <v>2</v>
      </c>
      <c r="BJ21" s="21" cm="1">
        <f t="array" ref="BJ21">SUMPRODUCT(LEN(BJ29:BJ101)-LEN(SUBSTITUTE(BJ29:BJ101,"生","")))</f>
        <v>0</v>
      </c>
      <c r="BK21" s="21" cm="1">
        <f t="array" ref="BK21">SUMPRODUCT(LEN(BK29:BK101)-LEN(SUBSTITUTE(BK29:BK101,"生","")))</f>
        <v>0</v>
      </c>
      <c r="BL21" s="21" cm="1">
        <f t="array" ref="BL21">SUMPRODUCT(LEN(BL29:BL101)-LEN(SUBSTITUTE(BL29:BL101,"生","")))</f>
        <v>1</v>
      </c>
      <c r="BM21" s="21" cm="1">
        <f t="array" ref="BM21">SUMPRODUCT(LEN(BM29:BM101)-LEN(SUBSTITUTE(BM29:BM101,"生","")))</f>
        <v>1</v>
      </c>
      <c r="BN21" s="21" cm="1">
        <f t="array" ref="BN21">SUMPRODUCT(LEN(BN29:BN101)-LEN(SUBSTITUTE(BN29:BN101,"生","")))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396</v>
      </c>
      <c r="BF22" s="21" cm="1">
        <f t="array" ref="BF22">SUMPRODUCT(LEN(BF30:BF102)-LEN(SUBSTITUTE(BF30:BF102,"物","")))</f>
        <v>0</v>
      </c>
      <c r="BG22" s="21" cm="1">
        <f t="array" ref="BG22">SUMPRODUCT(LEN(BG30:BG102)-LEN(SUBSTITUTE(BG30:BG102,"物","")))</f>
        <v>0</v>
      </c>
      <c r="BH22" s="21" cm="1">
        <f t="array" ref="BH22">SUMPRODUCT(LEN(BH30:BH102)-LEN(SUBSTITUTE(BH30:BH102,"物","")))</f>
        <v>0</v>
      </c>
      <c r="BI22" s="21" cm="1">
        <f t="array" ref="BI22">SUMPRODUCT(LEN(BI30:BI102)-LEN(SUBSTITUTE(BI30:BI102,"物","")))</f>
        <v>0</v>
      </c>
      <c r="BJ22" s="21" cm="1">
        <f t="array" ref="BJ22">SUMPRODUCT(LEN(BJ30:BJ102)-LEN(SUBSTITUTE(BJ30:BJ102,"物","")))</f>
        <v>1</v>
      </c>
      <c r="BK22" s="21" cm="1">
        <f t="array" ref="BK22">SUMPRODUCT(LEN(BK30:BK102)-LEN(SUBSTITUTE(BK30:BK102,"物","")))</f>
        <v>1</v>
      </c>
      <c r="BL22" s="21" cm="1">
        <f t="array" ref="BL22">SUMPRODUCT(LEN(BL30:BL102)-LEN(SUBSTITUTE(BL30:BL102,"物","")))</f>
        <v>0</v>
      </c>
      <c r="BM22" s="21" cm="1">
        <f t="array" ref="BM22">SUMPRODUCT(LEN(BM30:BM102)-LEN(SUBSTITUTE(BM30:BM102,"物","")))</f>
        <v>0</v>
      </c>
      <c r="BN22" s="21" cm="1">
        <f t="array" ref="BN22">SUMPRODUCT(LEN(BN30:BN102)-LEN(SUBSTITUTE(BN30:BN102,"物","")))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399</v>
      </c>
      <c r="BF23" s="21" cm="1">
        <f t="array" ref="BF23">SUMPRODUCT(LEN(BF31:BF103)-LEN(SUBSTITUTE(BF31:BF103,"化","")))</f>
        <v>0</v>
      </c>
      <c r="BG23" s="21" cm="1">
        <f t="array" ref="BG23">SUMPRODUCT(LEN(BG31:BG103)-LEN(SUBSTITUTE(BG31:BG103,"化","")))</f>
        <v>0</v>
      </c>
      <c r="BH23" s="21" cm="1">
        <f t="array" ref="BH23">SUMPRODUCT(LEN(BH31:BH103)-LEN(SUBSTITUTE(BH31:BH103,"化","")))</f>
        <v>0</v>
      </c>
      <c r="BI23" s="21" cm="1">
        <f t="array" ref="BI23">SUMPRODUCT(LEN(BI31:BI103)-LEN(SUBSTITUTE(BI31:BI103,"化","")))</f>
        <v>0</v>
      </c>
      <c r="BJ23" s="21" cm="1">
        <f t="array" ref="BJ23">SUMPRODUCT(LEN(BJ31:BJ103)-LEN(SUBSTITUTE(BJ31:BJ103,"化","")))</f>
        <v>0</v>
      </c>
      <c r="BK23" s="21" cm="1">
        <f t="array" ref="BK23">SUMPRODUCT(LEN(BK31:BK103)-LEN(SUBSTITUTE(BK31:BK103,"化","")))</f>
        <v>0</v>
      </c>
      <c r="BL23" s="21" cm="1">
        <f t="array" ref="BL23">SUMPRODUCT(LEN(BL31:BL103)-LEN(SUBSTITUTE(BL31:BL103,"化","")))</f>
        <v>0</v>
      </c>
      <c r="BM23" s="21" cm="1">
        <f t="array" ref="BM23">SUMPRODUCT(LEN(BM31:BM103)-LEN(SUBSTITUTE(BM31:BM103,"化","")))</f>
        <v>0</v>
      </c>
      <c r="BN23" s="21" cm="1">
        <f t="array" ref="BN23">SUMPRODUCT(LEN(BN31:BN103)-LEN(SUBSTITUTE(BN31:BN103,"化","")))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724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725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725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726</v>
      </c>
      <c r="BI35" s="21"/>
      <c r="BJ35" s="21"/>
      <c r="BK35" s="21" t="s">
        <v>727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728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727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726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729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726</v>
      </c>
      <c r="BJ53" s="21"/>
      <c r="BK53" s="21" t="s">
        <v>727</v>
      </c>
      <c r="BL53" s="21" t="s">
        <v>727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724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726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727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727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726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729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724</v>
      </c>
      <c r="BK62" s="21"/>
      <c r="BL62" s="21"/>
      <c r="BM62" s="21" t="s">
        <v>730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726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96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727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725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727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726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730</v>
      </c>
      <c r="BI72" s="21" t="s">
        <v>726</v>
      </c>
      <c r="BJ72" s="21"/>
      <c r="BK72" s="21"/>
      <c r="BL72" s="21" t="s">
        <v>727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725</v>
      </c>
      <c r="BI73" s="21"/>
      <c r="BJ73" s="21"/>
      <c r="BK73" s="21"/>
      <c r="BL73" s="21" t="s">
        <v>729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725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730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725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726</v>
      </c>
      <c r="BJ81" s="21"/>
      <c r="BK81" s="21"/>
      <c r="BL81" s="21"/>
      <c r="BM81" s="21"/>
      <c r="BN81" s="26"/>
      <c r="BO81" s="21">
        <f t="shared" ref="BO81:BO97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725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730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730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726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726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7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8"/>
      <c r="BG96" s="28"/>
      <c r="BH96" s="28"/>
      <c r="BI96" s="28"/>
      <c r="BJ96" s="28"/>
      <c r="BK96" s="28"/>
      <c r="BL96" s="28"/>
      <c r="BM96" s="28"/>
      <c r="BN96" s="29"/>
      <c r="BO96" s="21">
        <f t="shared" si="5"/>
        <v>0</v>
      </c>
    </row>
    <row r="97" customHeight="1" spans="1:67">
      <c r="A97" s="30" t="s">
        <v>731</v>
      </c>
      <c r="B97" s="31"/>
      <c r="C97" s="32"/>
      <c r="D97" s="33">
        <f>SUM(D2:D96)</f>
        <v>5</v>
      </c>
      <c r="E97" s="33">
        <f t="shared" ref="D97:BB97" si="6">SUM(E2:E96)</f>
        <v>45</v>
      </c>
      <c r="F97" s="33">
        <f t="shared" si="6"/>
        <v>15</v>
      </c>
      <c r="G97" s="33">
        <f t="shared" si="6"/>
        <v>9</v>
      </c>
      <c r="H97" s="33">
        <f t="shared" si="6"/>
        <v>14</v>
      </c>
      <c r="I97" s="33">
        <f t="shared" si="6"/>
        <v>46</v>
      </c>
      <c r="J97" s="33">
        <f t="shared" si="6"/>
        <v>41</v>
      </c>
      <c r="K97" s="33">
        <f t="shared" si="6"/>
        <v>4</v>
      </c>
      <c r="L97" s="33">
        <f t="shared" si="6"/>
        <v>25</v>
      </c>
      <c r="M97" s="33">
        <f t="shared" si="6"/>
        <v>4</v>
      </c>
      <c r="N97" s="33">
        <f t="shared" si="6"/>
        <v>25</v>
      </c>
      <c r="O97" s="33">
        <f t="shared" si="6"/>
        <v>8</v>
      </c>
      <c r="P97" s="33">
        <f t="shared" si="6"/>
        <v>45</v>
      </c>
      <c r="Q97" s="33">
        <f t="shared" si="6"/>
        <v>5</v>
      </c>
      <c r="R97" s="33">
        <f t="shared" si="6"/>
        <v>7</v>
      </c>
      <c r="S97" s="33">
        <f t="shared" si="6"/>
        <v>1</v>
      </c>
      <c r="T97" s="33">
        <f t="shared" si="6"/>
        <v>15</v>
      </c>
      <c r="U97" s="33">
        <f t="shared" si="6"/>
        <v>2</v>
      </c>
      <c r="V97" s="33">
        <f t="shared" si="6"/>
        <v>6</v>
      </c>
      <c r="W97" s="33">
        <f t="shared" si="6"/>
        <v>37</v>
      </c>
      <c r="X97" s="33">
        <f t="shared" si="6"/>
        <v>1</v>
      </c>
      <c r="Y97" s="33">
        <f t="shared" si="6"/>
        <v>30</v>
      </c>
      <c r="Z97" s="33">
        <f t="shared" si="6"/>
        <v>1</v>
      </c>
      <c r="AA97" s="33">
        <f t="shared" si="6"/>
        <v>0</v>
      </c>
      <c r="AB97" s="33">
        <f t="shared" si="6"/>
        <v>1</v>
      </c>
      <c r="AC97" s="33">
        <f t="shared" si="6"/>
        <v>32</v>
      </c>
      <c r="AD97" s="33">
        <f t="shared" si="6"/>
        <v>17</v>
      </c>
      <c r="AE97" s="33">
        <f t="shared" si="6"/>
        <v>16</v>
      </c>
      <c r="AF97" s="33">
        <f t="shared" si="6"/>
        <v>25</v>
      </c>
      <c r="AG97" s="33">
        <f t="shared" si="6"/>
        <v>33</v>
      </c>
      <c r="AH97" s="33">
        <f t="shared" si="6"/>
        <v>13</v>
      </c>
      <c r="AI97" s="33">
        <f t="shared" si="6"/>
        <v>0</v>
      </c>
      <c r="AJ97" s="33">
        <f t="shared" si="6"/>
        <v>0</v>
      </c>
      <c r="AK97" s="33">
        <f t="shared" si="6"/>
        <v>2</v>
      </c>
      <c r="AL97" s="33">
        <f t="shared" si="6"/>
        <v>20</v>
      </c>
      <c r="AM97" s="33">
        <f t="shared" si="6"/>
        <v>18</v>
      </c>
      <c r="AN97" s="33">
        <f t="shared" si="6"/>
        <v>0</v>
      </c>
      <c r="AO97" s="33">
        <f t="shared" si="6"/>
        <v>60</v>
      </c>
      <c r="AP97" s="33">
        <f t="shared" si="6"/>
        <v>50</v>
      </c>
      <c r="AQ97" s="33">
        <f t="shared" si="6"/>
        <v>56</v>
      </c>
      <c r="AR97" s="33">
        <f t="shared" si="6"/>
        <v>1</v>
      </c>
      <c r="AS97" s="33">
        <f t="shared" si="6"/>
        <v>49</v>
      </c>
      <c r="AT97" s="33">
        <f t="shared" si="6"/>
        <v>0</v>
      </c>
      <c r="AU97" s="33">
        <f t="shared" si="6"/>
        <v>84</v>
      </c>
      <c r="AV97" s="33">
        <f t="shared" si="6"/>
        <v>0</v>
      </c>
      <c r="AW97" s="33">
        <f t="shared" si="6"/>
        <v>31</v>
      </c>
      <c r="AX97" s="33">
        <f t="shared" si="6"/>
        <v>10</v>
      </c>
      <c r="AY97" s="33">
        <f t="shared" si="6"/>
        <v>7</v>
      </c>
      <c r="AZ97" s="33">
        <f t="shared" si="6"/>
        <v>1</v>
      </c>
      <c r="BA97" s="33">
        <f t="shared" si="6"/>
        <v>0</v>
      </c>
      <c r="BB97" s="33">
        <f t="shared" si="6"/>
        <v>2</v>
      </c>
      <c r="BC97" s="34" t="s">
        <v>732</v>
      </c>
      <c r="BD97" s="35"/>
      <c r="BE97" s="36"/>
      <c r="BF97" s="21">
        <f>COUNTA(BF24:BF96)</f>
        <v>1</v>
      </c>
      <c r="BG97" s="21">
        <f t="shared" ref="BG97:BN97" si="7">COUNTA(BG24:BG96)</f>
        <v>2</v>
      </c>
      <c r="BH97" s="21">
        <f t="shared" si="7"/>
        <v>9</v>
      </c>
      <c r="BI97" s="21">
        <f t="shared" si="7"/>
        <v>10</v>
      </c>
      <c r="BJ97" s="21">
        <f t="shared" si="7"/>
        <v>2</v>
      </c>
      <c r="BK97" s="21">
        <f t="shared" si="7"/>
        <v>5</v>
      </c>
      <c r="BL97" s="21">
        <f t="shared" si="7"/>
        <v>8</v>
      </c>
      <c r="BM97" s="21">
        <f t="shared" si="7"/>
        <v>2</v>
      </c>
      <c r="BN97" s="26">
        <f t="shared" si="7"/>
        <v>0</v>
      </c>
      <c r="BO97" s="37">
        <f>SUM(BF97:BN97)</f>
        <v>39</v>
      </c>
    </row>
    <row r="98" customHeight="1" spans="1:67">
      <c r="A98" s="30" t="s">
        <v>733</v>
      </c>
      <c r="B98" s="31"/>
      <c r="C98" s="32"/>
      <c r="D98" s="33" cm="1">
        <f t="array" ref="D98">SUMPRODUCT(--(D2:D96=INT(D2:D96)),--(D2:D96&gt;0))</f>
        <v>4</v>
      </c>
      <c r="E98" s="33" cm="1">
        <f t="array" ref="E98">SUMPRODUCT(--(E2:E96=INT(E2:E96)),--(E2:E96&gt;0))</f>
        <v>42</v>
      </c>
      <c r="F98" s="33" cm="1">
        <f t="array" ref="F98">SUMPRODUCT(--(F2:F96=INT(F2:F96)),--(F2:F96&gt;0))</f>
        <v>15</v>
      </c>
      <c r="G98" s="33" cm="1">
        <f t="array" ref="G98">SUMPRODUCT(--(G2:G96=INT(G2:G96)),--(G2:G96&gt;0))</f>
        <v>9</v>
      </c>
      <c r="H98" s="33" cm="1">
        <f t="array" ref="H98">SUMPRODUCT(--(H2:H96=INT(H2:H96)),--(H2:H96&gt;0))</f>
        <v>13</v>
      </c>
      <c r="I98" s="33" cm="1">
        <f t="array" ref="I98">SUMPRODUCT(--(I2:I96=INT(I2:I96)),--(I2:I96&gt;0))</f>
        <v>45</v>
      </c>
      <c r="J98" s="33" cm="1">
        <f t="array" ref="J98">SUMPRODUCT(--(J2:J96=INT(J2:J96)),--(J2:J96&gt;0))</f>
        <v>37</v>
      </c>
      <c r="K98" s="33" cm="1">
        <f t="array" ref="K98">SUMPRODUCT(--(K2:K96=INT(K2:K96)),--(K2:K96&gt;0))</f>
        <v>4</v>
      </c>
      <c r="L98" s="33" cm="1">
        <f t="array" ref="L98">SUMPRODUCT(--(L2:L96=INT(L2:L96)),--(L2:L96&gt;0))</f>
        <v>20</v>
      </c>
      <c r="M98" s="33" cm="1">
        <f t="array" ref="M98">SUMPRODUCT(--(M2:M96=INT(M2:M96)),--(M2:M96&gt;0))</f>
        <v>4</v>
      </c>
      <c r="N98" s="33" cm="1">
        <f t="array" ref="N98">SUMPRODUCT(--(N2:N96=INT(N2:N96)),--(N2:N96&gt;0))</f>
        <v>24</v>
      </c>
      <c r="O98" s="33" cm="1">
        <f t="array" ref="O98">SUMPRODUCT(--(O2:O96=INT(O2:O96)),--(O2:O96&gt;0))</f>
        <v>8</v>
      </c>
      <c r="P98" s="33" cm="1">
        <f t="array" ref="P98">SUMPRODUCT(--(P2:P96=INT(P2:P96)),--(P2:P96&gt;0))</f>
        <v>38</v>
      </c>
      <c r="Q98" s="33" cm="1">
        <f t="array" ref="Q98">SUMPRODUCT(--(Q2:Q96=INT(Q2:Q96)),--(Q2:Q96&gt;0))</f>
        <v>5</v>
      </c>
      <c r="R98" s="33" cm="1">
        <f t="array" ref="R98">SUMPRODUCT(--(R2:R96=INT(R2:R96)),--(R2:R96&gt;0))</f>
        <v>7</v>
      </c>
      <c r="S98" s="33" cm="1">
        <f t="array" ref="S98">SUMPRODUCT(--(S2:S96=INT(S2:S96)),--(S2:S96&gt;0))</f>
        <v>1</v>
      </c>
      <c r="T98" s="33" cm="1">
        <f t="array" ref="T98">SUMPRODUCT(--(T2:T96=INT(T2:T96)),--(T2:T96&gt;0))</f>
        <v>14</v>
      </c>
      <c r="U98" s="33" cm="1">
        <f t="array" ref="U98">SUMPRODUCT(--(U2:U96=INT(U2:U96)),--(U2:U96&gt;0))</f>
        <v>2</v>
      </c>
      <c r="V98" s="33" cm="1">
        <f t="array" ref="V98">SUMPRODUCT(--(V2:V96=INT(V2:V96)),--(V2:V96&gt;0))</f>
        <v>5</v>
      </c>
      <c r="W98" s="33" cm="1">
        <f t="array" ref="W98">SUMPRODUCT(--(W2:W96=INT(W2:W96)),--(W2:W96&gt;0))</f>
        <v>31</v>
      </c>
      <c r="X98" s="33" cm="1">
        <f t="array" ref="X98">SUMPRODUCT(--(X2:X96=INT(X2:X96)),--(X2:X96&gt;0))</f>
        <v>1</v>
      </c>
      <c r="Y98" s="33" cm="1">
        <f t="array" ref="Y98">SUMPRODUCT(--(Y2:Y96=INT(Y2:Y96)),--(Y2:Y96&gt;0))</f>
        <v>28</v>
      </c>
      <c r="Z98" s="33" cm="1">
        <f t="array" ref="Z98">SUMPRODUCT(--(Z2:Z96=INT(Z2:Z96)),--(Z2:Z96&gt;0))</f>
        <v>1</v>
      </c>
      <c r="AA98" s="33" cm="1">
        <f t="array" ref="AA98">SUMPRODUCT(--(AA2:AA96=INT(AA2:AA96)),--(AA2:AA96&gt;0))</f>
        <v>0</v>
      </c>
      <c r="AB98" s="33" cm="1">
        <f t="array" ref="AB98">SUMPRODUCT(--(AB2:AB96=INT(AB2:AB96)),--(AB2:AB96&gt;0))</f>
        <v>1</v>
      </c>
      <c r="AC98" s="33" cm="1">
        <f t="array" ref="AC98">SUMPRODUCT(--(AC2:AC96=INT(AC2:AC96)),--(AC2:AC96&gt;0))</f>
        <v>27</v>
      </c>
      <c r="AD98" s="33" cm="1">
        <f t="array" ref="AD98">SUMPRODUCT(--(AD2:AD96=INT(AD2:AD96)),--(AD2:AD96&gt;0))</f>
        <v>17</v>
      </c>
      <c r="AE98" s="33" cm="1">
        <f t="array" ref="AE98">SUMPRODUCT(--(AE2:AE96=INT(AE2:AE96)),--(AE2:AE96&gt;0))</f>
        <v>15</v>
      </c>
      <c r="AF98" s="33" cm="1">
        <f t="array" ref="AF98">SUMPRODUCT(--(AF2:AF96=INT(AF2:AF96)),--(AF2:AF96&gt;0))</f>
        <v>23</v>
      </c>
      <c r="AG98" s="33" cm="1">
        <f t="array" ref="AG98">SUMPRODUCT(--(AG2:AG96=INT(AG2:AG96)),--(AG2:AG96&gt;0))</f>
        <v>29</v>
      </c>
      <c r="AH98" s="33" cm="1">
        <f t="array" ref="AH98">SUMPRODUCT(--(AH2:AH96=INT(AH2:AH96)),--(AH2:AH96&gt;0))</f>
        <v>13</v>
      </c>
      <c r="AI98" s="33" cm="1">
        <f t="array" ref="AI98">SUMPRODUCT(--(AI2:AI96=INT(AI2:AI96)),--(AI2:AI96&gt;0))</f>
        <v>0</v>
      </c>
      <c r="AJ98" s="33" cm="1">
        <f t="array" ref="AJ98">SUMPRODUCT(--(AJ2:AJ96=INT(AJ2:AJ96)),--(AJ2:AJ96&gt;0))</f>
        <v>0</v>
      </c>
      <c r="AK98" s="33" cm="1">
        <f t="array" ref="AK98">SUMPRODUCT(--(AK2:AK96=INT(AK2:AK96)),--(AK2:AK96&gt;0))</f>
        <v>2</v>
      </c>
      <c r="AL98" s="33" cm="1">
        <f t="array" ref="AL98">SUMPRODUCT(--(AL2:AL96=INT(AL2:AL96)),--(AL2:AL96&gt;0))</f>
        <v>19</v>
      </c>
      <c r="AM98" s="33" cm="1">
        <f t="array" ref="AM98">SUMPRODUCT(--(AM2:AM96=INT(AM2:AM96)),--(AM2:AM96&gt;0))</f>
        <v>16</v>
      </c>
      <c r="AN98" s="33" cm="1">
        <f t="array" ref="AN98">SUMPRODUCT(--(AN2:AN96=INT(AN2:AN96)),--(AN2:AN96&gt;0))</f>
        <v>0</v>
      </c>
      <c r="AO98" s="33" cm="1">
        <f t="array" ref="AO98">SUMPRODUCT(--(AO2:AO96=INT(AO2:AO96)),--(AO2:AO96&gt;0))</f>
        <v>49</v>
      </c>
      <c r="AP98" s="33" cm="1">
        <f t="array" ref="AP98">SUMPRODUCT(--(AP2:AP96=INT(AP2:AP96)),--(AP2:AP96&gt;0))</f>
        <v>40</v>
      </c>
      <c r="AQ98" s="33" cm="1">
        <f t="array" ref="AQ98">SUMPRODUCT(--(AQ2:AQ96=INT(AQ2:AQ96)),--(AQ2:AQ96&gt;0))</f>
        <v>44</v>
      </c>
      <c r="AR98" s="33" cm="1">
        <f t="array" ref="AR98">SUMPRODUCT(--(AR2:AR96=INT(AR2:AR96)),--(AR2:AR96&gt;0))</f>
        <v>1</v>
      </c>
      <c r="AS98" s="33" cm="1">
        <f t="array" ref="AS98">SUMPRODUCT(--(AS2:AS96=INT(AS2:AS96)),--(AS2:AS96&gt;0))</f>
        <v>41</v>
      </c>
      <c r="AT98" s="33" cm="1">
        <f t="array" ref="AT98">SUMPRODUCT(--(AT2:AT96=INT(AT2:AT96)),--(AT2:AT96&gt;0))</f>
        <v>0</v>
      </c>
      <c r="AU98" s="33" cm="1">
        <f t="array" ref="AU98">SUMPRODUCT(--(AU2:AU96=INT(AU2:AU96)),--(AU2:AU96&gt;0))</f>
        <v>64</v>
      </c>
      <c r="AV98" s="33" cm="1">
        <f t="array" ref="AV98">SUMPRODUCT(--(AV2:AV96=INT(AV2:AV96)),--(AV2:AV96&gt;0))</f>
        <v>0</v>
      </c>
      <c r="AW98" s="33" cm="1">
        <f t="array" ref="AW98">SUMPRODUCT(--(AW2:AW96=INT(AW2:AW96)),--(AW2:AW96&gt;0))</f>
        <v>27</v>
      </c>
      <c r="AX98" s="33" cm="1">
        <f t="array" ref="AX98">SUMPRODUCT(--(AX2:AX96=INT(AX2:AX96)),--(AX2:AX96&gt;0))</f>
        <v>10</v>
      </c>
      <c r="AY98" s="33" cm="1">
        <f t="array" ref="AY98">SUMPRODUCT(--(AY2:AY96=INT(AY2:AY96)),--(AY2:AY96&gt;0))</f>
        <v>7</v>
      </c>
      <c r="AZ98" s="33" cm="1">
        <f t="array" ref="AZ98">SUMPRODUCT(--(AZ2:AZ96=INT(AZ2:AZ96)),--(AZ2:AZ96&gt;0))</f>
        <v>1</v>
      </c>
      <c r="BA98" s="33" cm="1">
        <f t="array" ref="BA98">SUMPRODUCT(--(BA2:BA96=INT(BA2:BA96)),--(BA2:BA96&gt;0))</f>
        <v>0</v>
      </c>
      <c r="BB98" s="33" cm="1">
        <f t="array" ref="BB98">SUMPRODUCT(--(BB2:BB96=INT(BB2:BB96)),--(BB2:BB96&gt;0))</f>
        <v>2</v>
      </c>
      <c r="BC98" s="35"/>
      <c r="BD98" s="35"/>
      <c r="BF98" s="38" t="s">
        <v>734</v>
      </c>
      <c r="BG98" s="39"/>
      <c r="BH98" s="39"/>
      <c r="BI98" s="39"/>
      <c r="BJ98" s="39"/>
      <c r="BK98" s="39"/>
      <c r="BL98" s="39"/>
      <c r="BM98" s="39"/>
      <c r="BN98" s="39"/>
      <c r="BO98" s="40"/>
    </row>
    <row r="99" customHeight="1" spans="1:67">
      <c r="A99" s="30" t="s">
        <v>735</v>
      </c>
      <c r="B99" s="31"/>
      <c r="C99" s="32"/>
      <c r="D99" s="33" cm="1">
        <f t="array" ref="D99">MAX(FREQUENCY(IF((D2:D96=INT(D2:D96))*(D2:D96&gt;0),ROW(D2:D96)),IF((D2:D96&lt;&gt;INT(D2:D96))+(D2:D96&lt;=0),ROW(D2:D96))))</f>
        <v>1</v>
      </c>
      <c r="E99" s="33" cm="1">
        <f t="array" ref="E99">MAX(FREQUENCY(IF((E2:E96=INT(E2:E96))*(E2:E96&gt;0),ROW(E2:E96)),IF((E2:E96&lt;&gt;INT(E2:E96))+(E2:E96&lt;=0),ROW(E2:E96))))</f>
        <v>6</v>
      </c>
      <c r="F99" s="33" cm="1">
        <f t="array" ref="F99">MAX(FREQUENCY(IF((F2:F96=INT(F2:F96))*(F2:F96&gt;0),ROW(F2:F96)),IF((F2:F96&lt;&gt;INT(F2:F96))+(F2:F96&lt;=0),ROW(F2:F96))))</f>
        <v>3</v>
      </c>
      <c r="G99" s="33" cm="1">
        <f t="array" ref="G99">MAX(FREQUENCY(IF((G2:G96=INT(G2:G96))*(G2:G96&gt;0),ROW(G2:G96)),IF((G2:G96&lt;&gt;INT(G2:G96))+(G2:G96&lt;=0),ROW(G2:G96))))</f>
        <v>3</v>
      </c>
      <c r="H99" s="33" cm="1">
        <f t="array" ref="H99">MAX(FREQUENCY(IF((H2:H96=INT(H2:H96))*(H2:H96&gt;0),ROW(H2:H96)),IF((H2:H96&lt;&gt;INT(H2:H96))+(H2:H96&lt;=0),ROW(H2:H96))))</f>
        <v>4</v>
      </c>
      <c r="I99" s="33" cm="1">
        <f t="array" ref="I99">MAX(FREQUENCY(IF((I2:I96=INT(I2:I96))*(I2:I96&gt;0),ROW(I2:I96)),IF((I2:I96&lt;&gt;INT(I2:I96))+(I2:I96&lt;=0),ROW(I2:I96))))</f>
        <v>5</v>
      </c>
      <c r="J99" s="33" cm="1">
        <f t="array" ref="J99">MAX(FREQUENCY(IF((J2:J96=INT(J2:J96))*(J2:J96&gt;0),ROW(J2:J96)),IF((J2:J96&lt;&gt;INT(J2:J96))+(J2:J96&lt;=0),ROW(J2:J96))))</f>
        <v>6</v>
      </c>
      <c r="K99" s="33" cm="1">
        <f t="array" ref="K99">MAX(FREQUENCY(IF((K2:K96=INT(K2:K96))*(K2:K96&gt;0),ROW(K2:K96)),IF((K2:K96&lt;&gt;INT(K2:K96))+(K2:K96&lt;=0),ROW(K2:K96))))</f>
        <v>2</v>
      </c>
      <c r="L99" s="33" cm="1">
        <f t="array" ref="L99">MAX(FREQUENCY(IF((L2:L96=INT(L2:L96))*(L2:L96&gt;0),ROW(L2:L96)),IF((L2:L96&lt;&gt;INT(L2:L96))+(L2:L96&lt;=0),ROW(L2:L96))))</f>
        <v>2</v>
      </c>
      <c r="M99" s="33" cm="1">
        <f t="array" ref="M99">MAX(FREQUENCY(IF((M2:M96=INT(M2:M96))*(M2:M96&gt;0),ROW(M2:M96)),IF((M2:M96&lt;&gt;INT(M2:M96))+(M2:M96&lt;=0),ROW(M2:M96))))</f>
        <v>1</v>
      </c>
      <c r="N99" s="33" cm="1">
        <f t="array" ref="N99">MAX(FREQUENCY(IF((N2:N96=INT(N2:N96))*(N2:N96&gt;0),ROW(N2:N96)),IF((N2:N96&lt;&gt;INT(N2:N96))+(N2:N96&lt;=0),ROW(N2:N96))))</f>
        <v>4</v>
      </c>
      <c r="O99" s="33" cm="1">
        <f t="array" ref="O99">MAX(FREQUENCY(IF((O2:O96=INT(O2:O96))*(O2:O96&gt;0),ROW(O2:O96)),IF((O2:O96&lt;&gt;INT(O2:O96))+(O2:O96&lt;=0),ROW(O2:O96))))</f>
        <v>1</v>
      </c>
      <c r="P99" s="33" cm="1">
        <f t="array" ref="P99">MAX(FREQUENCY(IF((P2:P96=INT(P2:P96))*(P2:P96&gt;0),ROW(P2:P96)),IF((P2:P96&lt;&gt;INT(P2:P96))+(P2:P96&lt;=0),ROW(P2:P96))))</f>
        <v>4</v>
      </c>
      <c r="Q99" s="33" cm="1">
        <f t="array" ref="Q99">MAX(FREQUENCY(IF((Q2:Q96=INT(Q2:Q96))*(Q2:Q96&gt;0),ROW(Q2:Q96)),IF((Q2:Q96&lt;&gt;INT(Q2:Q96))+(Q2:Q96&lt;=0),ROW(Q2:Q96))))</f>
        <v>1</v>
      </c>
      <c r="R99" s="33" cm="1">
        <f t="array" ref="R99">MAX(FREQUENCY(IF((R2:R96=INT(R2:R96))*(R2:R96&gt;0),ROW(R2:R96)),IF((R2:R96&lt;&gt;INT(R2:R96))+(R2:R96&lt;=0),ROW(R2:R96))))</f>
        <v>1</v>
      </c>
      <c r="S99" s="33" cm="1">
        <f t="array" ref="S99">MAX(FREQUENCY(IF((S2:S96=INT(S2:S96))*(S2:S96&gt;0),ROW(S2:S96)),IF((S2:S96&lt;&gt;INT(S2:S96))+(S2:S96&lt;=0),ROW(S2:S96))))</f>
        <v>1</v>
      </c>
      <c r="T99" s="33" cm="1">
        <f t="array" ref="T99">MAX(FREQUENCY(IF((T2:T96=INT(T2:T96))*(T2:T96&gt;0),ROW(T2:T96)),IF((T2:T96&lt;&gt;INT(T2:T96))+(T2:T96&lt;=0),ROW(T2:T96))))</f>
        <v>2</v>
      </c>
      <c r="U99" s="33" cm="1">
        <f t="array" ref="U99">MAX(FREQUENCY(IF((U2:U96=INT(U2:U96))*(U2:U96&gt;0),ROW(U2:U96)),IF((U2:U96&lt;&gt;INT(U2:U96))+(U2:U96&lt;=0),ROW(U2:U96))))</f>
        <v>1</v>
      </c>
      <c r="V99" s="33" cm="1">
        <f t="array" ref="V99">MAX(FREQUENCY(IF((V2:V96=INT(V2:V96))*(V2:V96&gt;0),ROW(V2:V96)),IF((V2:V96&lt;&gt;INT(V2:V96))+(V2:V96&lt;=0),ROW(V2:V96))))</f>
        <v>1</v>
      </c>
      <c r="W99" s="33" cm="1">
        <f t="array" ref="W99">MAX(FREQUENCY(IF((W2:W96=INT(W2:W96))*(W2:W96&gt;0),ROW(W2:W96)),IF((W2:W96&lt;&gt;INT(W2:W96))+(W2:W96&lt;=0),ROW(W2:W96))))</f>
        <v>5</v>
      </c>
      <c r="X99" s="33" cm="1">
        <f t="array" ref="X99">MAX(FREQUENCY(IF((X2:X96=INT(X2:X96))*(X2:X96&gt;0),ROW(X2:X96)),IF((X2:X96&lt;&gt;INT(X2:X96))+(X2:X96&lt;=0),ROW(X2:X96))))</f>
        <v>1</v>
      </c>
      <c r="Y99" s="33" cm="1">
        <f t="array" ref="Y99">MAX(FREQUENCY(IF((Y2:Y96=INT(Y2:Y96))*(Y2:Y96&gt;0),ROW(Y2:Y96)),IF((Y2:Y96&lt;&gt;INT(Y2:Y96))+(Y2:Y96&lt;=0),ROW(Y2:Y96))))</f>
        <v>4</v>
      </c>
      <c r="Z99" s="33" cm="1">
        <f t="array" ref="Z99">MAX(FREQUENCY(IF((Z2:Z96=INT(Z2:Z96))*(Z2:Z96&gt;0),ROW(Z2:Z96)),IF((Z2:Z96&lt;&gt;INT(Z2:Z96))+(Z2:Z96&lt;=0),ROW(Z2:Z96))))</f>
        <v>1</v>
      </c>
      <c r="AA99" s="33" cm="1">
        <f t="array" ref="AA99">MAX(FREQUENCY(IF((AA2:AA96=INT(AA2:AA96))*(AA2:AA96&gt;0),ROW(AA2:AA96)),IF((AA2:AA96&lt;&gt;INT(AA2:AA96))+(AA2:AA96&lt;=0),ROW(AA2:AA96))))</f>
        <v>0</v>
      </c>
      <c r="AB99" s="33" cm="1">
        <f t="array" ref="AB99">MAX(FREQUENCY(IF((AB2:AB96=INT(AB2:AB96))*(AB2:AB96&gt;0),ROW(AB2:AB96)),IF((AB2:AB96&lt;&gt;INT(AB2:AB96))+(AB2:AB96&lt;=0),ROW(AB2:AB96))))</f>
        <v>1</v>
      </c>
      <c r="AC99" s="33" cm="1">
        <f t="array" ref="AC99">MAX(FREQUENCY(IF((AC2:AC96=INT(AC2:AC96))*(AC2:AC96&gt;0),ROW(AC2:AC96)),IF((AC2:AC96&lt;&gt;INT(AC2:AC96))+(AC2:AC96&lt;=0),ROW(AC2:AC96))))</f>
        <v>5</v>
      </c>
      <c r="AD99" s="33" cm="1">
        <f t="array" ref="AD99">MAX(FREQUENCY(IF((AD2:AD96=INT(AD2:AD96))*(AD2:AD96&gt;0),ROW(AD2:AD96)),IF((AD2:AD96&lt;&gt;INT(AD2:AD96))+(AD2:AD96&lt;=0),ROW(AD2:AD96))))</f>
        <v>5</v>
      </c>
      <c r="AE99" s="33" cm="1">
        <f t="array" ref="AE99">MAX(FREQUENCY(IF((AE2:AE96=INT(AE2:AE96))*(AE2:AE96&gt;0),ROW(AE2:AE96)),IF((AE2:AE96&lt;&gt;INT(AE2:AE96))+(AE2:AE96&lt;=0),ROW(AE2:AE96))))</f>
        <v>4</v>
      </c>
      <c r="AF99" s="33" cm="1">
        <f t="array" ref="AF99">MAX(FREQUENCY(IF((AF2:AF96=INT(AF2:AF96))*(AF2:AF96&gt;0),ROW(AF2:AF96)),IF((AF2:AF96&lt;&gt;INT(AF2:AF96))+(AF2:AF96&lt;=0),ROW(AF2:AF96))))</f>
        <v>3</v>
      </c>
      <c r="AG99" s="33" cm="1">
        <f t="array" ref="AG99">MAX(FREQUENCY(IF((AG2:AG96=INT(AG2:AG96))*(AG2:AG96&gt;0),ROW(AG2:AG96)),IF((AG2:AG96&lt;&gt;INT(AG2:AG96))+(AG2:AG96&lt;=0),ROW(AG2:AG96))))</f>
        <v>7</v>
      </c>
      <c r="AH99" s="33" cm="1">
        <f t="array" ref="AH99">MAX(FREQUENCY(IF((AH2:AH96=INT(AH2:AH96))*(AH2:AH96&gt;0),ROW(AH2:AH96)),IF((AH2:AH96&lt;&gt;INT(AH2:AH96))+(AH2:AH96&lt;=0),ROW(AH2:AH96))))</f>
        <v>1</v>
      </c>
      <c r="AI99" s="33" cm="1">
        <f t="array" ref="AI99">MAX(FREQUENCY(IF((AI2:AI96=INT(AI2:AI96))*(AI2:AI96&gt;0),ROW(AI2:AI96)),IF((AI2:AI96&lt;&gt;INT(AI2:AI96))+(AI2:AI96&lt;=0),ROW(AI2:AI96))))</f>
        <v>0</v>
      </c>
      <c r="AJ99" s="33" cm="1">
        <f t="array" ref="AJ99">MAX(FREQUENCY(IF((AJ2:AJ96=INT(AJ2:AJ96))*(AJ2:AJ96&gt;0),ROW(AJ2:AJ96)),IF((AJ2:AJ96&lt;&gt;INT(AJ2:AJ96))+(AJ2:AJ96&lt;=0),ROW(AJ2:AJ96))))</f>
        <v>0</v>
      </c>
      <c r="AK99" s="33" cm="1">
        <f t="array" ref="AK99">MAX(FREQUENCY(IF((AK2:AK96=INT(AK2:AK96))*(AK2:AK96&gt;0),ROW(AK2:AK96)),IF((AK2:AK96&lt;&gt;INT(AK2:AK96))+(AK2:AK96&lt;=0),ROW(AK2:AK96))))</f>
        <v>1</v>
      </c>
      <c r="AL99" s="33" cm="1">
        <f t="array" ref="AL99">MAX(FREQUENCY(IF((AL2:AL96=INT(AL2:AL96))*(AL2:AL96&gt;0),ROW(AL2:AL96)),IF((AL2:AL96&lt;&gt;INT(AL2:AL96))+(AL2:AL96&lt;=0),ROW(AL2:AL96))))</f>
        <v>3</v>
      </c>
      <c r="AM99" s="33" cm="1">
        <f t="array" ref="AM99">MAX(FREQUENCY(IF((AM2:AM96=INT(AM2:AM96))*(AM2:AM96&gt;0),ROW(AM2:AM96)),IF((AM2:AM96&lt;&gt;INT(AM2:AM96))+(AM2:AM96&lt;=0),ROW(AM2:AM96))))</f>
        <v>3</v>
      </c>
      <c r="AN99" s="33" cm="1">
        <f t="array" ref="AN99">MAX(FREQUENCY(IF((AN2:AN96=INT(AN2:AN96))*(AN2:AN96&gt;0),ROW(AN2:AN96)),IF((AN2:AN96&lt;&gt;INT(AN2:AN96))+(AN2:AN96&lt;=0),ROW(AN2:AN96))))</f>
        <v>0</v>
      </c>
      <c r="AO99" s="33" cm="1">
        <f t="array" ref="AO99">MAX(FREQUENCY(IF((AO2:AO96=INT(AO2:AO96))*(AO2:AO96&gt;0),ROW(AO2:AO96)),IF((AO2:AO96&lt;&gt;INT(AO2:AO96))+(AO2:AO96&lt;=0),ROW(AO2:AO96))))</f>
        <v>12</v>
      </c>
      <c r="AP99" s="33" cm="1">
        <f t="array" ref="AP99">MAX(FREQUENCY(IF((AP2:AP96=INT(AP2:AP96))*(AP2:AP96&gt;0),ROW(AP2:AP96)),IF((AP2:AP96&lt;&gt;INT(AP2:AP96))+(AP2:AP96&lt;=0),ROW(AP2:AP96))))</f>
        <v>6</v>
      </c>
      <c r="AQ99" s="33" cm="1">
        <f t="array" ref="AQ99">MAX(FREQUENCY(IF((AQ2:AQ96=INT(AQ2:AQ96))*(AQ2:AQ96&gt;0),ROW(AQ2:AQ96)),IF((AQ2:AQ96&lt;&gt;INT(AQ2:AQ96))+(AQ2:AQ96&lt;=0),ROW(AQ2:AQ96))))</f>
        <v>6</v>
      </c>
      <c r="AR99" s="33" cm="1">
        <f t="array" ref="AR99">MAX(FREQUENCY(IF((AR2:AR96=INT(AR2:AR96))*(AR2:AR96&gt;0),ROW(AR2:AR96)),IF((AR2:AR96&lt;&gt;INT(AR2:AR96))+(AR2:AR96&lt;=0),ROW(AR2:AR96))))</f>
        <v>1</v>
      </c>
      <c r="AS99" s="33" cm="1">
        <f t="array" ref="AS99">MAX(FREQUENCY(IF((AS2:AS96=INT(AS2:AS96))*(AS2:AS96&gt;0),ROW(AS2:AS96)),IF((AS2:AS96&lt;&gt;INT(AS2:AS96))+(AS2:AS96&lt;=0),ROW(AS2:AS96))))</f>
        <v>6</v>
      </c>
      <c r="AT99" s="33" cm="1">
        <f t="array" ref="AT99">MAX(FREQUENCY(IF((AT2:AT96=INT(AT2:AT96))*(AT2:AT96&gt;0),ROW(AT2:AT96)),IF((AT2:AT96&lt;&gt;INT(AT2:AT96))+(AT2:AT96&lt;=0),ROW(AT2:AT96))))</f>
        <v>0</v>
      </c>
      <c r="AU99" s="33" cm="1">
        <f t="array" ref="AU99">MAX(FREQUENCY(IF((AU2:AU96=INT(AU2:AU96))*(AU2:AU96&gt;0),ROW(AU2:AU96)),IF((AU2:AU96&lt;&gt;INT(AU2:AU96))+(AU2:AU96&lt;=0),ROW(AU2:AU96))))</f>
        <v>17</v>
      </c>
      <c r="AV99" s="33" cm="1">
        <f t="array" ref="AV99">MAX(FREQUENCY(IF((AV2:AV96=INT(AV2:AV96))*(AV2:AV96&gt;0),ROW(AV2:AV96)),IF((AV2:AV96&lt;&gt;INT(AV2:AV96))+(AV2:AV96&lt;=0),ROW(AV2:AV96))))</f>
        <v>0</v>
      </c>
      <c r="AW99" s="33" cm="1">
        <f t="array" ref="AW99">MAX(FREQUENCY(IF((AW2:AW96=INT(AW2:AW96))*(AW2:AW96&gt;0),ROW(AW2:AW96)),IF((AW2:AW96&lt;&gt;INT(AW2:AW96))+(AW2:AW96&lt;=0),ROW(AW2:AW96))))</f>
        <v>3</v>
      </c>
      <c r="AX99" s="33" cm="1">
        <f t="array" ref="AX99">MAX(FREQUENCY(IF((AX2:AX96=INT(AX2:AX96))*(AX2:AX96&gt;0),ROW(AX2:AX96)),IF((AX2:AX96&lt;&gt;INT(AX2:AX96))+(AX2:AX96&lt;=0),ROW(AX2:AX96))))</f>
        <v>4</v>
      </c>
      <c r="AY99" s="33" cm="1">
        <f t="array" ref="AY99">MAX(FREQUENCY(IF((AY2:AY96=INT(AY2:AY96))*(AY2:AY96&gt;0),ROW(AY2:AY96)),IF((AY2:AY96&lt;&gt;INT(AY2:AY96))+(AY2:AY96&lt;=0),ROW(AY2:AY96))))</f>
        <v>1</v>
      </c>
      <c r="AZ99" s="33" cm="1">
        <f t="array" ref="AZ99">MAX(FREQUENCY(IF((AZ2:AZ96=INT(AZ2:AZ96))*(AZ2:AZ96&gt;0),ROW(AZ2:AZ96)),IF((AZ2:AZ96&lt;&gt;INT(AZ2:AZ96))+(AZ2:AZ96&lt;=0),ROW(AZ2:AZ96))))</f>
        <v>1</v>
      </c>
      <c r="BA99" s="33" cm="1">
        <f t="array" ref="BA99">MAX(FREQUENCY(IF((BA2:BA96=INT(BA2:BA96))*(BA2:BA96&gt;0),ROW(BA2:BA96)),IF((BA2:BA96&lt;&gt;INT(BA2:BA96))+(BA2:BA96&lt;=0),ROW(BA2:BA96))))</f>
        <v>0</v>
      </c>
      <c r="BB99" s="33" cm="1">
        <f t="array" ref="BB99">MAX(FREQUENCY(IF((BB2:BB96=INT(BB2:BB96))*(BB2:BB96&gt;0),ROW(BB2:BB96)),IF((BB2:BB96&lt;&gt;INT(BB2:BB96))+(BB2:BB96&lt;=0),ROW(BB2:BB96))))</f>
        <v>1</v>
      </c>
      <c r="BC99" s="35"/>
      <c r="BD99" s="35"/>
      <c r="BF99" s="41"/>
      <c r="BG99" s="42"/>
      <c r="BH99" s="42"/>
      <c r="BI99" s="42"/>
      <c r="BJ99" s="42"/>
      <c r="BK99" s="42"/>
      <c r="BL99" s="42"/>
      <c r="BM99" s="42"/>
      <c r="BN99" s="42"/>
      <c r="BO99" s="43"/>
    </row>
  </sheetData>
  <mergeCells count="14">
    <mergeCell ref="A1:C1"/>
    <mergeCell ref="A97:C97"/>
    <mergeCell ref="A98:C98"/>
    <mergeCell ref="A99:C99"/>
    <mergeCell ref="A2:A19"/>
    <mergeCell ref="A20:A96"/>
    <mergeCell ref="B2:B19"/>
    <mergeCell ref="B20:B35"/>
    <mergeCell ref="B36:B38"/>
    <mergeCell ref="B39:B60"/>
    <mergeCell ref="B61:B78"/>
    <mergeCell ref="B79:B96"/>
    <mergeCell ref="BC97:BD99"/>
    <mergeCell ref="BF98:BO99"/>
  </mergeCells>
  <conditionalFormatting sqref="BF16:BN16">
    <cfRule type="colorScale" priority="10">
      <colorScale>
        <cfvo type="min"/>
        <cfvo type="max"/>
        <color rgb="FFFFEF9C"/>
        <color rgb="FF63BE7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9">
      <colorScale>
        <cfvo type="min"/>
        <cfvo type="max"/>
        <color rgb="FFFFEF9C"/>
        <color rgb="FF63BE7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396">
      <colorScale>
        <cfvo type="min"/>
        <cfvo type="max"/>
        <color theme="4" tint="0.8"/>
        <color theme="4" tint="-0.25"/>
      </colorScale>
    </cfRule>
    <cfRule type="colorScale" priority="397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383">
      <colorScale>
        <cfvo type="min"/>
        <cfvo type="max"/>
        <color theme="4" tint="0.8"/>
        <color theme="4" tint="-0.25"/>
      </colorScale>
    </cfRule>
    <cfRule type="colorScale" priority="395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382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381">
      <colorScale>
        <cfvo type="min"/>
        <cfvo type="max"/>
        <color theme="4" tint="0.8"/>
        <color theme="4" tint="-0.25"/>
      </colorScale>
    </cfRule>
    <cfRule type="colorScale" priority="393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356">
      <colorScale>
        <cfvo type="min"/>
        <cfvo type="max"/>
        <color theme="4" tint="0.8"/>
        <color theme="4"/>
      </colorScale>
    </cfRule>
    <cfRule type="colorScale" priority="359">
      <colorScale>
        <cfvo type="min"/>
        <cfvo type="max"/>
        <color theme="4"/>
        <color theme="4" tint="0.8"/>
      </colorScale>
    </cfRule>
    <cfRule type="colorScale" priority="362">
      <colorScale>
        <cfvo type="min"/>
        <cfvo type="max"/>
        <color theme="4" tint="0.8"/>
        <color theme="4" tint="-0.25"/>
      </colorScale>
    </cfRule>
    <cfRule type="colorScale" priority="365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355">
      <colorScale>
        <cfvo type="min"/>
        <cfvo type="max"/>
        <color theme="4" tint="0.8"/>
        <color theme="4"/>
      </colorScale>
    </cfRule>
    <cfRule type="colorScale" priority="358">
      <colorScale>
        <cfvo type="min"/>
        <cfvo type="max"/>
        <color theme="4"/>
        <color theme="4" tint="0.8"/>
      </colorScale>
    </cfRule>
    <cfRule type="colorScale" priority="361">
      <colorScale>
        <cfvo type="min"/>
        <cfvo type="max"/>
        <color theme="4" tint="0.8"/>
        <color theme="4" tint="-0.25"/>
      </colorScale>
    </cfRule>
    <cfRule type="colorScale" priority="364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354">
      <colorScale>
        <cfvo type="min"/>
        <cfvo type="max"/>
        <color theme="4" tint="0.8"/>
        <color theme="4"/>
      </colorScale>
    </cfRule>
    <cfRule type="colorScale" priority="357">
      <colorScale>
        <cfvo type="min"/>
        <cfvo type="max"/>
        <color theme="4"/>
        <color theme="4" tint="0.8"/>
      </colorScale>
    </cfRule>
    <cfRule type="colorScale" priority="360">
      <colorScale>
        <cfvo type="min"/>
        <cfvo type="max"/>
        <color theme="4" tint="0.8"/>
        <color theme="4" tint="-0.25"/>
      </colorScale>
    </cfRule>
    <cfRule type="colorScale" priority="363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293">
      <colorScale>
        <cfvo type="min"/>
        <cfvo type="max"/>
        <color theme="4" tint="0.8"/>
        <color theme="4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292">
      <colorScale>
        <cfvo type="min"/>
        <cfvo type="max"/>
        <color theme="4" tint="0.8"/>
        <color theme="4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52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291">
      <colorScale>
        <cfvo type="min"/>
        <cfvo type="max"/>
        <color theme="4" tint="0.8"/>
        <color theme="4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51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290">
      <colorScale>
        <cfvo type="min"/>
        <cfvo type="max"/>
        <color theme="4" tint="0.8"/>
        <color theme="4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50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289">
      <colorScale>
        <cfvo type="min"/>
        <cfvo type="max"/>
        <color theme="4" tint="0.8"/>
        <color theme="4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49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288">
      <colorScale>
        <cfvo type="min"/>
        <cfvo type="max"/>
        <color theme="4" tint="0.8"/>
        <color theme="4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48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287">
      <colorScale>
        <cfvo type="min"/>
        <cfvo type="max"/>
        <color theme="4" tint="0.8"/>
        <color theme="4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47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286">
      <colorScale>
        <cfvo type="min"/>
        <cfvo type="max"/>
        <color theme="4" tint="0.8"/>
        <color theme="4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46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285">
      <colorScale>
        <cfvo type="min"/>
        <cfvo type="max"/>
        <color theme="4" tint="0.8"/>
        <color theme="4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45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284">
      <colorScale>
        <cfvo type="min"/>
        <cfvo type="max"/>
        <color theme="4" tint="0.8"/>
        <color theme="4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44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283">
      <colorScale>
        <cfvo type="min"/>
        <cfvo type="max"/>
        <color theme="4" tint="0.8"/>
        <color theme="4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282">
      <colorScale>
        <cfvo type="min"/>
        <cfvo type="max"/>
        <color theme="4" tint="0.8"/>
        <color theme="4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281">
      <colorScale>
        <cfvo type="min"/>
        <cfvo type="max"/>
        <color theme="4" tint="0.8"/>
        <color theme="4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280">
      <colorScale>
        <cfvo type="min"/>
        <cfvo type="max"/>
        <color theme="4" tint="0.8"/>
        <color theme="4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279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278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277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7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276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6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275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5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274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4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254">
      <colorScale>
        <cfvo type="min"/>
        <cfvo type="max"/>
        <color theme="4" tint="0.8"/>
        <color theme="4"/>
      </colorScale>
    </cfRule>
    <cfRule type="colorScale" priority="259">
      <colorScale>
        <cfvo type="min"/>
        <cfvo type="max"/>
        <color theme="4"/>
        <color theme="4" tint="0.8"/>
      </colorScale>
    </cfRule>
    <cfRule type="colorScale" priority="264">
      <colorScale>
        <cfvo type="min"/>
        <cfvo type="max"/>
        <color theme="4" tint="0.8"/>
        <color theme="4" tint="-0.25"/>
      </colorScale>
    </cfRule>
    <cfRule type="colorScale" priority="269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251">
      <colorScale>
        <cfvo type="min"/>
        <cfvo type="max"/>
        <color theme="4" tint="0.8"/>
        <color theme="4"/>
      </colorScale>
    </cfRule>
    <cfRule type="colorScale" priority="256">
      <colorScale>
        <cfvo type="min"/>
        <cfvo type="max"/>
        <color theme="4"/>
        <color theme="4" tint="0.8"/>
      </colorScale>
    </cfRule>
    <cfRule type="colorScale" priority="261">
      <colorScale>
        <cfvo type="min"/>
        <cfvo type="max"/>
        <color theme="4" tint="0.8"/>
        <color theme="4" tint="-0.25"/>
      </colorScale>
    </cfRule>
    <cfRule type="colorScale" priority="266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253">
      <colorScale>
        <cfvo type="min"/>
        <cfvo type="max"/>
        <color theme="4" tint="0.8"/>
        <color theme="4"/>
      </colorScale>
    </cfRule>
    <cfRule type="colorScale" priority="258">
      <colorScale>
        <cfvo type="min"/>
        <cfvo type="max"/>
        <color theme="4"/>
        <color theme="4" tint="0.8"/>
      </colorScale>
    </cfRule>
    <cfRule type="colorScale" priority="263">
      <colorScale>
        <cfvo type="min"/>
        <cfvo type="max"/>
        <color theme="4" tint="0.8"/>
        <color theme="4" tint="-0.25"/>
      </colorScale>
    </cfRule>
    <cfRule type="colorScale" priority="268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250">
      <colorScale>
        <cfvo type="min"/>
        <cfvo type="max"/>
        <color theme="4" tint="0.8"/>
        <color theme="4"/>
      </colorScale>
    </cfRule>
    <cfRule type="colorScale" priority="255">
      <colorScale>
        <cfvo type="min"/>
        <cfvo type="max"/>
        <color theme="4"/>
        <color theme="4" tint="0.8"/>
      </colorScale>
    </cfRule>
    <cfRule type="colorScale" priority="260">
      <colorScale>
        <cfvo type="min"/>
        <cfvo type="max"/>
        <color theme="4" tint="0.8"/>
        <color theme="4" tint="-0.25"/>
      </colorScale>
    </cfRule>
    <cfRule type="colorScale" priority="265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244">
      <colorScale>
        <cfvo type="num" val="1"/>
        <cfvo type="num" val="3"/>
        <color theme="4" tint="0.8"/>
        <color theme="4" tint="-0.25"/>
      </colorScale>
    </cfRule>
    <cfRule type="colorScale" priority="252">
      <colorScale>
        <cfvo type="min"/>
        <cfvo type="max"/>
        <color theme="4" tint="0.8"/>
        <color theme="4"/>
      </colorScale>
    </cfRule>
    <cfRule type="colorScale" priority="257">
      <colorScale>
        <cfvo type="min"/>
        <cfvo type="max"/>
        <color theme="4"/>
        <color theme="4" tint="0.8"/>
      </colorScale>
    </cfRule>
    <cfRule type="colorScale" priority="262">
      <colorScale>
        <cfvo type="min"/>
        <cfvo type="max"/>
        <color theme="4" tint="0.8"/>
        <color theme="4" tint="-0.25"/>
      </colorScale>
    </cfRule>
    <cfRule type="colorScale" priority="267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152">
      <colorScale>
        <cfvo type="num" val="1"/>
        <cfvo type="num" val="3"/>
        <color theme="4" tint="0.8"/>
        <color theme="4" tint="-0.25"/>
      </colorScale>
    </cfRule>
    <cfRule type="colorScale" priority="188">
      <colorScale>
        <cfvo type="min"/>
        <cfvo type="max"/>
        <color theme="4" tint="0.8"/>
        <color theme="4"/>
      </colorScale>
    </cfRule>
    <cfRule type="colorScale" priority="206">
      <colorScale>
        <cfvo type="min"/>
        <cfvo type="max"/>
        <color theme="4"/>
        <color theme="4" tint="0.8"/>
      </colorScale>
    </cfRule>
    <cfRule type="colorScale" priority="224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170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151">
      <colorScale>
        <cfvo type="num" val="1"/>
        <cfvo type="num" val="3"/>
        <color theme="4" tint="0.8"/>
        <color theme="4" tint="-0.25"/>
      </colorScale>
    </cfRule>
    <cfRule type="colorScale" priority="187">
      <colorScale>
        <cfvo type="min"/>
        <cfvo type="max"/>
        <color theme="4" tint="0.8"/>
        <color theme="4"/>
      </colorScale>
    </cfRule>
    <cfRule type="colorScale" priority="205">
      <colorScale>
        <cfvo type="min"/>
        <cfvo type="max"/>
        <color theme="4"/>
        <color theme="4" tint="0.8"/>
      </colorScale>
    </cfRule>
    <cfRule type="colorScale" priority="223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169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150">
      <colorScale>
        <cfvo type="num" val="1"/>
        <cfvo type="num" val="3"/>
        <color theme="4" tint="0.8"/>
        <color theme="4" tint="-0.25"/>
      </colorScale>
    </cfRule>
    <cfRule type="colorScale" priority="186">
      <colorScale>
        <cfvo type="min"/>
        <cfvo type="max"/>
        <color theme="4" tint="0.8"/>
        <color theme="4"/>
      </colorScale>
    </cfRule>
    <cfRule type="colorScale" priority="204">
      <colorScale>
        <cfvo type="min"/>
        <cfvo type="max"/>
        <color theme="4"/>
        <color theme="4" tint="0.8"/>
      </colorScale>
    </cfRule>
    <cfRule type="colorScale" priority="222">
      <colorScale>
        <cfvo type="min"/>
        <cfvo type="max"/>
        <color theme="4" tint="0.8"/>
        <color theme="4" tint="-0.25"/>
      </colorScale>
    </cfRule>
    <cfRule type="colorScale" priority="240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168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149">
      <colorScale>
        <cfvo type="num" val="1"/>
        <cfvo type="num" val="3"/>
        <color theme="4" tint="0.8"/>
        <color theme="4" tint="-0.25"/>
      </colorScale>
    </cfRule>
    <cfRule type="colorScale" priority="185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/>
        <color theme="4" tint="0.8"/>
      </colorScale>
    </cfRule>
    <cfRule type="colorScale" priority="221">
      <colorScale>
        <cfvo type="min"/>
        <cfvo type="max"/>
        <color theme="4" tint="0.8"/>
        <color theme="4" tint="-0.25"/>
      </colorScale>
    </cfRule>
    <cfRule type="colorScale" priority="239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167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148">
      <colorScale>
        <cfvo type="num" val="1"/>
        <cfvo type="num" val="3"/>
        <color theme="4" tint="0.8"/>
        <color theme="4" tint="-0.25"/>
      </colorScale>
    </cfRule>
    <cfRule type="colorScale" priority="184">
      <colorScale>
        <cfvo type="min"/>
        <cfvo type="max"/>
        <color theme="4" tint="0.8"/>
        <color theme="4"/>
      </colorScale>
    </cfRule>
    <cfRule type="colorScale" priority="202">
      <colorScale>
        <cfvo type="min"/>
        <cfvo type="max"/>
        <color theme="4"/>
        <color theme="4" tint="0.8"/>
      </colorScale>
    </cfRule>
    <cfRule type="colorScale" priority="220">
      <colorScale>
        <cfvo type="min"/>
        <cfvo type="max"/>
        <color theme="4" tint="0.8"/>
        <color theme="4" tint="-0.25"/>
      </colorScale>
    </cfRule>
    <cfRule type="colorScale" priority="238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166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147">
      <colorScale>
        <cfvo type="num" val="1"/>
        <cfvo type="num" val="3"/>
        <color theme="4" tint="0.8"/>
        <color theme="4" tint="-0.25"/>
      </colorScale>
    </cfRule>
    <cfRule type="colorScale" priority="183">
      <colorScale>
        <cfvo type="min"/>
        <cfvo type="max"/>
        <color theme="4" tint="0.8"/>
        <color theme="4"/>
      </colorScale>
    </cfRule>
    <cfRule type="colorScale" priority="201">
      <colorScale>
        <cfvo type="min"/>
        <cfvo type="max"/>
        <color theme="4"/>
        <color theme="4" tint="0.8"/>
      </colorScale>
    </cfRule>
    <cfRule type="colorScale" priority="219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165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146">
      <colorScale>
        <cfvo type="num" val="1"/>
        <cfvo type="num" val="3"/>
        <color theme="4" tint="0.8"/>
        <color theme="4" tint="-0.25"/>
      </colorScale>
    </cfRule>
    <cfRule type="colorScale" priority="182">
      <colorScale>
        <cfvo type="min"/>
        <cfvo type="max"/>
        <color theme="4" tint="0.8"/>
        <color theme="4"/>
      </colorScale>
    </cfRule>
    <cfRule type="colorScale" priority="200">
      <colorScale>
        <cfvo type="min"/>
        <cfvo type="max"/>
        <color theme="4"/>
        <color theme="4" tint="0.8"/>
      </colorScale>
    </cfRule>
    <cfRule type="colorScale" priority="218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164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145">
      <colorScale>
        <cfvo type="num" val="1"/>
        <cfvo type="num" val="3"/>
        <color theme="4" tint="0.8"/>
        <color theme="4" tint="-0.25"/>
      </colorScale>
    </cfRule>
    <cfRule type="colorScale" priority="181">
      <colorScale>
        <cfvo type="min"/>
        <cfvo type="max"/>
        <color theme="4" tint="0.8"/>
        <color theme="4"/>
      </colorScale>
    </cfRule>
    <cfRule type="colorScale" priority="199">
      <colorScale>
        <cfvo type="min"/>
        <cfvo type="max"/>
        <color theme="4"/>
        <color theme="4" tint="0.8"/>
      </colorScale>
    </cfRule>
    <cfRule type="colorScale" priority="217">
      <colorScale>
        <cfvo type="min"/>
        <cfvo type="max"/>
        <color theme="4" tint="0.8"/>
        <color theme="4" tint="-0.25"/>
      </colorScale>
    </cfRule>
    <cfRule type="colorScale" priority="235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163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144">
      <colorScale>
        <cfvo type="num" val="1"/>
        <cfvo type="num" val="3"/>
        <color theme="4" tint="0.8"/>
        <color theme="4" tint="-0.25"/>
      </colorScale>
    </cfRule>
    <cfRule type="colorScale" priority="180">
      <colorScale>
        <cfvo type="min"/>
        <cfvo type="max"/>
        <color theme="4" tint="0.8"/>
        <color theme="4"/>
      </colorScale>
    </cfRule>
    <cfRule type="colorScale" priority="198">
      <colorScale>
        <cfvo type="min"/>
        <cfvo type="max"/>
        <color theme="4"/>
        <color theme="4" tint="0.8"/>
      </colorScale>
    </cfRule>
    <cfRule type="colorScale" priority="216">
      <colorScale>
        <cfvo type="min"/>
        <cfvo type="max"/>
        <color theme="4" tint="0.8"/>
        <color theme="4" tint="-0.25"/>
      </colorScale>
    </cfRule>
    <cfRule type="colorScale" priority="234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162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143">
      <colorScale>
        <cfvo type="num" val="1"/>
        <cfvo type="num" val="3"/>
        <color theme="4" tint="0.8"/>
        <color theme="4" tint="-0.25"/>
      </colorScale>
    </cfRule>
    <cfRule type="colorScale" priority="179">
      <colorScale>
        <cfvo type="min"/>
        <cfvo type="max"/>
        <color theme="4" tint="0.8"/>
        <color theme="4"/>
      </colorScale>
    </cfRule>
    <cfRule type="colorScale" priority="197">
      <colorScale>
        <cfvo type="min"/>
        <cfvo type="max"/>
        <color theme="4"/>
        <color theme="4" tint="0.8"/>
      </colorScale>
    </cfRule>
    <cfRule type="colorScale" priority="215">
      <colorScale>
        <cfvo type="min"/>
        <cfvo type="max"/>
        <color theme="4" tint="0.8"/>
        <color theme="4" tint="-0.25"/>
      </colorScale>
    </cfRule>
    <cfRule type="colorScale" priority="233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161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142">
      <colorScale>
        <cfvo type="num" val="1"/>
        <cfvo type="num" val="3"/>
        <color theme="4" tint="0.8"/>
        <color theme="4" tint="-0.25"/>
      </colorScale>
    </cfRule>
    <cfRule type="colorScale" priority="178">
      <colorScale>
        <cfvo type="min"/>
        <cfvo type="max"/>
        <color theme="4" tint="0.8"/>
        <color theme="4"/>
      </colorScale>
    </cfRule>
    <cfRule type="colorScale" priority="196">
      <colorScale>
        <cfvo type="min"/>
        <cfvo type="max"/>
        <color theme="4"/>
        <color theme="4" tint="0.8"/>
      </colorScale>
    </cfRule>
    <cfRule type="colorScale" priority="214">
      <colorScale>
        <cfvo type="min"/>
        <cfvo type="max"/>
        <color theme="4" tint="0.8"/>
        <color theme="4" tint="-0.25"/>
      </colorScale>
    </cfRule>
    <cfRule type="colorScale" priority="232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160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141">
      <colorScale>
        <cfvo type="num" val="1"/>
        <cfvo type="num" val="3"/>
        <color theme="4" tint="0.8"/>
        <color theme="4" tint="-0.25"/>
      </colorScale>
    </cfRule>
    <cfRule type="colorScale" priority="177">
      <colorScale>
        <cfvo type="min"/>
        <cfvo type="max"/>
        <color theme="4" tint="0.8"/>
        <color theme="4"/>
      </colorScale>
    </cfRule>
    <cfRule type="colorScale" priority="195">
      <colorScale>
        <cfvo type="min"/>
        <cfvo type="max"/>
        <color theme="4"/>
        <color theme="4" tint="0.8"/>
      </colorScale>
    </cfRule>
    <cfRule type="colorScale" priority="213">
      <colorScale>
        <cfvo type="min"/>
        <cfvo type="max"/>
        <color theme="4" tint="0.8"/>
        <color theme="4" tint="-0.25"/>
      </colorScale>
    </cfRule>
    <cfRule type="colorScale" priority="231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159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140">
      <colorScale>
        <cfvo type="num" val="1"/>
        <cfvo type="num" val="3"/>
        <color theme="4" tint="0.8"/>
        <color theme="4" tint="-0.25"/>
      </colorScale>
    </cfRule>
    <cfRule type="colorScale" priority="176">
      <colorScale>
        <cfvo type="min"/>
        <cfvo type="max"/>
        <color theme="4" tint="0.8"/>
        <color theme="4"/>
      </colorScale>
    </cfRule>
    <cfRule type="colorScale" priority="194">
      <colorScale>
        <cfvo type="min"/>
        <cfvo type="max"/>
        <color theme="4"/>
        <color theme="4" tint="0.8"/>
      </colorScale>
    </cfRule>
    <cfRule type="colorScale" priority="212">
      <colorScale>
        <cfvo type="min"/>
        <cfvo type="max"/>
        <color theme="4" tint="0.8"/>
        <color theme="4" tint="-0.25"/>
      </colorScale>
    </cfRule>
    <cfRule type="colorScale" priority="230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158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139">
      <colorScale>
        <cfvo type="num" val="1"/>
        <cfvo type="num" val="3"/>
        <color theme="4" tint="0.8"/>
        <color theme="4" tint="-0.25"/>
      </colorScale>
    </cfRule>
    <cfRule type="colorScale" priority="175">
      <colorScale>
        <cfvo type="min"/>
        <cfvo type="max"/>
        <color theme="4" tint="0.8"/>
        <color theme="4"/>
      </colorScale>
    </cfRule>
    <cfRule type="colorScale" priority="193">
      <colorScale>
        <cfvo type="min"/>
        <cfvo type="max"/>
        <color theme="4"/>
        <color theme="4" tint="0.8"/>
      </colorScale>
    </cfRule>
    <cfRule type="colorScale" priority="211">
      <colorScale>
        <cfvo type="min"/>
        <cfvo type="max"/>
        <color theme="4" tint="0.8"/>
        <color theme="4" tint="-0.25"/>
      </colorScale>
    </cfRule>
    <cfRule type="colorScale" priority="229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157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138">
      <colorScale>
        <cfvo type="num" val="1"/>
        <cfvo type="num" val="3"/>
        <color theme="4" tint="0.8"/>
        <color theme="4" tint="-0.25"/>
      </colorScale>
    </cfRule>
    <cfRule type="colorScale" priority="174">
      <colorScale>
        <cfvo type="min"/>
        <cfvo type="max"/>
        <color theme="4" tint="0.8"/>
        <color theme="4"/>
      </colorScale>
    </cfRule>
    <cfRule type="colorScale" priority="192">
      <colorScale>
        <cfvo type="min"/>
        <cfvo type="max"/>
        <color theme="4"/>
        <color theme="4" tint="0.8"/>
      </colorScale>
    </cfRule>
    <cfRule type="colorScale" priority="210">
      <colorScale>
        <cfvo type="min"/>
        <cfvo type="max"/>
        <color theme="4" tint="0.8"/>
        <color theme="4" tint="-0.25"/>
      </colorScale>
    </cfRule>
    <cfRule type="colorScale" priority="228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156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137">
      <colorScale>
        <cfvo type="num" val="1"/>
        <cfvo type="num" val="3"/>
        <color theme="4" tint="0.8"/>
        <color theme="4" tint="-0.25"/>
      </colorScale>
    </cfRule>
    <cfRule type="colorScale" priority="173">
      <colorScale>
        <cfvo type="min"/>
        <cfvo type="max"/>
        <color theme="4" tint="0.8"/>
        <color theme="4"/>
      </colorScale>
    </cfRule>
    <cfRule type="colorScale" priority="191">
      <colorScale>
        <cfvo type="min"/>
        <cfvo type="max"/>
        <color theme="4"/>
        <color theme="4" tint="0.8"/>
      </colorScale>
    </cfRule>
    <cfRule type="colorScale" priority="209">
      <colorScale>
        <cfvo type="min"/>
        <cfvo type="max"/>
        <color theme="4" tint="0.8"/>
        <color theme="4" tint="-0.25"/>
      </colorScale>
    </cfRule>
    <cfRule type="colorScale" priority="227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155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136">
      <colorScale>
        <cfvo type="num" val="1"/>
        <cfvo type="num" val="3"/>
        <color theme="4" tint="0.8"/>
        <color theme="4" tint="-0.25"/>
      </colorScale>
    </cfRule>
    <cfRule type="colorScale" priority="172">
      <colorScale>
        <cfvo type="min"/>
        <cfvo type="max"/>
        <color theme="4" tint="0.8"/>
        <color theme="4"/>
      </colorScale>
    </cfRule>
    <cfRule type="colorScale" priority="190">
      <colorScale>
        <cfvo type="min"/>
        <cfvo type="max"/>
        <color theme="4"/>
        <color theme="4" tint="0.8"/>
      </colorScale>
    </cfRule>
    <cfRule type="colorScale" priority="208">
      <colorScale>
        <cfvo type="min"/>
        <cfvo type="max"/>
        <color theme="4" tint="0.8"/>
        <color theme="4" tint="-0.25"/>
      </colorScale>
    </cfRule>
    <cfRule type="colorScale" priority="226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154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135">
      <colorScale>
        <cfvo type="num" val="1"/>
        <cfvo type="num" val="3"/>
        <color theme="4" tint="0.8"/>
        <color theme="4" tint="-0.25"/>
      </colorScale>
    </cfRule>
    <cfRule type="colorScale" priority="171">
      <colorScale>
        <cfvo type="min"/>
        <cfvo type="max"/>
        <color theme="4" tint="0.8"/>
        <color theme="4"/>
      </colorScale>
    </cfRule>
    <cfRule type="colorScale" priority="189">
      <colorScale>
        <cfvo type="min"/>
        <cfvo type="max"/>
        <color theme="4"/>
        <color theme="4" tint="0.8"/>
      </colorScale>
    </cfRule>
    <cfRule type="colorScale" priority="207">
      <colorScale>
        <cfvo type="min"/>
        <cfvo type="max"/>
        <color theme="4" tint="0.8"/>
        <color theme="4" tint="-0.25"/>
      </colorScale>
    </cfRule>
    <cfRule type="colorScale" priority="225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153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42">
      <colorScale>
        <cfvo type="num" val="1"/>
        <cfvo type="num" val="3"/>
        <color theme="4" tint="0.8"/>
        <color theme="4" tint="-0.25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60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41">
      <colorScale>
        <cfvo type="num" val="1"/>
        <cfvo type="num" val="3"/>
        <color theme="4" tint="0.8"/>
        <color theme="4" tint="-0.25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131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59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40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58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39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129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57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38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37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55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36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54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35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53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34">
      <colorScale>
        <cfvo type="num" val="1"/>
        <cfvo type="num" val="3"/>
        <color theme="4" tint="0.8"/>
        <color theme="4" tint="-0.25"/>
      </colorScale>
    </cfRule>
    <cfRule type="colorScale" priority="70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52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33">
      <colorScale>
        <cfvo type="num" val="1"/>
        <cfvo type="num" val="3"/>
        <color theme="4" tint="0.8"/>
        <color theme="4" tint="-0.25"/>
      </colorScale>
    </cfRule>
    <cfRule type="colorScale" priority="69">
      <colorScale>
        <cfvo type="min"/>
        <cfvo type="max"/>
        <color theme="4" tint="0.8"/>
        <color theme="4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105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51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68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4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50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67">
      <colorScale>
        <cfvo type="min"/>
        <cfvo type="max"/>
        <color theme="4" tint="0.8"/>
        <color theme="4"/>
      </colorScale>
    </cfRule>
    <cfRule type="colorScale" priority="85">
      <colorScale>
        <cfvo type="min"/>
        <cfvo type="max"/>
        <color theme="4"/>
        <color theme="4" tint="0.8"/>
      </colorScale>
    </cfRule>
    <cfRule type="colorScale" priority="103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49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66">
      <colorScale>
        <cfvo type="min"/>
        <cfvo type="max"/>
        <color theme="4" tint="0.8"/>
        <color theme="4"/>
      </colorScale>
    </cfRule>
    <cfRule type="colorScale" priority="84">
      <colorScale>
        <cfvo type="min"/>
        <cfvo type="max"/>
        <color theme="4"/>
        <color theme="4" tint="0.8"/>
      </colorScale>
    </cfRule>
    <cfRule type="colorScale" priority="102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48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65">
      <colorScale>
        <cfvo type="min"/>
        <cfvo type="max"/>
        <color theme="4" tint="0.8"/>
        <color theme="4"/>
      </colorScale>
    </cfRule>
    <cfRule type="colorScale" priority="83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47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64">
      <colorScale>
        <cfvo type="min"/>
        <cfvo type="max"/>
        <color theme="4" tint="0.8"/>
        <color theme="4"/>
      </colorScale>
    </cfRule>
    <cfRule type="colorScale" priority="82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46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63">
      <colorScale>
        <cfvo type="min"/>
        <cfvo type="max"/>
        <color theme="4" tint="0.8"/>
        <color theme="4"/>
      </colorScale>
    </cfRule>
    <cfRule type="colorScale" priority="81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45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6">
      <colorScale>
        <cfvo type="num" val="1"/>
        <cfvo type="num" val="3"/>
        <color theme="4" tint="0.8"/>
        <color theme="4" tint="-0.25"/>
      </colorScale>
    </cfRule>
    <cfRule type="colorScale" priority="62">
      <colorScale>
        <cfvo type="min"/>
        <cfvo type="max"/>
        <color theme="4" tint="0.8"/>
        <color theme="4"/>
      </colorScale>
    </cfRule>
    <cfRule type="colorScale" priority="80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44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5">
      <colorScale>
        <cfvo type="num" val="1"/>
        <cfvo type="num" val="3"/>
        <color theme="4" tint="0.8"/>
        <color theme="4" tint="-0.25"/>
      </colorScale>
    </cfRule>
    <cfRule type="colorScale" priority="61">
      <colorScale>
        <cfvo type="min"/>
        <cfvo type="max"/>
        <color theme="4" tint="0.8"/>
        <color theme="4"/>
      </colorScale>
    </cfRule>
    <cfRule type="colorScale" priority="79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43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97:BN97">
    <cfRule type="colorScale" priority="14">
      <colorScale>
        <cfvo type="min"/>
        <cfvo type="max"/>
        <color rgb="FFFFEF9C"/>
        <color rgb="FF63BE7B"/>
      </colorScale>
    </cfRule>
  </conditionalFormatting>
  <conditionalFormatting sqref="D98:BB9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9:BB99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96">
    <cfRule type="colorScale" priority="271">
      <colorScale>
        <cfvo type="min"/>
        <cfvo type="max"/>
        <color theme="6" tint="0.8"/>
        <color theme="6" tint="-0.25"/>
      </colorScale>
    </cfRule>
  </conditionalFormatting>
  <conditionalFormatting sqref="BD2:BD96">
    <cfRule type="colorScale" priority="270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12">
      <colorScale>
        <cfvo type="min"/>
        <cfvo type="max"/>
        <color rgb="FFFCFCFF"/>
        <color rgb="FFF8696B"/>
      </colorScale>
    </cfRule>
  </conditionalFormatting>
  <conditionalFormatting sqref="BO24:BO96">
    <cfRule type="colorScale" priority="11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398">
      <colorScale>
        <cfvo type="min"/>
        <cfvo type="max"/>
        <color theme="4" tint="0.8"/>
        <color theme="4" tint="-0.25"/>
      </colorScale>
    </cfRule>
    <cfRule type="colorScale" priority="399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366">
      <colorScale>
        <cfvo type="min"/>
        <cfvo type="max"/>
        <color theme="4" tint="0.8"/>
        <color theme="4"/>
      </colorScale>
    </cfRule>
    <cfRule type="colorScale" priority="367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272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243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133">
      <colorScale>
        <cfvo type="min"/>
        <cfvo type="max"/>
        <color theme="4" tint="0.8"/>
        <color theme="4"/>
      </colorScale>
    </cfRule>
    <cfRule type="colorScale" priority="134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4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273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248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A97:BD99 AT96:BD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2026-05-30T12:25:17Z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