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 activeTab="4"/>
  </bookViews>
  <sheets>
    <sheet name="师生" sheetId="5" r:id="rId1"/>
    <sheet name="集体" sheetId="13" r:id="rId2"/>
    <sheet name="事例" sheetId="14" r:id="rId3"/>
    <sheet name="统计" sheetId="15" r:id="rId4"/>
    <sheet name="数学请人" sheetId="16" r:id="rId5"/>
    <sheet name="老师" sheetId="17" r:id="rId6"/>
    <sheet name="职务" sheetId="18" r:id="rId7"/>
    <sheet name="座位" sheetId="19" r:id="rId8"/>
    <sheet name="大事" sheetId="20" r:id="rId9"/>
    <sheet name="外号" sheetId="21" r:id="rId10"/>
    <sheet name="老（旧）" sheetId="22" r:id="rId11"/>
    <sheet name="生（旧）" sheetId="23" r:id="rId12"/>
    <sheet name="作文统计" sheetId="24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<sst xmlns="http://schemas.openxmlformats.org/spreadsheetml/2006/main" count="1078" uniqueCount="682">
  <si>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</si>
  <si>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</si>
  <si>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</si>
  <si>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</si>
  <si>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</si>
  <si>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</si>
  <si>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</si>
  <si>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</si>
  <si>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</si>
  <si>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</si>
  <si>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</si>
  <si>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</si>
  <si>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</si>
  <si>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</si>
  <si>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</si>
  <si>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</si>
  <si>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</si>
  <si>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</si>
  <si>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</si>
  <si>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</si>
  <si>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</si>
  <si>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</si>
  <si>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</si>
  <si>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玥）、在干嘛啊、吃饭（走动、分享）、我真棒</t>
  </si>
  <si>
    <t>林钰颖</t>
  </si>
  <si>
    <t>（老鼠、雏鸡）恶心、八卦（笑）、看小说（男同）</t>
  </si>
  <si>
    <t>倪浩宇</t>
  </si>
  <si>
    <t>叶弘毅</t>
  </si>
  <si>
    <t>相同单词造句</t>
  </si>
  <si>
    <t>张雨希</t>
  </si>
  <si>
    <t>郑诗语</t>
  </si>
  <si>
    <t>郑永泽</t>
  </si>
  <si>
    <t>阮贞铭（眼光）、炸蛋脚（打人招数）、美国有乔丹中国有永泽</t>
  </si>
  <si>
    <t>郑致辰</t>
  </si>
  <si>
    <t>牛奶拌饭</t>
  </si>
  <si>
    <t>陈婕</t>
  </si>
  <si>
    <t>江允儿</t>
  </si>
  <si>
    <t>柠檬水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</si>
  <si>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</si>
  <si>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</si>
  <si>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</si>
  <si>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</si>
  <si>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</si>
  <si>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</si>
  <si>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</si>
  <si>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</si>
  <si>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</si>
  <si>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</si>
  <si>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</si>
  <si>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</si>
  <si>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</si>
  <si>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张桢烨</t>
  </si>
  <si>
    <t>朱奕辰</t>
  </si>
  <si>
    <t>左撇子、郑炜“义父”、辞职劳委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</si>
  <si>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</si>
  <si>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</si>
  <si>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</si>
  <si>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</si>
  <si>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</si>
  <si>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</si>
  <si>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</si>
  <si>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</si>
  <si>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</si>
  <si>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</si>
  <si>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</si>
  <si>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</si>
  <si>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</si>
  <si>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麦当劳、教辅、抄答案</t>
  </si>
  <si>
    <t>林承钰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</si>
  <si>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</si>
  <si>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</si>
  <si>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</si>
  <si>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</si>
  <si>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</si>
  <si>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</si>
  <si>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</si>
  <si>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</si>
  <si>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</si>
  <si>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</si>
  <si>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</si>
  <si>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</si>
  <si>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</si>
  <si>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</si>
  <si>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</si>
  <si>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</si>
  <si>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</si>
  <si>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</si>
  <si>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蔡华楷</t>
  </si>
  <si>
    <t>口水</t>
  </si>
  <si>
    <t>讨饭</t>
  </si>
  <si>
    <t>不靠谱、晴蔡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</si>
  <si>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</si>
  <si>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</si>
  <si>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</si>
  <si>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下课和语文老师聊天（自己的事）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</si>
  <si>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</si>
  <si>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</t>
  </si>
  <si>
    <t>初二寒假三条美女朋友圈配文：
臭小狗
我也想要
早安</t>
  </si>
  <si>
    <t>游武毅</t>
  </si>
  <si>
    <t>崔宇臣</t>
  </si>
  <si>
    <t>起立时小动作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</si>
  <si>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</si>
  <si>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</si>
  <si>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</si>
  <si>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</si>
  <si>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</si>
  <si>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</si>
  <si>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钱尚恩</t>
  </si>
  <si>
    <t>唐家祺</t>
  </si>
  <si>
    <t>哼歌、白色裤子</t>
  </si>
  <si>
    <t>刘天馨</t>
  </si>
  <si>
    <t>陆梓豪（作业/午餐/值日）</t>
  </si>
  <si>
    <t>嫂子</t>
  </si>
  <si>
    <t>黄桂芳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</si>
  <si>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</si>
  <si>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</si>
  <si>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</si>
  <si>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</si>
  <si>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</si>
  <si>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</si>
  <si>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</si>
  <si>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</si>
  <si>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</si>
  <si>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</si>
  <si>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</si>
  <si>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</si>
  <si>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</si>
  <si>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</si>
  <si>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</si>
  <si>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</si>
  <si>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</si>
  <si>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</si>
  <si>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</si>
  <si>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</si>
  <si>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</si>
  <si>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</si>
  <si>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</si>
  <si>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</si>
  <si>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</si>
  <si>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</si>
  <si>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</si>
  <si>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啧+手势，对不对、重音、预习复习、透明水杯，拿学生水杯、嘛、欸欸欸、复读机、××什么？×——×。、理论性比较强</t>
  </si>
  <si>
    <t>史1</t>
  </si>
  <si>
    <t>在课文当中画一下</t>
  </si>
  <si>
    <t>史2</t>
  </si>
  <si>
    <t>历史屌丝（论述题“中国只有变得更NB”、“中国要完蛋了”）我爱历史、科代表放视频、小测翻书</t>
  </si>
  <si>
    <t>屌丝集团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</si>
  <si>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</si>
  <si>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</si>
  <si>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</si>
  <si>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</si>
  <si>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</si>
  <si>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</si>
  <si>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</si>
  <si>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</si>
  <si>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</si>
  <si>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</si>
  <si>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</si>
  <si>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读“m”“l”“等于”、写“解”、M来了、给课代表买奶茶、自印卷子、提前进班、写其他课作业、物理课本拿出来、上句话是什么、作业课上完成、电话铃“lemon tree”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</si>
  <si>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</si>
  <si>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</si>
  <si>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</si>
  <si>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</si>
  <si>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</si>
  <si>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</si>
  <si>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</si>
  <si>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</si>
  <si>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</si>
  <si>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</si>
  <si>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</si>
  <si>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</si>
  <si>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</si>
  <si>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</si>
  <si>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</si>
  <si>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</si>
  <si>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</si>
  <si>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</si>
  <si>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</si>
  <si>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</si>
  <si>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</si>
  <si>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</si>
  <si>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</si>
  <si>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</si>
  <si>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</si>
  <si>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</si>
  <si>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</si>
  <si>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</si>
  <si>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</si>
  <si>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</si>
  <si>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</si>
  <si>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</si>
  <si>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</si>
  <si>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</si>
  <si>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</si>
  <si>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</si>
  <si>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</si>
  <si>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</si>
  <si>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</si>
  <si>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</si>
  <si>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</si>
  <si>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××住在澎湖湾，天天喝稀饭。
没有筷子没有碗，只有一个破烂摊。</t>
  </si>
  <si>
    <t>拗九节送粥（张桢烨）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</si>
  <si>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</si>
  <si>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</si>
  <si>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</si>
  <si>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</si>
  <si>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</si>
  <si>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</si>
  <si>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</si>
  <si>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</si>
  <si>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</si>
  <si>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</si>
  <si>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</si>
  <si>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</si>
  <si>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</si>
  <si>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</si>
  <si>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</si>
  <si>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</si>
  <si>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</si>
  <si>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</si>
  <si>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</si>
  <si>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</si>
  <si>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</si>
  <si>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</si>
  <si>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八上3.5</t>
  </si>
  <si>
    <t>（洪鑫洋睡觉）物理：洪鑫洋来站起来。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</si>
  <si>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</si>
  <si>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</si>
  <si>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</si>
  <si>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</si>
  <si>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</si>
  <si>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</si>
  <si>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</si>
  <si>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</si>
  <si>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</si>
  <si>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</si>
  <si>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</si>
  <si>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</si>
  <si>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</si>
  <si>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</si>
  <si>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</si>
  <si>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</si>
  <si>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</si>
  <si>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</si>
  <si>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八下3.17</t>
  </si>
  <si>
    <t>吃香芋派</t>
  </si>
  <si>
    <t>八下3.20</t>
  </si>
  <si>
    <t>英语小测抄（抽屉里摆材料，桌上笔记本第一张就是笔记，可以透过封面看到，被刘老师提醒）</t>
  </si>
  <si>
    <t>八下3.18</t>
  </si>
  <si>
    <t>拿着别班作业单子，问“你认不认识××”</t>
  </si>
  <si>
    <t>哼唱《花海》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</si>
  <si>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</si>
  <si>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</si>
  <si>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</si>
  <si>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</si>
  <si>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</si>
  <si>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</si>
  <si>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</si>
  <si>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</si>
  <si>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</si>
  <si>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</si>
  <si>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</si>
  <si>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</si>
  <si>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</si>
  <si>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</si>
  <si>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</si>
  <si>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</si>
  <si>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</si>
  <si>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</si>
  <si>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40中中午放《富士山下》，林奕扬：卧槽我天天睡觉听这个</t>
  </si>
  <si>
    <t>中午打扫包干区时：今晚要去仓实小。4班有人说要砍他，今晚不见不散。今天他哥哥接他，他哥哥有纹身，今晚要让他跪下。//抖音被盗，把手机卡掰了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</si>
  <si>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</si>
  <si>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</si>
  <si>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</si>
  <si>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</si>
  <si>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八下3.5</t>
  </si>
  <si>
    <t>好高中无人管——一三附无第四节/第四节无老师看管——有人退步，一本考不上（6%）——原因：初中逼着念——自觉——刘老师逼着（优缺点）</t>
  </si>
  <si>
    <t>八上10.31</t>
  </si>
  <si>
    <t>语文好段抄生物书“生态系统”章节导言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</si>
  <si>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</si>
  <si>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</si>
  <si>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</si>
  <si>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</si>
  <si>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</si>
  <si>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</si>
  <si>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</si>
  <si>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可爱的江雨晴，别生气了。还我可爱的江雨晴。//抽背时盯着江雨晴</t>
  </si>
  <si>
    <t>刘老师麦串台</t>
  </si>
  <si>
    <t>八上1.20</t>
  </si>
  <si>
    <t>听到“然后，晚自习”</t>
  </si>
  <si>
    <t>政治老师：你坐好嘛，女孩子……注意自己的形象。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</si>
  <si>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</si>
  <si>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</si>
  <si>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</si>
  <si>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</si>
  <si>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</si>
  <si>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</si>
  <si>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</si>
  <si>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</si>
  <si>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电脑计时纪录</t>
  </si>
  <si>
    <t>计时6:59:60，8点英语课开始，15点生物课结束</t>
  </si>
  <si>
    <t>过小测</t>
  </si>
  <si>
    <t>（物理午托）卓：卧槽有丧尸！（多人蹲在后排准备冲刺）；蒲林豪打开门；廖成羲：“上厕所”师：“憋着”</t>
  </si>
  <si>
    <t>刘老师占课</t>
  </si>
  <si>
    <t>音乐课长期变为做生物任务。当天无任务，改抄英语笔记，大课间时告知回班抄笔记，音乐课改背书（地理）</t>
  </si>
  <si>
    <t>刘老师“以小见大”</t>
  </si>
  <si>
    <t>八下3.13</t>
  </si>
  <si>
    <t>课件：“Emm,then you will have to take some ()”任务：listen and repeat。
听完本句录音，学生大声朗读“emm”，空格处说不出来。刘老师：注意力不在重点、刚才崔宇臣/林芷琪笑、不止“emm”，其他也一样、态度
重来，学生顺利读出“foreign cash”。刘老师：都能说出来
接下来顺利读完。刘老师：集中注意力就不会拖拉停顿、命令执行效率（circle/underline/repeat）、80%学生认识circle（认识的举手），但执行时（第一遍：10个左右成绩好学生完成；第二遍：要去催的人完成；第三遍：提醒蔡华楷、薛阅晨、崔宇臣等人，王淮等人可进行下一步骤）、刚才段长公开课无拖拉，说明是能专心的、课程紧迫，但这样导致无法完成课时、吸收效率（有人90%吸收，有人10%但晚上努力背诵，却无效果）、笔记本不要合上/笔拿手上：频繁拿笔效率低，细节问题不容忽视、注意力集中的方法（take notes/answer the questions aloud）</t>
  </si>
  <si>
    <t>郑致辰！冷静一下！</t>
  </si>
  <si>
    <t>政治课</t>
  </si>
  <si>
    <t>刘老师巡课</t>
  </si>
  <si>
    <t>啧</t>
  </si>
  <si>
    <t>敲</t>
  </si>
  <si>
    <t>巡课</t>
  </si>
  <si>
    <t>2026.1.8</t>
  </si>
  <si>
    <t>下午第三节物理</t>
  </si>
  <si>
    <t>2026.1.13</t>
  </si>
  <si>
    <t>下午第一节数学</t>
  </si>
  <si>
    <t>2026.1.16</t>
  </si>
  <si>
    <t>上午第一节数学</t>
  </si>
  <si>
    <t>2026.1.23</t>
  </si>
  <si>
    <t>上午第三节政治（课前）</t>
  </si>
  <si>
    <t>下午第一节语文</t>
  </si>
  <si>
    <t>2026.3.13</t>
  </si>
  <si>
    <t>下午第二节语文</t>
  </si>
  <si>
    <t>2026.3.18</t>
  </si>
  <si>
    <t>上午第三节政治</t>
  </si>
  <si>
    <t>2026.3.19</t>
  </si>
  <si>
    <t>下午第二节地理</t>
  </si>
  <si>
    <t>2026.3.20</t>
  </si>
  <si>
    <t>上午第四节政治</t>
  </si>
  <si>
    <t>座号</t>
  </si>
  <si>
    <t>25 12</t>
  </si>
  <si>
    <t>26 01</t>
  </si>
  <si>
    <t>26 02</t>
  </si>
  <si>
    <t>26 03</t>
  </si>
  <si>
    <t>统计数据</t>
  </si>
  <si>
    <t>被请
次数</t>
  </si>
  <si>
    <t>被请
节数</t>
  </si>
  <si>
    <t>最高
连击</t>
  </si>
  <si>
    <t>被请
概率</t>
  </si>
  <si>
    <t>次数
排名</t>
  </si>
  <si>
    <t>节数
排名</t>
  </si>
  <si>
    <t>连击
排名</t>
  </si>
  <si>
    <t>请人
个数</t>
  </si>
  <si>
    <r>
      <t>数学课请人记录</t>
    </r>
    <r>
      <rPr>
        <sz val="11"/>
        <rFont val="黑体"/>
        <charset val="134"/>
      </rPr>
      <t xml:space="preserve">
起立回答问题、主动起立回答问题、上台写题目均为有效数据。</t>
    </r>
  </si>
  <si>
    <t>请人
次数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</si>
  <si>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</si>
  <si>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</si>
  <si>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</si>
  <si>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</si>
  <si>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</si>
  <si>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</si>
  <si>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</si>
  <si>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</si>
  <si>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历史</t>
  </si>
  <si>
    <t>冯越</t>
  </si>
  <si>
    <t>地理</t>
  </si>
  <si>
    <t>张则斌</t>
  </si>
  <si>
    <t>生物</t>
  </si>
  <si>
    <t>毛俊文</t>
  </si>
  <si>
    <t>体育</t>
  </si>
  <si>
    <t>张榕杰</t>
  </si>
  <si>
    <t>劳技</t>
  </si>
  <si>
    <t>翁锦梅</t>
  </si>
  <si>
    <t>——</t>
  </si>
  <si>
    <t>音乐</t>
  </si>
  <si>
    <t>美术</t>
  </si>
  <si>
    <t>物理</t>
  </si>
  <si>
    <t>陈淑霞</t>
  </si>
  <si>
    <t>化学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</si>
  <si>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</si>
  <si>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</si>
  <si>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</si>
  <si>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</si>
  <si>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</si>
  <si>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</si>
  <si>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</si>
  <si>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</si>
  <si>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</si>
  <si>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</si>
  <si>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</si>
  <si>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</si>
  <si>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</si>
  <si>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</si>
  <si>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</si>
  <si>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</si>
  <si>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</si>
  <si>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</si>
  <si>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</si>
  <si>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</si>
  <si>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</si>
  <si>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</si>
  <si>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</si>
  <si>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</si>
  <si>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</si>
  <si>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第四轮</t>
  </si>
  <si>
    <t>第五轮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</si>
  <si>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</si>
  <si>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</si>
  <si>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</si>
  <si>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</si>
  <si>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</si>
  <si>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</si>
  <si>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</si>
  <si>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</si>
  <si>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</si>
  <si>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</si>
  <si>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</si>
  <si>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</si>
  <si>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</si>
  <si>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</si>
  <si>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</si>
  <si>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</si>
  <si>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</si>
  <si>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</si>
  <si>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</si>
  <si>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</si>
  <si>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</si>
  <si>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</si>
  <si>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</si>
  <si>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</si>
  <si>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</si>
  <si>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</si>
  <si>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</si>
  <si>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</si>
  <si>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</si>
  <si>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</si>
  <si>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</si>
  <si>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</si>
  <si>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</si>
  <si>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</si>
  <si>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</si>
  <si>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</si>
  <si>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</si>
  <si>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</si>
  <si>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</si>
  <si>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</si>
  <si>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</si>
  <si>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</si>
  <si>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</si>
  <si>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</si>
  <si>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</si>
  <si>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</si>
  <si>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</si>
  <si>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</si>
  <si>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</si>
  <si>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</si>
  <si>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</si>
  <si>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</si>
  <si>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</si>
  <si>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</si>
  <si>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</si>
  <si>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</si>
  <si>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</si>
  <si>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</si>
  <si>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</si>
  <si>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</si>
  <si>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</si>
  <si>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</si>
  <si>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</si>
  <si>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</si>
  <si>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</si>
  <si>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</si>
  <si>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</si>
  <si>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</si>
  <si>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</si>
  <si>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</si>
  <si>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</si>
  <si>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</si>
  <si>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</si>
  <si>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</si>
  <si>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</si>
  <si>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</si>
  <si>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</si>
  <si>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</si>
  <si>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</si>
  <si>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</si>
  <si>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</si>
  <si>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</si>
  <si>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</si>
  <si>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</si>
  <si>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</si>
  <si>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</si>
  <si>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</si>
  <si>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</si>
  <si>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</si>
  <si>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</si>
  <si>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</si>
  <si>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</si>
  <si>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</si>
  <si>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</si>
  <si>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</si>
  <si>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</si>
  <si>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</si>
  <si>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</si>
  <si>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</si>
  <si>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生日</t>
  </si>
  <si>
    <t>外号</t>
  </si>
  <si>
    <t>少林寺大师兄、金池长老、道长、王维</t>
  </si>
  <si>
    <t>抽象姐、水仙、海鲜、马猴、monkey brother</t>
  </si>
  <si>
    <t>郭沁涛、国庆节、狗狗</t>
  </si>
  <si>
    <t>喵喵姐</t>
  </si>
  <si>
    <t>木木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</si>
  <si>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</si>
  <si>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</si>
  <si>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</si>
  <si>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</si>
  <si>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</si>
  <si>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</t>
  </si>
  <si>
    <t>玻璃王</t>
  </si>
  <si>
    <t>阿廖</t>
  </si>
  <si>
    <t>骚包</t>
  </si>
  <si>
    <t>阿三哥（印度阿三）</t>
  </si>
  <si>
    <t>映辰大帝、大月亮</t>
  </si>
  <si>
    <t>自豪哥</t>
  </si>
  <si>
    <t>三秒男、疾跑哥布林、郑鸡</t>
  </si>
  <si>
    <t>小郑炜、站军姿、吕布</t>
  </si>
  <si>
    <t>恩鸭</t>
  </si>
  <si>
    <t>死装姐</t>
  </si>
  <si>
    <t>巧克力、奶奶</t>
  </si>
  <si>
    <t>人机公主</t>
  </si>
  <si>
    <t>那艺娜、欣甜大帝</t>
  </si>
  <si>
    <t>女明星、女苔藓、陈小强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</si>
  <si>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</si>
  <si>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</si>
  <si>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班级处分</t>
  </si>
  <si>
    <t>四一男、喵喵男、老大、薛宝钗</t>
  </si>
  <si>
    <t>口水男、菜花、葵花楷、黄瓜哥、柠檬哥</t>
  </si>
  <si>
    <t>巨乳、信仰、机长、现在（未来）之星、三江口（源）、孺子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</si>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</sst>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0.00_ "/>
  </numFmts>
  <fonts count="56">
    <font>
      <sz val="11"/>
      <name val="宋体"/>
      <charset val="134"/>
    </font>
    <font>
      <sz val="11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1"/>
      <name val="黑体"/>
      <charset val="134"/>
    </font>
    <font>
      <sz val="11"/>
      <name val="Consolas"/>
      <charset val="134"/>
    </font>
    <font>
      <b/>
      <sz val="14"/>
      <name val="黑体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1"/>
      <name val="黑体"/>
      <charset val="134"/>
      <scheme val="minor"/>
    </font>
    <font>
      <strike/>
      <sz val="11"/>
      <name val="黑体"/>
      <charset val="134"/>
    </font>
    <font>
      <sz val="11"/>
      <name val="黑体"/>
      <charset val="134"/>
      <scheme val="major"/>
    </font>
    <font>
      <sz val="11"/>
      <name val="华文仿宋"/>
      <charset val="134"/>
    </font>
    <font>
      <sz val="10"/>
      <name val="Times New Roman"/>
      <charset val="134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0" fillId="0" borderId="0" applyFont="0" applyFill="0" applyBorder="0" applyAlignment="0" applyProtection="0">
      <alignment vertical="center"/>
    </xf>
    <xf numFmtId="44" fontId="30" fillId="0" borderId="0" applyFont="0" applyFill="0" applyBorder="0" applyAlignment="0" applyProtection="0">
      <alignment vertical="center"/>
    </xf>
    <xf numFmtId="9" fontId="30" fillId="0" borderId="0" applyFont="0" applyFill="0" applyBorder="0" applyAlignment="0" applyProtection="0">
      <alignment vertical="center"/>
    </xf>
    <xf numFmtId="41" fontId="30" fillId="0" borderId="0" applyFont="0" applyFill="0" applyBorder="0" applyAlignment="0" applyProtection="0">
      <alignment vertical="center"/>
    </xf>
    <xf numFmtId="42" fontId="30" fillId="0" borderId="0" applyFon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0" fillId="26" borderId="17" applyNumberFormat="0" applyFont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18" applyNumberFormat="0" applyFill="0" applyAlignment="0" applyProtection="0">
      <alignment vertical="center"/>
    </xf>
    <xf numFmtId="0" fontId="37" fillId="0" borderId="18" applyNumberFormat="0" applyFill="0" applyAlignment="0" applyProtection="0">
      <alignment vertical="center"/>
    </xf>
    <xf numFmtId="0" fontId="38" fillId="0" borderId="19" applyNumberFormat="0" applyFill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27" borderId="20" applyNumberFormat="0" applyAlignment="0" applyProtection="0">
      <alignment vertical="center"/>
    </xf>
    <xf numFmtId="0" fontId="40" fillId="28" borderId="21" applyNumberFormat="0" applyAlignment="0" applyProtection="0">
      <alignment vertical="center"/>
    </xf>
    <xf numFmtId="0" fontId="41" fillId="28" borderId="20" applyNumberFormat="0" applyAlignment="0" applyProtection="0">
      <alignment vertical="center"/>
    </xf>
    <xf numFmtId="0" fontId="42" fillId="29" borderId="22" applyNumberFormat="0" applyAlignment="0" applyProtection="0">
      <alignment vertical="center"/>
    </xf>
    <xf numFmtId="0" fontId="43" fillId="0" borderId="23" applyNumberFormat="0" applyFill="0" applyAlignment="0" applyProtection="0">
      <alignment vertical="center"/>
    </xf>
    <xf numFmtId="0" fontId="44" fillId="0" borderId="24" applyNumberFormat="0" applyFill="0" applyAlignment="0" applyProtection="0">
      <alignment vertical="center"/>
    </xf>
    <xf numFmtId="0" fontId="45" fillId="30" borderId="0" applyNumberFormat="0" applyBorder="0" applyAlignment="0" applyProtection="0">
      <alignment vertical="center"/>
    </xf>
    <xf numFmtId="0" fontId="46" fillId="31" borderId="0" applyNumberFormat="0" applyBorder="0" applyAlignment="0" applyProtection="0">
      <alignment vertical="center"/>
    </xf>
    <xf numFmtId="0" fontId="47" fillId="32" borderId="0" applyNumberFormat="0" applyBorder="0" applyAlignment="0" applyProtection="0">
      <alignment vertical="center"/>
    </xf>
    <xf numFmtId="0" fontId="48" fillId="33" borderId="0" applyNumberFormat="0" applyBorder="0" applyAlignment="0" applyProtection="0">
      <alignment vertical="center"/>
    </xf>
    <xf numFmtId="0" fontId="49" fillId="34" borderId="0" applyNumberFormat="0" applyBorder="0" applyAlignment="0" applyProtection="0">
      <alignment vertical="center"/>
    </xf>
    <xf numFmtId="0" fontId="49" fillId="35" borderId="0" applyNumberFormat="0" applyBorder="0" applyAlignment="0" applyProtection="0">
      <alignment vertical="center"/>
    </xf>
    <xf numFmtId="0" fontId="48" fillId="36" borderId="0" applyNumberFormat="0" applyBorder="0" applyAlignment="0" applyProtection="0">
      <alignment vertical="center"/>
    </xf>
    <xf numFmtId="0" fontId="48" fillId="37" borderId="0" applyNumberFormat="0" applyBorder="0" applyAlignment="0" applyProtection="0">
      <alignment vertical="center"/>
    </xf>
    <xf numFmtId="0" fontId="49" fillId="38" borderId="0" applyNumberFormat="0" applyBorder="0" applyAlignment="0" applyProtection="0">
      <alignment vertical="center"/>
    </xf>
    <xf numFmtId="0" fontId="49" fillId="39" borderId="0" applyNumberFormat="0" applyBorder="0" applyAlignment="0" applyProtection="0">
      <alignment vertical="center"/>
    </xf>
    <xf numFmtId="0" fontId="48" fillId="40" borderId="0" applyNumberFormat="0" applyBorder="0" applyAlignment="0" applyProtection="0">
      <alignment vertical="center"/>
    </xf>
    <xf numFmtId="0" fontId="48" fillId="41" borderId="0" applyNumberFormat="0" applyBorder="0" applyAlignment="0" applyProtection="0">
      <alignment vertical="center"/>
    </xf>
    <xf numFmtId="0" fontId="49" fillId="42" borderId="0" applyNumberFormat="0" applyBorder="0" applyAlignment="0" applyProtection="0">
      <alignment vertical="center"/>
    </xf>
    <xf numFmtId="0" fontId="49" fillId="43" borderId="0" applyNumberFormat="0" applyBorder="0" applyAlignment="0" applyProtection="0">
      <alignment vertical="center"/>
    </xf>
    <xf numFmtId="0" fontId="48" fillId="44" borderId="0" applyNumberFormat="0" applyBorder="0" applyAlignment="0" applyProtection="0">
      <alignment vertical="center"/>
    </xf>
    <xf numFmtId="0" fontId="48" fillId="45" borderId="0" applyNumberFormat="0" applyBorder="0" applyAlignment="0" applyProtection="0">
      <alignment vertical="center"/>
    </xf>
    <xf numFmtId="0" fontId="49" fillId="46" borderId="0" applyNumberFormat="0" applyBorder="0" applyAlignment="0" applyProtection="0">
      <alignment vertical="center"/>
    </xf>
    <xf numFmtId="0" fontId="49" fillId="47" borderId="0" applyNumberFormat="0" applyBorder="0" applyAlignment="0" applyProtection="0">
      <alignment vertical="center"/>
    </xf>
    <xf numFmtId="0" fontId="48" fillId="48" borderId="0" applyNumberFormat="0" applyBorder="0" applyAlignment="0" applyProtection="0">
      <alignment vertical="center"/>
    </xf>
    <xf numFmtId="0" fontId="48" fillId="49" borderId="0" applyNumberFormat="0" applyBorder="0" applyAlignment="0" applyProtection="0">
      <alignment vertical="center"/>
    </xf>
    <xf numFmtId="0" fontId="49" fillId="50" borderId="0" applyNumberFormat="0" applyBorder="0" applyAlignment="0" applyProtection="0">
      <alignment vertical="center"/>
    </xf>
    <xf numFmtId="0" fontId="49" fillId="51" borderId="0" applyNumberFormat="0" applyBorder="0" applyAlignment="0" applyProtection="0">
      <alignment vertical="center"/>
    </xf>
    <xf numFmtId="0" fontId="48" fillId="52" borderId="0" applyNumberFormat="0" applyBorder="0" applyAlignment="0" applyProtection="0">
      <alignment vertical="center"/>
    </xf>
    <xf numFmtId="0" fontId="48" fillId="53" borderId="0" applyNumberFormat="0" applyBorder="0" applyAlignment="0" applyProtection="0">
      <alignment vertical="center"/>
    </xf>
    <xf numFmtId="0" fontId="49" fillId="54" borderId="0" applyNumberFormat="0" applyBorder="0" applyAlignment="0" applyProtection="0">
      <alignment vertical="center"/>
    </xf>
    <xf numFmtId="0" fontId="49" fillId="55" borderId="0" applyNumberFormat="0" applyBorder="0" applyAlignment="0" applyProtection="0">
      <alignment vertical="center"/>
    </xf>
    <xf numFmtId="0" fontId="48" fillId="56" borderId="0" applyNumberFormat="0" applyBorder="0" applyAlignment="0" applyProtection="0">
      <alignment vertical="center"/>
    </xf>
    <xf numFmtId="0" fontId="50" fillId="0" borderId="0">
      <alignment vertical="center"/>
    </xf>
  </cellStyleXfs>
  <cellXfs count="242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vertical="center" wrapText="1"/>
    </xf>
    <xf numFmtId="0" fontId="1" fillId="8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1" fillId="10" borderId="1" xfId="0" applyFont="1" applyFill="1" applyBorder="1" applyAlignment="1">
      <alignment vertical="center" wrapText="1"/>
    </xf>
    <xf numFmtId="0" fontId="1" fillId="11" borderId="1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6" fillId="14" borderId="1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5" fillId="9" borderId="5" xfId="0" applyFont="1" applyFill="1" applyBorder="1" applyAlignment="1">
      <alignment horizontal="center" vertical="center" wrapText="1"/>
    </xf>
    <xf numFmtId="0" fontId="6" fillId="7" borderId="5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6" fillId="7" borderId="6" xfId="0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7" fillId="15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vertical="center" wrapText="1"/>
    </xf>
    <xf numFmtId="0" fontId="5" fillId="9" borderId="6" xfId="0" applyFont="1" applyFill="1" applyBorder="1" applyAlignment="1">
      <alignment horizontal="center" vertical="center" wrapText="1"/>
    </xf>
    <xf numFmtId="0" fontId="6" fillId="14" borderId="6" xfId="0" applyFont="1" applyFill="1" applyBorder="1" applyAlignment="1">
      <alignment horizontal="center" vertical="center" wrapText="1"/>
    </xf>
    <xf numFmtId="0" fontId="6" fillId="14" borderId="2" xfId="0" applyFont="1" applyFill="1" applyBorder="1" applyAlignment="1">
      <alignment horizontal="center" vertical="center" wrapText="1"/>
    </xf>
    <xf numFmtId="0" fontId="6" fillId="14" borderId="7" xfId="0" applyFont="1" applyFill="1" applyBorder="1" applyAlignment="1">
      <alignment horizontal="center" vertical="center" wrapText="1"/>
    </xf>
    <xf numFmtId="0" fontId="6" fillId="14" borderId="3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7" borderId="7" xfId="0" applyFont="1" applyFill="1" applyBorder="1" applyAlignment="1">
      <alignment horizontal="center" vertical="center" wrapText="1"/>
    </xf>
    <xf numFmtId="0" fontId="6" fillId="7" borderId="3" xfId="0" applyFont="1" applyFill="1" applyBorder="1" applyAlignment="1">
      <alignment horizontal="center" vertical="center" wrapText="1"/>
    </xf>
    <xf numFmtId="0" fontId="7" fillId="15" borderId="8" xfId="0" applyFont="1" applyFill="1" applyBorder="1" applyAlignment="1">
      <alignment horizontal="center" vertical="center" wrapText="1"/>
    </xf>
    <xf numFmtId="0" fontId="7" fillId="15" borderId="9" xfId="0" applyFont="1" applyFill="1" applyBorder="1" applyAlignment="1">
      <alignment horizontal="center" vertical="center" wrapText="1"/>
    </xf>
    <xf numFmtId="0" fontId="0" fillId="8" borderId="1" xfId="0" applyFont="1" applyFill="1" applyBorder="1">
      <alignment vertical="center"/>
    </xf>
    <xf numFmtId="0" fontId="0" fillId="9" borderId="1" xfId="0" applyFont="1" applyFill="1" applyBorder="1">
      <alignment vertical="center"/>
    </xf>
    <xf numFmtId="0" fontId="0" fillId="6" borderId="1" xfId="0" applyFont="1" applyFill="1" applyBorder="1">
      <alignment vertical="center"/>
    </xf>
    <xf numFmtId="0" fontId="2" fillId="5" borderId="1" xfId="0" applyFont="1" applyFill="1" applyBorder="1">
      <alignment vertical="center"/>
    </xf>
    <xf numFmtId="0" fontId="2" fillId="17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2" fillId="18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>
      <alignment vertical="center"/>
    </xf>
    <xf numFmtId="0" fontId="2" fillId="5" borderId="1" xfId="0" applyFont="1" applyFill="1" applyBorder="1" applyAlignment="1">
      <alignment vertical="center" wrapText="1"/>
    </xf>
    <xf numFmtId="0" fontId="9" fillId="0" borderId="3" xfId="0" applyFont="1" applyBorder="1">
      <alignment vertical="center"/>
    </xf>
    <xf numFmtId="0" fontId="10" fillId="5" borderId="10" xfId="0" applyFont="1" applyFill="1" applyBorder="1" applyAlignment="1">
      <alignment horizontal="center" vertical="center"/>
    </xf>
    <xf numFmtId="0" fontId="11" fillId="8" borderId="11" xfId="0" applyFont="1" applyFill="1" applyBorder="1" applyAlignment="1">
      <alignment horizontal="center" vertical="center"/>
    </xf>
    <xf numFmtId="0" fontId="12" fillId="10" borderId="3" xfId="0" applyFont="1" applyFill="1" applyBorder="1" applyAlignment="1">
      <alignment horizontal="center" vertical="center"/>
    </xf>
    <xf numFmtId="0" fontId="10" fillId="11" borderId="10" xfId="0" applyFont="1" applyFill="1" applyBorder="1" applyAlignment="1">
      <alignment horizontal="center" vertical="center"/>
    </xf>
    <xf numFmtId="0" fontId="11" fillId="17" borderId="11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12" fillId="10" borderId="12" xfId="0" applyFont="1" applyFill="1" applyBorder="1" applyAlignment="1">
      <alignment horizontal="center" vertical="center"/>
    </xf>
    <xf numFmtId="0" fontId="12" fillId="10" borderId="13" xfId="0" applyFont="1" applyFill="1" applyBorder="1" applyAlignment="1">
      <alignment horizontal="center" vertical="center"/>
    </xf>
    <xf numFmtId="0" fontId="12" fillId="4" borderId="9" xfId="0" applyFont="1" applyFill="1" applyBorder="1" applyAlignment="1">
      <alignment horizontal="center" vertical="center"/>
    </xf>
    <xf numFmtId="0" fontId="12" fillId="4" borderId="12" xfId="0" applyFont="1" applyFill="1" applyBorder="1" applyAlignment="1">
      <alignment horizontal="center" vertical="center"/>
    </xf>
    <xf numFmtId="0" fontId="12" fillId="4" borderId="13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>
      <alignment vertical="center"/>
    </xf>
    <xf numFmtId="0" fontId="7" fillId="3" borderId="2" xfId="0" applyFont="1" applyFill="1" applyBorder="1" applyAlignment="1">
      <alignment horizontal="left" vertical="center"/>
    </xf>
    <xf numFmtId="0" fontId="7" fillId="3" borderId="7" xfId="0" applyFont="1" applyFill="1" applyBorder="1" applyAlignment="1">
      <alignment horizontal="left" vertical="center"/>
    </xf>
    <xf numFmtId="0" fontId="1" fillId="18" borderId="1" xfId="0" applyFont="1" applyFill="1" applyBorder="1" applyAlignment="1">
      <alignment vertical="center"/>
    </xf>
    <xf numFmtId="0" fontId="1" fillId="18" borderId="2" xfId="0" applyFont="1" applyFill="1" applyBorder="1" applyAlignment="1">
      <alignment horizontal="center" vertical="center"/>
    </xf>
    <xf numFmtId="0" fontId="1" fillId="18" borderId="3" xfId="0" applyFont="1" applyFill="1" applyBorder="1" applyAlignment="1">
      <alignment vertical="center"/>
    </xf>
    <xf numFmtId="0" fontId="1" fillId="18" borderId="3" xfId="0" applyFont="1" applyFill="1" applyBorder="1" applyAlignment="1">
      <alignment horizontal="center" vertical="center"/>
    </xf>
    <xf numFmtId="0" fontId="1" fillId="18" borderId="4" xfId="0" applyFont="1" applyFill="1" applyBorder="1" applyAlignment="1">
      <alignment horizontal="center" vertical="center"/>
    </xf>
    <xf numFmtId="0" fontId="13" fillId="19" borderId="1" xfId="0" applyFont="1" applyFill="1" applyBorder="1">
      <alignment vertical="center"/>
    </xf>
    <xf numFmtId="0" fontId="13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5" fillId="21" borderId="1" xfId="0" applyFont="1" applyFill="1" applyBorder="1" applyAlignment="1">
      <alignment horizontal="center" vertical="center" wrapText="1"/>
    </xf>
    <xf numFmtId="0" fontId="16" fillId="22" borderId="1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/>
    </xf>
    <xf numFmtId="0" fontId="1" fillId="18" borderId="6" xfId="0" applyFont="1" applyFill="1" applyBorder="1" applyAlignment="1">
      <alignment horizontal="center" vertical="center"/>
    </xf>
    <xf numFmtId="0" fontId="17" fillId="23" borderId="2" xfId="0" applyFont="1" applyFill="1" applyBorder="1" applyAlignment="1">
      <alignment horizontal="center" vertical="center"/>
    </xf>
    <xf numFmtId="0" fontId="17" fillId="23" borderId="3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center" vertical="center" wrapText="1"/>
    </xf>
    <xf numFmtId="0" fontId="1" fillId="23" borderId="2" xfId="0" applyFont="1" applyFill="1" applyBorder="1" applyAlignment="1">
      <alignment horizontal="center" vertical="center"/>
    </xf>
    <xf numFmtId="0" fontId="1" fillId="23" borderId="7" xfId="0" applyFont="1" applyFill="1" applyBorder="1" applyAlignment="1">
      <alignment horizontal="center" vertical="center"/>
    </xf>
    <xf numFmtId="0" fontId="1" fillId="23" borderId="3" xfId="0" applyFont="1" applyFill="1" applyBorder="1" applyAlignment="1">
      <alignment horizontal="center" vertical="center"/>
    </xf>
    <xf numFmtId="0" fontId="13" fillId="19" borderId="1" xfId="0" applyFont="1" applyFill="1" applyBorder="1" applyAlignment="1" applyProtection="1">
      <alignment horizontal="center" vertical="center" wrapText="1"/>
      <protection locked="0"/>
    </xf>
    <xf numFmtId="0" fontId="19" fillId="23" borderId="2" xfId="0" applyFont="1" applyFill="1" applyBorder="1" applyAlignment="1">
      <alignment horizontal="center" vertical="center"/>
    </xf>
    <xf numFmtId="0" fontId="19" fillId="23" borderId="3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17" borderId="2" xfId="0" applyFont="1" applyFill="1" applyBorder="1" applyAlignment="1">
      <alignment horizontal="center" vertical="center"/>
    </xf>
    <xf numFmtId="0" fontId="1" fillId="17" borderId="3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1" fillId="11" borderId="4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11" borderId="5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1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0" fontId="21" fillId="18" borderId="7" xfId="0" applyFont="1" applyFill="1" applyBorder="1" applyAlignment="1">
      <alignment horizontal="center" vertical="center"/>
    </xf>
    <xf numFmtId="0" fontId="21" fillId="18" borderId="3" xfId="0" applyFont="1" applyFill="1" applyBorder="1" applyAlignment="1">
      <alignment horizontal="center" vertical="center"/>
    </xf>
    <xf numFmtId="0" fontId="20" fillId="23" borderId="0" xfId="0" applyFont="1" applyFill="1" applyAlignment="1">
      <alignment horizontal="center" vertical="center"/>
    </xf>
    <xf numFmtId="0" fontId="22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0" fillId="24" borderId="0" xfId="0" applyFont="1" applyFill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0" fillId="4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0" fillId="6" borderId="0" xfId="0" applyFont="1" applyFill="1" applyAlignment="1">
      <alignment horizontal="center" vertical="center"/>
    </xf>
    <xf numFmtId="0" fontId="20" fillId="16" borderId="0" xfId="0" applyFont="1" applyFill="1" applyAlignment="1">
      <alignment horizontal="center" vertical="center"/>
    </xf>
    <xf numFmtId="0" fontId="20" fillId="7" borderId="0" xfId="0" applyFont="1" applyFill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20" fillId="17" borderId="0" xfId="0" applyFont="1" applyFill="1" applyAlignment="1">
      <alignment horizontal="center" vertical="center"/>
    </xf>
    <xf numFmtId="0" fontId="20" fillId="9" borderId="0" xfId="0" applyFont="1" applyFill="1" applyAlignment="1">
      <alignment horizontal="center" vertical="center"/>
    </xf>
    <xf numFmtId="0" fontId="20" fillId="13" borderId="0" xfId="0" applyFont="1" applyFill="1" applyAlignment="1">
      <alignment horizontal="center" vertical="center"/>
    </xf>
    <xf numFmtId="0" fontId="20" fillId="10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2" xfId="0" applyFont="1" applyBorder="1">
      <alignment vertical="center"/>
    </xf>
    <xf numFmtId="0" fontId="1" fillId="0" borderId="14" xfId="0" applyFont="1" applyBorder="1" applyAlignment="1">
      <alignment horizontal="center" vertical="center"/>
    </xf>
    <xf numFmtId="0" fontId="1" fillId="0" borderId="14" xfId="0" applyFont="1" applyBorder="1">
      <alignment vertical="center"/>
    </xf>
    <xf numFmtId="0" fontId="1" fillId="0" borderId="13" xfId="0" applyFont="1" applyBorder="1">
      <alignment vertical="center"/>
    </xf>
    <xf numFmtId="0" fontId="0" fillId="18" borderId="0" xfId="0" applyFont="1" applyFill="1" applyProtection="1">
      <alignment vertical="center"/>
      <protection locked="0"/>
    </xf>
    <xf numFmtId="0" fontId="1" fillId="0" borderId="0" xfId="0" applyFont="1" applyAlignment="1">
      <alignment vertical="center" wrapText="1"/>
    </xf>
    <xf numFmtId="0" fontId="0" fillId="0" borderId="0" xfId="0" applyProtection="1">
      <alignment vertical="center"/>
    </xf>
    <xf numFmtId="0" fontId="1" fillId="2" borderId="1" xfId="0" applyFont="1" applyFill="1" applyBorder="1" applyAlignment="1">
      <alignment horizontal="center" vertical="center"/>
    </xf>
    <xf numFmtId="57" fontId="24" fillId="2" borderId="1" xfId="0" applyNumberFormat="1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57" fontId="24" fillId="2" borderId="2" xfId="0" applyNumberFormat="1" applyFont="1" applyFill="1" applyBorder="1" applyAlignment="1">
      <alignment horizontal="center" vertical="center"/>
    </xf>
    <xf numFmtId="57" fontId="24" fillId="2" borderId="7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 applyProtection="1">
      <alignment horizontal="center" vertical="center"/>
    </xf>
    <xf numFmtId="0" fontId="1" fillId="2" borderId="7" xfId="0" applyFont="1" applyFill="1" applyBorder="1" applyAlignment="1" applyProtection="1">
      <alignment horizontal="center" vertical="center"/>
    </xf>
    <xf numFmtId="0" fontId="1" fillId="2" borderId="3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 applyProtection="1">
      <alignment horizontal="center" vertical="center"/>
      <protection locked="0"/>
    </xf>
    <xf numFmtId="0" fontId="1" fillId="14" borderId="1" xfId="0" applyFont="1" applyFill="1" applyBorder="1" applyAlignment="1" applyProtection="1">
      <alignment horizontal="center" vertical="center" wrapText="1"/>
    </xf>
    <xf numFmtId="0" fontId="1" fillId="13" borderId="1" xfId="0" applyFont="1" applyFill="1" applyBorder="1" applyAlignment="1" applyProtection="1">
      <alignment horizontal="center" vertical="center" wrapText="1"/>
    </xf>
    <xf numFmtId="0" fontId="25" fillId="7" borderId="1" xfId="0" applyFont="1" applyFill="1" applyBorder="1" applyAlignment="1" applyProtection="1">
      <alignment horizontal="center" vertical="center"/>
    </xf>
    <xf numFmtId="176" fontId="25" fillId="7" borderId="1" xfId="0" applyNumberFormat="1" applyFont="1" applyFill="1" applyBorder="1" applyAlignment="1" applyProtection="1">
      <alignment horizontal="center" vertical="center"/>
    </xf>
    <xf numFmtId="0" fontId="25" fillId="9" borderId="1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0" fontId="25" fillId="2" borderId="1" xfId="0" applyFont="1" applyFill="1" applyBorder="1" applyAlignment="1" applyProtection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vertical="center" wrapText="1"/>
    </xf>
    <xf numFmtId="0" fontId="26" fillId="23" borderId="8" xfId="0" applyFont="1" applyFill="1" applyBorder="1" applyAlignment="1" applyProtection="1">
      <alignment horizontal="left" vertical="center" wrapText="1"/>
    </xf>
    <xf numFmtId="0" fontId="1" fillId="23" borderId="15" xfId="0" applyFont="1" applyFill="1" applyBorder="1" applyAlignment="1" applyProtection="1">
      <alignment horizontal="left" vertical="center" wrapText="1"/>
    </xf>
    <xf numFmtId="0" fontId="1" fillId="23" borderId="9" xfId="0" applyFont="1" applyFill="1" applyBorder="1" applyAlignment="1" applyProtection="1">
      <alignment horizontal="left" vertical="center" wrapText="1"/>
    </xf>
    <xf numFmtId="0" fontId="1" fillId="23" borderId="16" xfId="0" applyFont="1" applyFill="1" applyBorder="1" applyAlignment="1" applyProtection="1">
      <alignment horizontal="left" vertical="center" wrapText="1"/>
    </xf>
    <xf numFmtId="0" fontId="1" fillId="23" borderId="14" xfId="0" applyFont="1" applyFill="1" applyBorder="1" applyAlignment="1" applyProtection="1">
      <alignment horizontal="left" vertical="center" wrapText="1"/>
    </xf>
    <xf numFmtId="0" fontId="1" fillId="23" borderId="13" xfId="0" applyFont="1" applyFill="1" applyBorder="1" applyAlignment="1" applyProtection="1">
      <alignment horizontal="left" vertical="center" wrapText="1"/>
    </xf>
    <xf numFmtId="0" fontId="27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7" fillId="11" borderId="2" xfId="0" applyFont="1" applyFill="1" applyBorder="1" applyAlignment="1">
      <alignment horizontal="center" vertical="center"/>
    </xf>
    <xf numFmtId="0" fontId="27" fillId="11" borderId="7" xfId="0" applyFont="1" applyFill="1" applyBorder="1" applyAlignment="1">
      <alignment horizontal="center" vertical="center"/>
    </xf>
    <xf numFmtId="0" fontId="27" fillId="11" borderId="3" xfId="0" applyFont="1" applyFill="1" applyBorder="1" applyAlignment="1">
      <alignment horizontal="center" vertical="center"/>
    </xf>
    <xf numFmtId="0" fontId="27" fillId="11" borderId="5" xfId="0" applyFont="1" applyFill="1" applyBorder="1" applyAlignment="1">
      <alignment horizontal="center" vertical="center"/>
    </xf>
    <xf numFmtId="0" fontId="1" fillId="11" borderId="2" xfId="0" applyFont="1" applyFill="1" applyBorder="1" applyAlignment="1">
      <alignment horizontal="center" vertical="center"/>
    </xf>
    <xf numFmtId="0" fontId="1" fillId="11" borderId="3" xfId="0" applyFont="1" applyFill="1" applyBorder="1" applyAlignment="1">
      <alignment horizontal="center" vertical="center"/>
    </xf>
    <xf numFmtId="177" fontId="1" fillId="5" borderId="4" xfId="0" applyNumberFormat="1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27" fillId="0" borderId="1" xfId="0" applyFont="1" applyBorder="1" applyAlignment="1" applyProtection="1">
      <alignment horizontal="center" vertical="center"/>
      <protection locked="0"/>
    </xf>
    <xf numFmtId="0" fontId="1" fillId="23" borderId="1" xfId="0" applyFont="1" applyFill="1" applyBorder="1" applyAlignment="1">
      <alignment vertical="center" wrapText="1"/>
    </xf>
    <xf numFmtId="0" fontId="28" fillId="25" borderId="1" xfId="0" applyFont="1" applyFill="1" applyBorder="1" applyAlignment="1" applyProtection="1">
      <alignment horizontal="center" vertical="center" wrapText="1"/>
      <protection locked="0"/>
    </xf>
    <xf numFmtId="0" fontId="1" fillId="23" borderId="1" xfId="0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left" vertical="center" wrapText="1"/>
    </xf>
    <xf numFmtId="0" fontId="1" fillId="23" borderId="6" xfId="0" applyFont="1" applyFill="1" applyBorder="1" applyAlignment="1">
      <alignment horizontal="left" vertical="center" wrapText="1"/>
    </xf>
    <xf numFmtId="0" fontId="1" fillId="23" borderId="5" xfId="0" applyFont="1" applyFill="1" applyBorder="1" applyAlignment="1">
      <alignment horizontal="center" vertical="center" wrapText="1"/>
    </xf>
    <xf numFmtId="0" fontId="1" fillId="23" borderId="6" xfId="0" applyFont="1" applyFill="1" applyBorder="1" applyAlignment="1">
      <alignment horizontal="center" vertical="center" wrapText="1"/>
    </xf>
    <xf numFmtId="20" fontId="1" fillId="23" borderId="1" xfId="0" applyNumberFormat="1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8" borderId="1" xfId="0" applyFont="1" applyFill="1" applyBorder="1" applyAlignment="1">
      <alignment vertical="center"/>
    </xf>
    <xf numFmtId="0" fontId="0" fillId="0" borderId="1" xfId="0" applyBorder="1">
      <alignment vertical="center"/>
    </xf>
    <xf numFmtId="0" fontId="2" fillId="1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0" fillId="0" borderId="0" xfId="0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left" vertical="center" wrapText="1"/>
    </xf>
    <xf numFmtId="0" fontId="29" fillId="6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2" fillId="13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9" fillId="6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J78"/>
  <sheetViews>
    <sheetView zoomScale="85" zoomScaleNormal="85" topLeftCell="A8" workbookViewId="0">
      <selection activeCell="E28" sqref="E28"/>
    </sheetView>
  </sheetViews>
  <sheetFormatPr defaultColWidth="8.72727272727273" defaultRowHeight="14"/>
  <cols>
    <col min="1" max="1" width="7.59090909090909" style="231" customWidth="1"/>
    <col min="2" max="7" width="25.8727272727273" style="232" customWidth="1"/>
    <col min="8" max="10" width="16.6818181818182" style="233" customWidth="1"/>
    <col min="11" max="16384" width="8.72727272727273" style="234"/>
  </cols>
  <sheetData>
    <row r="1" s="230" customFormat="1" spans="1:10">
      <c r="A1" s="235" t="s">
        <v>0</v>
      </c>
      <c r="B1" s="236" t="s">
        <v>1</v>
      </c>
      <c r="C1" s="236" t="s">
        <v>2</v>
      </c>
      <c r="D1" s="236" t="s">
        <v>3</v>
      </c>
      <c r="E1" s="236" t="s">
        <v>4</v>
      </c>
      <c r="F1" s="236" t="s">
        <v>5</v>
      </c>
      <c r="G1" s="236" t="s">
        <v>6</v>
      </c>
      <c r="H1" s="237"/>
      <c r="I1" s="237"/>
      <c r="J1" s="237"/>
    </row>
    <row r="2" spans="1:10">
      <c r="A2" s="238" t="s">
        <v>7</v>
      </c>
      <c r="B2" s="232" t="s">
        <v>8</v>
      </c>
      <c r="C2" s="232" t="s">
        <v>9</v>
      </c>
    </row>
    <row r="3" ht="52" spans="1:10">
      <c r="A3" s="238" t="s">
        <v>10</v>
      </c>
      <c r="C3" s="232" t="s">
        <v>11</v>
      </c>
      <c r="D3" s="232" t="s">
        <v>12</v>
      </c>
    </row>
    <row r="4" ht="26" spans="1:10">
      <c r="A4" s="238" t="s">
        <v>13</v>
      </c>
      <c r="D4" s="232" t="s">
        <v>14</v>
      </c>
    </row>
    <row r="5" spans="1:10">
      <c r="A5" s="238" t="s">
        <v>15</v>
      </c>
      <c r="C5" s="232" t="s">
        <v>16</v>
      </c>
      <c r="D5" s="232" t="s">
        <v>17</v>
      </c>
    </row>
    <row r="6" spans="1:10">
      <c r="A6" s="238" t="s">
        <v>18</v>
      </c>
      <c r="C6" s="232" t="s">
        <v>19</v>
      </c>
    </row>
    <row r="7" ht="221" spans="1:10">
      <c r="A7" s="238" t="s">
        <v>20</v>
      </c>
      <c r="B7" s="232" t="s">
        <v>21</v>
      </c>
      <c r="C7" s="232" t="s">
        <v>22</v>
      </c>
      <c r="D7" s="232" t="s">
        <v>23</v>
      </c>
    </row>
    <row r="8" ht="26" spans="1:10">
      <c r="A8" s="238" t="s">
        <v>24</v>
      </c>
      <c r="D8" s="232" t="s">
        <v>25</v>
      </c>
    </row>
    <row r="9" spans="1:10">
      <c r="A9" s="238" t="s">
        <v>26</v>
      </c>
    </row>
    <row r="10" spans="1:10">
      <c r="A10" s="238" t="s">
        <v>27</v>
      </c>
      <c r="B10" s="232" t="s">
        <v>28</v>
      </c>
    </row>
    <row r="11" spans="1:10">
      <c r="A11" s="238" t="s">
        <v>29</v>
      </c>
    </row>
    <row r="12" spans="1:10">
      <c r="A12" s="238" t="s">
        <v>30</v>
      </c>
    </row>
    <row r="13" ht="39" spans="1:10">
      <c r="A13" s="238" t="s">
        <v>31</v>
      </c>
      <c r="D13" s="232" t="s">
        <v>32</v>
      </c>
    </row>
    <row r="14" spans="1:10">
      <c r="A14" s="238" t="s">
        <v>33</v>
      </c>
      <c r="B14" s="232" t="s">
        <v>34</v>
      </c>
    </row>
    <row r="15" spans="1:10">
      <c r="A15" s="238" t="s">
        <v>35</v>
      </c>
    </row>
    <row r="16" spans="1:10">
      <c r="A16" s="238" t="s">
        <v>36</v>
      </c>
      <c r="C16" s="232" t="s">
        <v>37</v>
      </c>
    </row>
    <row r="17" ht="26" spans="1:5">
      <c r="A17" s="238" t="s">
        <v>38</v>
      </c>
      <c r="C17" s="232" t="s">
        <v>39</v>
      </c>
    </row>
    <row r="18" spans="1:5">
      <c r="A18" s="238" t="s">
        <v>40</v>
      </c>
      <c r="D18" s="232" t="s">
        <v>41</v>
      </c>
    </row>
    <row r="19" ht="26" spans="1:5">
      <c r="A19" s="238" t="s">
        <v>42</v>
      </c>
      <c r="D19" s="232" t="s">
        <v>43</v>
      </c>
    </row>
    <row r="20" ht="26" spans="1:5">
      <c r="A20" s="238" t="s">
        <v>44</v>
      </c>
      <c r="B20" s="232" t="s">
        <v>45</v>
      </c>
      <c r="C20" s="232" t="s">
        <v>46</v>
      </c>
    </row>
    <row r="21" ht="52" spans="1:5">
      <c r="A21" s="238" t="s">
        <v>47</v>
      </c>
      <c r="B21" s="232" t="s">
        <v>48</v>
      </c>
      <c r="C21" s="232" t="s">
        <v>49</v>
      </c>
      <c r="D21" s="232" t="s">
        <v>50</v>
      </c>
    </row>
    <row r="22" spans="1:5">
      <c r="A22" s="238" t="s">
        <v>51</v>
      </c>
    </row>
    <row r="23" ht="26" spans="1:5">
      <c r="A23" s="238" t="s">
        <v>52</v>
      </c>
      <c r="B23" s="232" t="s">
        <v>53</v>
      </c>
    </row>
    <row r="24" ht="52" spans="1:5">
      <c r="A24" s="238" t="s">
        <v>54</v>
      </c>
      <c r="B24" s="232" t="s">
        <v>55</v>
      </c>
      <c r="C24" s="232" t="s">
        <v>56</v>
      </c>
      <c r="D24" s="232" t="s">
        <v>57</v>
      </c>
    </row>
    <row r="25" spans="1:5">
      <c r="A25" s="238" t="s">
        <v>58</v>
      </c>
    </row>
    <row r="26" spans="1:5">
      <c r="A26" s="238" t="s">
        <v>59</v>
      </c>
    </row>
    <row r="27" spans="1:5">
      <c r="A27" s="238" t="s">
        <v>60</v>
      </c>
      <c r="B27" s="232" t="s">
        <v>61</v>
      </c>
      <c r="C27" s="232" t="s">
        <v>62</v>
      </c>
    </row>
    <row r="28" ht="91" spans="1:5">
      <c r="A28" s="238" t="s">
        <v>63</v>
      </c>
      <c r="B28" s="232" t="s">
        <v>64</v>
      </c>
      <c r="C28" s="232" t="s">
        <v>65</v>
      </c>
      <c r="D28" s="232" t="s">
        <v>66</v>
      </c>
      <c r="E28" s="232" t="s">
        <v>67</v>
      </c>
    </row>
    <row r="29" spans="1:5">
      <c r="A29" s="238" t="s">
        <v>68</v>
      </c>
    </row>
    <row r="30" spans="1:5">
      <c r="A30" s="238" t="s">
        <v>69</v>
      </c>
      <c r="B30" s="232" t="s">
        <v>70</v>
      </c>
      <c r="C30" s="232" t="s">
        <v>71</v>
      </c>
    </row>
    <row r="31" spans="1:5">
      <c r="A31" s="238" t="s">
        <v>72</v>
      </c>
    </row>
    <row r="32" spans="1:5">
      <c r="A32" s="238" t="s">
        <v>73</v>
      </c>
    </row>
    <row r="33" spans="1:10">
      <c r="A33" s="238" t="s">
        <v>74</v>
      </c>
    </row>
    <row r="34" spans="1:10">
      <c r="A34" s="238" t="s">
        <v>75</v>
      </c>
    </row>
    <row r="35" spans="1:10">
      <c r="A35" s="238" t="s">
        <v>76</v>
      </c>
    </row>
    <row r="36" spans="1:10">
      <c r="A36" s="238" t="s">
        <v>77</v>
      </c>
      <c r="B36" s="232" t="s">
        <v>78</v>
      </c>
    </row>
    <row r="37" ht="26" spans="1:10">
      <c r="A37" s="238" t="s">
        <v>79</v>
      </c>
      <c r="C37" s="232" t="s">
        <v>80</v>
      </c>
      <c r="D37" s="232" t="s">
        <v>81</v>
      </c>
    </row>
    <row r="38" spans="1:10">
      <c r="A38" s="238" t="s">
        <v>82</v>
      </c>
      <c r="B38" s="232" t="s">
        <v>83</v>
      </c>
      <c r="C38" s="239"/>
      <c r="D38" s="239"/>
      <c r="E38" s="239"/>
      <c r="F38" s="239"/>
      <c r="G38" s="239"/>
    </row>
    <row r="39" ht="26" spans="1:10">
      <c r="A39" s="238" t="s">
        <v>84</v>
      </c>
      <c r="C39" s="232" t="s">
        <v>85</v>
      </c>
      <c r="D39" s="232" t="s">
        <v>86</v>
      </c>
    </row>
    <row r="40" spans="1:10">
      <c r="A40" s="238" t="s">
        <v>87</v>
      </c>
      <c r="B40" s="232" t="s">
        <v>88</v>
      </c>
      <c r="C40" s="232" t="s">
        <v>89</v>
      </c>
      <c r="D40" s="232" t="s">
        <v>90</v>
      </c>
    </row>
    <row r="41" ht="208" spans="1:10">
      <c r="A41" s="238" t="s">
        <v>91</v>
      </c>
      <c r="C41" s="232" t="s">
        <v>92</v>
      </c>
      <c r="D41" s="232" t="s">
        <v>93</v>
      </c>
      <c r="E41" s="232" t="s">
        <v>94</v>
      </c>
      <c r="H41" s="233" t="s">
        <v>95</v>
      </c>
      <c r="I41" s="233" t="s">
        <v>96</v>
      </c>
      <c r="J41" s="233" t="s">
        <v>97</v>
      </c>
    </row>
    <row r="42" spans="1:10">
      <c r="A42" s="238" t="s">
        <v>98</v>
      </c>
    </row>
    <row r="43" ht="28" spans="1:10">
      <c r="A43" s="238" t="s">
        <v>99</v>
      </c>
      <c r="B43" s="232" t="s">
        <v>100</v>
      </c>
      <c r="H43" s="233" t="s">
        <v>101</v>
      </c>
    </row>
    <row r="44" ht="26" spans="1:10">
      <c r="A44" s="238" t="s">
        <v>102</v>
      </c>
      <c r="B44" s="232" t="s">
        <v>103</v>
      </c>
    </row>
    <row r="45" ht="26" spans="1:10">
      <c r="A45" s="238" t="s">
        <v>104</v>
      </c>
      <c r="C45" s="232" t="s">
        <v>105</v>
      </c>
      <c r="D45" s="232" t="s">
        <v>106</v>
      </c>
    </row>
    <row r="46" spans="1:10">
      <c r="A46" s="238" t="s">
        <v>107</v>
      </c>
    </row>
    <row r="47" spans="1:10">
      <c r="A47" s="238" t="s">
        <v>108</v>
      </c>
      <c r="D47" s="232" t="s">
        <v>109</v>
      </c>
    </row>
    <row r="48" spans="1:10">
      <c r="A48" s="238" t="s">
        <v>110</v>
      </c>
      <c r="C48" s="232" t="s">
        <v>111</v>
      </c>
      <c r="D48" s="232" t="s">
        <v>112</v>
      </c>
    </row>
    <row r="49" spans="1:7">
      <c r="A49" s="238" t="s">
        <v>113</v>
      </c>
    </row>
    <row r="50" ht="78" spans="1:7">
      <c r="A50" s="238" t="s">
        <v>114</v>
      </c>
      <c r="C50" s="232" t="s">
        <v>115</v>
      </c>
    </row>
    <row r="51" spans="1:7">
      <c r="A51" s="238" t="s">
        <v>116</v>
      </c>
    </row>
    <row r="52" ht="26" spans="1:7">
      <c r="A52" s="238" t="s">
        <v>117</v>
      </c>
      <c r="B52" s="232" t="s">
        <v>118</v>
      </c>
      <c r="C52" s="232" t="s">
        <v>119</v>
      </c>
      <c r="E52" s="232" t="s">
        <v>120</v>
      </c>
    </row>
    <row r="53" ht="26" spans="1:7">
      <c r="A53" s="231" t="s">
        <v>121</v>
      </c>
      <c r="B53" s="232" t="s">
        <v>122</v>
      </c>
      <c r="D53" s="239"/>
      <c r="E53" s="239"/>
      <c r="F53" s="239"/>
      <c r="G53" s="239"/>
    </row>
    <row r="54" spans="1:7">
      <c r="A54" s="231" t="s">
        <v>123</v>
      </c>
      <c r="B54" s="232" t="s">
        <v>124</v>
      </c>
      <c r="C54" s="232" t="s">
        <v>125</v>
      </c>
      <c r="D54" s="239"/>
      <c r="E54" s="239"/>
      <c r="F54" s="239"/>
      <c r="G54" s="239"/>
    </row>
    <row r="55" ht="65" spans="1:7">
      <c r="A55" s="231" t="s">
        <v>126</v>
      </c>
      <c r="B55" s="239"/>
      <c r="C55" s="239"/>
      <c r="D55" s="232" t="s">
        <v>127</v>
      </c>
    </row>
    <row r="56" ht="65" spans="1:7">
      <c r="A56" s="231" t="s">
        <v>128</v>
      </c>
      <c r="B56" s="78" t="s">
        <v>129</v>
      </c>
      <c r="C56" s="78"/>
      <c r="D56" s="232" t="s">
        <v>130</v>
      </c>
    </row>
    <row r="57" ht="117" spans="1:7">
      <c r="A57" s="231" t="s">
        <v>131</v>
      </c>
      <c r="B57" s="78" t="s">
        <v>132</v>
      </c>
      <c r="C57" s="78" t="s">
        <v>133</v>
      </c>
      <c r="D57" s="232" t="s">
        <v>134</v>
      </c>
    </row>
    <row r="58" spans="1:7">
      <c r="A58" s="231" t="s">
        <v>135</v>
      </c>
      <c r="B58" s="232" t="s">
        <v>136</v>
      </c>
      <c r="C58" s="239"/>
      <c r="D58" s="239"/>
      <c r="E58" s="239"/>
      <c r="F58" s="239"/>
      <c r="G58" s="239"/>
    </row>
    <row r="59" spans="1:7">
      <c r="A59" s="231" t="s">
        <v>137</v>
      </c>
      <c r="B59" s="239"/>
      <c r="C59" s="232" t="s">
        <v>138</v>
      </c>
      <c r="D59" s="239"/>
      <c r="E59" s="239"/>
      <c r="F59" s="239"/>
      <c r="G59" s="239"/>
    </row>
    <row r="60" ht="65" spans="1:7">
      <c r="A60" s="231" t="s">
        <v>139</v>
      </c>
      <c r="B60" s="239" t="s">
        <v>140</v>
      </c>
      <c r="C60" s="239"/>
      <c r="D60" s="232" t="s">
        <v>141</v>
      </c>
    </row>
    <row r="61" spans="1:7">
      <c r="A61" s="231" t="s">
        <v>142</v>
      </c>
      <c r="B61" s="78" t="s">
        <v>143</v>
      </c>
      <c r="C61" s="78"/>
      <c r="D61" s="239"/>
      <c r="E61" s="239"/>
      <c r="F61" s="239"/>
      <c r="G61" s="239"/>
    </row>
    <row r="62" ht="52" spans="1:7">
      <c r="A62" s="231" t="s">
        <v>144</v>
      </c>
      <c r="B62" s="239"/>
      <c r="C62" s="239"/>
      <c r="D62" s="232" t="s">
        <v>145</v>
      </c>
      <c r="E62" s="232" t="s">
        <v>146</v>
      </c>
    </row>
    <row r="63" ht="26" spans="1:7">
      <c r="A63" s="231" t="s">
        <v>147</v>
      </c>
      <c r="B63" s="78" t="s">
        <v>148</v>
      </c>
      <c r="C63" s="78" t="s">
        <v>149</v>
      </c>
      <c r="D63" s="239"/>
      <c r="E63" s="239"/>
      <c r="F63" s="239"/>
      <c r="G63" s="239"/>
    </row>
    <row r="64" ht="26" spans="1:7">
      <c r="A64" s="231" t="s">
        <v>150</v>
      </c>
      <c r="B64" s="239"/>
      <c r="C64" s="239"/>
      <c r="D64" s="232" t="s">
        <v>151</v>
      </c>
    </row>
    <row r="65" ht="26" spans="1:7">
      <c r="A65" s="231" t="s">
        <v>152</v>
      </c>
      <c r="B65" s="240" t="s">
        <v>153</v>
      </c>
      <c r="C65" s="239"/>
      <c r="D65" s="239"/>
      <c r="E65" s="239"/>
      <c r="F65" s="239"/>
      <c r="G65" s="239"/>
    </row>
    <row r="66" spans="1:7">
      <c r="A66" s="231" t="s">
        <v>154</v>
      </c>
      <c r="B66" s="239"/>
      <c r="C66" s="232" t="s">
        <v>155</v>
      </c>
      <c r="D66" s="239"/>
      <c r="E66" s="239"/>
      <c r="F66" s="239"/>
      <c r="G66" s="239"/>
    </row>
    <row r="67" spans="1:7">
      <c r="A67" s="231" t="s">
        <v>156</v>
      </c>
      <c r="B67" s="239"/>
      <c r="C67" s="239"/>
    </row>
    <row r="68" ht="78" spans="1:7">
      <c r="A68" s="231" t="s">
        <v>157</v>
      </c>
      <c r="B68" s="239"/>
      <c r="C68" s="239"/>
      <c r="D68" s="232" t="s">
        <v>158</v>
      </c>
    </row>
    <row r="69" spans="1:7">
      <c r="A69" s="231" t="s">
        <v>159</v>
      </c>
      <c r="B69" s="78" t="s">
        <v>160</v>
      </c>
      <c r="C69" s="78"/>
    </row>
    <row r="70" ht="26" spans="1:7">
      <c r="A70" s="231" t="s">
        <v>161</v>
      </c>
      <c r="B70" s="78" t="s">
        <v>162</v>
      </c>
      <c r="C70" s="78"/>
      <c r="D70" s="239"/>
      <c r="E70" s="239"/>
      <c r="F70" s="239"/>
      <c r="G70" s="239"/>
    </row>
    <row r="71" spans="1:7">
      <c r="A71" s="231" t="s">
        <v>163</v>
      </c>
      <c r="B71" s="239"/>
      <c r="C71" s="239"/>
    </row>
    <row r="72" spans="1:7">
      <c r="A72" s="231" t="s">
        <v>164</v>
      </c>
      <c r="B72" s="232" t="s">
        <v>165</v>
      </c>
      <c r="C72" s="232" t="s">
        <v>166</v>
      </c>
      <c r="D72" s="239"/>
      <c r="E72" s="239"/>
      <c r="F72" s="239"/>
      <c r="G72" s="239"/>
    </row>
    <row r="73" spans="1:7">
      <c r="A73" s="231" t="s">
        <v>167</v>
      </c>
      <c r="B73" s="239"/>
      <c r="C73" s="232" t="s">
        <v>168</v>
      </c>
      <c r="D73" s="239"/>
      <c r="E73" s="239"/>
      <c r="F73" s="239"/>
      <c r="G73" s="239"/>
    </row>
    <row r="74" spans="1:7">
      <c r="A74" s="231" t="s">
        <v>169</v>
      </c>
    </row>
    <row r="75" spans="1:7">
      <c r="A75" s="231" t="s">
        <v>170</v>
      </c>
      <c r="D75" s="239"/>
      <c r="E75" s="239"/>
      <c r="F75" s="239"/>
      <c r="G75" s="239"/>
    </row>
    <row r="76" spans="1:7">
      <c r="A76" s="231" t="s">
        <v>171</v>
      </c>
      <c r="B76" s="239"/>
      <c r="C76" s="239"/>
      <c r="D76" s="232" t="s">
        <v>172</v>
      </c>
    </row>
    <row r="77" spans="1:7">
      <c r="A77" s="231" t="s">
        <v>173</v>
      </c>
      <c r="B77" s="78"/>
      <c r="C77" s="78"/>
    </row>
    <row r="78" ht="26" spans="1:7">
      <c r="A78" s="241" t="s">
        <v>174</v>
      </c>
      <c r="B78" s="232" t="s">
        <v>175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4" workbookViewId="0">
      <selection activeCell="B20" sqref="B20"/>
    </sheetView>
  </sheetViews>
  <sheetFormatPr defaultColWidth="8.72727272727273" defaultRowHeight="14" outlineLevelCol="6"/>
  <cols>
    <col min="1" max="1" width="6.64545454545455" style="225" customWidth="1"/>
    <col min="2" max="2" width="32.6181818181818" style="66" customWidth="1"/>
    <col min="3" max="7" width="16.4909090909091" style="66" customWidth="1"/>
    <col min="8" max="16384" width="8.72727272727273" style="226"/>
  </cols>
  <sheetData>
    <row r="1" spans="1:7">
      <c r="A1" s="227"/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</row>
    <row r="2" s="224" customFormat="1" ht="39" spans="1:7">
      <c r="A2" s="228" t="s">
        <v>176</v>
      </c>
      <c r="B2" s="78"/>
      <c r="C2" s="78"/>
      <c r="D2" s="78" t="s">
        <v>177</v>
      </c>
      <c r="E2" s="78"/>
      <c r="F2" s="78"/>
      <c r="G2" s="78"/>
    </row>
    <row r="3" spans="1:7">
      <c r="A3" s="229" t="s">
        <v>178</v>
      </c>
      <c r="C3" s="66" t="s">
        <v>179</v>
      </c>
    </row>
    <row r="4" spans="1:7">
      <c r="A4" s="229" t="s">
        <v>180</v>
      </c>
      <c r="B4" s="66" t="s">
        <v>181</v>
      </c>
      <c r="D4" s="66" t="s">
        <v>182</v>
      </c>
    </row>
    <row r="5" spans="1:7">
      <c r="A5" s="229" t="s">
        <v>183</v>
      </c>
      <c r="C5" s="66" t="s">
        <v>184</v>
      </c>
      <c r="D5" s="66" t="s">
        <v>185</v>
      </c>
    </row>
    <row r="6" spans="1:7">
      <c r="A6" s="229" t="s">
        <v>186</v>
      </c>
      <c r="B6" s="66" t="s">
        <v>187</v>
      </c>
      <c r="D6" s="66" t="s">
        <v>188</v>
      </c>
    </row>
    <row r="7" spans="1:7">
      <c r="A7" s="229" t="s">
        <v>189</v>
      </c>
      <c r="B7" s="66" t="s">
        <v>190</v>
      </c>
    </row>
    <row r="8" spans="1:7">
      <c r="A8" s="229"/>
      <c r="D8" s="66" t="s">
        <v>191</v>
      </c>
    </row>
    <row r="9" spans="1:7">
      <c r="A9" s="229"/>
    </row>
    <row r="10" spans="1:7">
      <c r="A10" s="229"/>
      <c r="B10" s="66" t="s">
        <v>192</v>
      </c>
    </row>
    <row r="11" spans="1:7">
      <c r="A11" s="229"/>
    </row>
    <row r="12" spans="1:7">
      <c r="A12" s="229"/>
      <c r="B12" s="66" t="s">
        <v>193</v>
      </c>
    </row>
    <row r="13" spans="1:7">
      <c r="A13" s="229"/>
      <c r="B13" s="66" t="s">
        <v>194</v>
      </c>
    </row>
    <row r="14" spans="1:7">
      <c r="A14" s="229"/>
      <c r="B14" s="66" t="s">
        <v>195</v>
      </c>
    </row>
    <row r="15" spans="1:7">
      <c r="A15" s="229"/>
      <c r="B15" s="66" t="s">
        <v>196</v>
      </c>
    </row>
    <row r="16" spans="1:7">
      <c r="A16" s="229"/>
      <c r="B16" s="66" t="s">
        <v>197</v>
      </c>
    </row>
    <row r="17" spans="1:2">
      <c r="A17" s="229"/>
      <c r="B17" s="66" t="s">
        <v>198</v>
      </c>
    </row>
    <row r="18" spans="1:2">
      <c r="A18" s="229"/>
      <c r="B18" s="66" t="s">
        <v>199</v>
      </c>
    </row>
    <row r="19" ht="26" spans="1:2">
      <c r="A19" s="229"/>
      <c r="B19" s="78" t="s">
        <v>200</v>
      </c>
    </row>
    <row r="20" spans="1:2">
      <c r="A20" s="229"/>
      <c r="B20" s="66" t="s">
        <v>201</v>
      </c>
    </row>
    <row r="21" spans="1:2">
      <c r="A21" s="229"/>
    </row>
    <row r="22" spans="1:2">
      <c r="A22" s="229"/>
    </row>
    <row r="23" spans="1:2">
      <c r="A23" s="229"/>
    </row>
    <row r="24" spans="1:2">
      <c r="A24" s="229"/>
    </row>
    <row r="25" spans="1:2">
      <c r="A25" s="229"/>
    </row>
    <row r="26" spans="1:2">
      <c r="A26" s="229"/>
    </row>
    <row r="27" spans="1:2">
      <c r="A27" s="229"/>
    </row>
    <row r="28" spans="1:2">
      <c r="A28" s="229"/>
    </row>
    <row r="29" spans="1:2">
      <c r="A29" s="229"/>
    </row>
    <row r="30" spans="1:2">
      <c r="A30" s="229"/>
    </row>
    <row r="31" spans="1:2">
      <c r="A31" s="229"/>
    </row>
    <row r="32" spans="1:2">
      <c r="A32" s="229"/>
    </row>
    <row r="33" spans="1:7">
      <c r="A33" s="229"/>
    </row>
    <row r="34" spans="1:7">
      <c r="A34" s="229"/>
    </row>
    <row r="35" spans="1:7">
      <c r="A35" s="229"/>
    </row>
    <row r="36" spans="1:7">
      <c r="A36" s="229"/>
    </row>
    <row r="37" spans="1:7">
      <c r="A37" s="229"/>
    </row>
    <row r="38" spans="1:7">
      <c r="A38" s="229"/>
      <c r="B38" s="78"/>
      <c r="C38" s="78"/>
      <c r="D38" s="78"/>
      <c r="E38" s="78"/>
      <c r="F38" s="78"/>
      <c r="G38" s="78"/>
    </row>
    <row r="39" spans="1:7">
      <c r="A39" s="229"/>
      <c r="B39" s="78"/>
      <c r="C39" s="78"/>
      <c r="D39" s="78"/>
      <c r="E39" s="78"/>
      <c r="F39" s="78"/>
      <c r="G39" s="78"/>
    </row>
    <row r="40" spans="1:7">
      <c r="A40" s="229"/>
    </row>
    <row r="41" spans="1:7">
      <c r="A41" s="229"/>
    </row>
    <row r="42" spans="1:7">
      <c r="A42" s="229"/>
    </row>
    <row r="43" spans="1:7">
      <c r="A43" s="229"/>
    </row>
    <row r="44" spans="1:7">
      <c r="A44" s="229"/>
    </row>
    <row r="45" spans="1:7">
      <c r="A45" s="229"/>
    </row>
    <row r="46" spans="1:7">
      <c r="A46" s="229"/>
    </row>
    <row r="47" spans="1:7">
      <c r="A47" s="229"/>
    </row>
    <row r="48" spans="1:7">
      <c r="A48" s="229"/>
    </row>
    <row r="49" spans="1:1">
      <c r="A49" s="229"/>
    </row>
    <row r="50" spans="1:1">
      <c r="A50" s="229"/>
    </row>
    <row r="51" spans="1:1">
      <c r="A51" s="229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66"/>
  <sheetViews>
    <sheetView workbookViewId="0">
      <pane ySplit="1" topLeftCell="A50" activePane="bottomLeft" state="frozen"/>
      <selection/>
      <selection pane="bottomLeft" activeCell="E55" sqref="E55"/>
    </sheetView>
  </sheetViews>
  <sheetFormatPr defaultColWidth="8.72727272727273" defaultRowHeight="14" outlineLevelCol="2"/>
  <cols>
    <col min="1" max="1" width="24" style="215" customWidth="1"/>
    <col min="2" max="2" width="10.6363636363636" style="215" customWidth="1"/>
    <col min="3" max="3" width="91.3636363636364" style="215" customWidth="1"/>
    <col min="4" max="16384" width="8.72727272727273" style="93"/>
  </cols>
  <sheetData>
    <row r="1" s="214" customFormat="1" ht="15" spans="1:3">
      <c r="A1" s="216" t="s">
        <v>202</v>
      </c>
      <c r="B1" s="216" t="s">
        <v>203</v>
      </c>
      <c r="C1" s="216" t="s">
        <v>204</v>
      </c>
    </row>
    <row r="2" spans="1:3">
      <c r="A2" s="217" t="s">
        <v>205</v>
      </c>
      <c r="B2" s="217" t="s">
        <v>206</v>
      </c>
      <c r="C2" s="217" t="s">
        <v>207</v>
      </c>
    </row>
    <row r="3" spans="1:3">
      <c r="A3" s="217" t="s">
        <v>208</v>
      </c>
      <c r="B3" s="217" t="s">
        <v>209</v>
      </c>
      <c r="C3" s="217" t="s">
        <v>210</v>
      </c>
    </row>
    <row r="4" spans="1:3">
      <c r="A4" s="217" t="s">
        <v>211</v>
      </c>
      <c r="B4" s="217" t="s">
        <v>209</v>
      </c>
      <c r="C4" s="217" t="s">
        <v>212</v>
      </c>
    </row>
    <row r="5" ht="56" spans="1:3">
      <c r="A5" s="218" t="s">
        <v>213</v>
      </c>
      <c r="B5" s="217" t="s">
        <v>214</v>
      </c>
      <c r="C5" s="217" t="s">
        <v>215</v>
      </c>
    </row>
    <row r="6" ht="28" spans="1:3">
      <c r="A6" s="219"/>
      <c r="B6" s="217" t="s">
        <v>216</v>
      </c>
      <c r="C6" s="217" t="s">
        <v>217</v>
      </c>
    </row>
    <row r="7" spans="1:3">
      <c r="A7" s="220" t="s">
        <v>91</v>
      </c>
      <c r="B7" s="217" t="s">
        <v>218</v>
      </c>
      <c r="C7" s="217" t="s">
        <v>219</v>
      </c>
    </row>
    <row r="8" ht="140" spans="1:3">
      <c r="A8" s="220"/>
      <c r="B8" s="217" t="s">
        <v>220</v>
      </c>
      <c r="C8" s="217" t="s">
        <v>221</v>
      </c>
    </row>
    <row r="9" spans="1:3">
      <c r="A9" s="220"/>
      <c r="B9" s="217" t="s">
        <v>222</v>
      </c>
      <c r="C9" s="217" t="s">
        <v>223</v>
      </c>
    </row>
    <row r="10" spans="1:3">
      <c r="A10" s="220"/>
      <c r="B10" s="217" t="s">
        <v>224</v>
      </c>
      <c r="C10" s="217" t="s">
        <v>225</v>
      </c>
    </row>
    <row r="11" spans="1:3">
      <c r="A11" s="220"/>
      <c r="B11" s="217"/>
      <c r="C11" s="217"/>
    </row>
    <row r="12" spans="1:3">
      <c r="A12" s="220"/>
      <c r="B12" s="217"/>
      <c r="C12" s="217"/>
    </row>
    <row r="13" spans="1:3">
      <c r="A13" s="220"/>
      <c r="B13" s="217"/>
      <c r="C13" s="217"/>
    </row>
    <row r="14" spans="1:3">
      <c r="A14" s="221"/>
      <c r="B14" s="217"/>
      <c r="C14" s="217"/>
    </row>
    <row r="15" spans="1:3">
      <c r="A15" s="217" t="s">
        <v>226</v>
      </c>
      <c r="B15" s="217" t="s">
        <v>227</v>
      </c>
      <c r="C15" s="217" t="s">
        <v>228</v>
      </c>
    </row>
    <row r="16" spans="1:3">
      <c r="A16" s="217" t="s">
        <v>229</v>
      </c>
      <c r="B16" s="217" t="s">
        <v>230</v>
      </c>
      <c r="C16" s="217" t="s">
        <v>231</v>
      </c>
    </row>
    <row r="17" spans="1:3">
      <c r="A17" s="217" t="s">
        <v>232</v>
      </c>
      <c r="B17" s="217" t="s">
        <v>233</v>
      </c>
      <c r="C17" s="222">
        <v>0.440972222222222</v>
      </c>
    </row>
    <row r="18" spans="1:3">
      <c r="A18" s="223" t="s">
        <v>63</v>
      </c>
      <c r="B18" s="217" t="s">
        <v>234</v>
      </c>
      <c r="C18" s="217" t="s">
        <v>235</v>
      </c>
    </row>
    <row r="19" spans="1:3">
      <c r="A19" s="220"/>
      <c r="B19" s="217" t="s">
        <v>236</v>
      </c>
      <c r="C19" s="217" t="s">
        <v>237</v>
      </c>
    </row>
    <row r="20" ht="56" spans="1:3">
      <c r="A20" s="220"/>
      <c r="B20" s="217" t="s">
        <v>238</v>
      </c>
      <c r="C20" s="217" t="s">
        <v>239</v>
      </c>
    </row>
    <row r="21" spans="1:3">
      <c r="A21" s="220"/>
      <c r="B21" s="217" t="s">
        <v>240</v>
      </c>
      <c r="C21" s="217" t="s">
        <v>241</v>
      </c>
    </row>
    <row r="22" ht="28" spans="1:3">
      <c r="A22" s="220"/>
      <c r="B22" s="217" t="s">
        <v>242</v>
      </c>
      <c r="C22" s="217" t="s">
        <v>243</v>
      </c>
    </row>
    <row r="23" spans="1:3">
      <c r="A23" s="220"/>
      <c r="B23" s="217" t="s">
        <v>244</v>
      </c>
      <c r="C23" s="217" t="s">
        <v>245</v>
      </c>
    </row>
    <row r="24" spans="1:3">
      <c r="A24" s="220"/>
      <c r="B24" s="217" t="s">
        <v>246</v>
      </c>
      <c r="C24" s="217" t="s">
        <v>247</v>
      </c>
    </row>
    <row r="25" spans="1:3">
      <c r="A25" s="220"/>
      <c r="B25" s="217" t="s">
        <v>248</v>
      </c>
      <c r="C25" s="217" t="s">
        <v>249</v>
      </c>
    </row>
    <row r="26" spans="1:3">
      <c r="A26" s="220"/>
      <c r="B26" s="217" t="s">
        <v>246</v>
      </c>
      <c r="C26" s="217" t="s">
        <v>250</v>
      </c>
    </row>
    <row r="27" spans="1:3">
      <c r="A27" s="220"/>
      <c r="B27" s="217"/>
      <c r="C27" s="217"/>
    </row>
    <row r="28" spans="1:3">
      <c r="A28" s="220"/>
      <c r="B28" s="217"/>
      <c r="C28" s="217"/>
    </row>
    <row r="29" spans="1:3">
      <c r="A29" s="220"/>
      <c r="B29" s="217"/>
      <c r="C29" s="217"/>
    </row>
    <row r="30" spans="1:3">
      <c r="A30" s="220"/>
      <c r="B30" s="217"/>
      <c r="C30" s="217"/>
    </row>
    <row r="31" spans="1:3">
      <c r="A31" s="220"/>
      <c r="B31" s="217"/>
      <c r="C31" s="217"/>
    </row>
    <row r="32" spans="1:3">
      <c r="A32" s="220"/>
      <c r="B32" s="217"/>
      <c r="C32" s="217"/>
    </row>
    <row r="33" spans="1:3">
      <c r="A33" s="220"/>
      <c r="B33" s="217"/>
      <c r="C33" s="217"/>
    </row>
    <row r="34" spans="1:3">
      <c r="A34" s="218" t="s">
        <v>251</v>
      </c>
      <c r="B34" s="217" t="s">
        <v>236</v>
      </c>
      <c r="C34" s="217" t="s">
        <v>252</v>
      </c>
    </row>
    <row r="35" spans="1:3">
      <c r="A35" s="219"/>
      <c r="B35" s="217" t="s">
        <v>253</v>
      </c>
      <c r="C35" s="217" t="s">
        <v>254</v>
      </c>
    </row>
    <row r="36" ht="28" spans="1:3">
      <c r="A36" s="223" t="s">
        <v>255</v>
      </c>
      <c r="B36" s="217" t="s">
        <v>256</v>
      </c>
      <c r="C36" s="217" t="s">
        <v>257</v>
      </c>
    </row>
    <row r="37" spans="1:3">
      <c r="A37" s="220"/>
      <c r="B37" s="217" t="s">
        <v>220</v>
      </c>
      <c r="C37" s="217" t="s">
        <v>258</v>
      </c>
    </row>
    <row r="38" spans="1:3">
      <c r="A38" s="220"/>
      <c r="B38" s="217" t="s">
        <v>259</v>
      </c>
      <c r="C38" s="217" t="s">
        <v>260</v>
      </c>
    </row>
    <row r="39" spans="1:3">
      <c r="A39" s="220"/>
      <c r="B39" s="217"/>
      <c r="C39" s="217"/>
    </row>
    <row r="40" spans="1:3">
      <c r="A40" s="218" t="s">
        <v>261</v>
      </c>
      <c r="B40" s="217" t="s">
        <v>262</v>
      </c>
      <c r="C40" s="217" t="s">
        <v>263</v>
      </c>
    </row>
    <row r="41" spans="1:3">
      <c r="A41" s="219"/>
      <c r="B41" s="217" t="s">
        <v>218</v>
      </c>
      <c r="C41" s="217" t="s">
        <v>264</v>
      </c>
    </row>
    <row r="42" ht="28" spans="1:3">
      <c r="A42" s="223" t="s">
        <v>47</v>
      </c>
      <c r="B42" s="217" t="s">
        <v>218</v>
      </c>
      <c r="C42" s="217" t="s">
        <v>265</v>
      </c>
    </row>
    <row r="43" spans="1:3">
      <c r="A43" s="220"/>
      <c r="B43" s="215" t="s">
        <v>266</v>
      </c>
      <c r="C43" s="215" t="s">
        <v>267</v>
      </c>
    </row>
    <row r="44" spans="1:3">
      <c r="A44" s="220"/>
      <c r="B44" s="215" t="s">
        <v>240</v>
      </c>
      <c r="C44" s="215" t="s">
        <v>268</v>
      </c>
    </row>
    <row r="45" spans="1:3">
      <c r="A45" s="220"/>
      <c r="B45" s="215" t="s">
        <v>246</v>
      </c>
      <c r="C45" s="215" t="s">
        <v>269</v>
      </c>
    </row>
    <row r="46" ht="28" spans="1:3">
      <c r="A46" s="220"/>
      <c r="B46" s="215" t="s">
        <v>246</v>
      </c>
      <c r="C46" s="215" t="s">
        <v>270</v>
      </c>
    </row>
    <row r="47" spans="1:3">
      <c r="A47" s="220"/>
    </row>
    <row r="48" ht="98" spans="1:3">
      <c r="A48" s="223" t="s">
        <v>271</v>
      </c>
      <c r="B48" s="215" t="s">
        <v>218</v>
      </c>
      <c r="C48" s="215" t="s">
        <v>272</v>
      </c>
    </row>
    <row r="49" ht="84" spans="1:3">
      <c r="A49" s="220"/>
      <c r="B49" s="215" t="s">
        <v>273</v>
      </c>
      <c r="C49" s="215" t="s">
        <v>274</v>
      </c>
    </row>
    <row r="50" ht="28" spans="1:3">
      <c r="A50" s="221"/>
      <c r="B50" s="215" t="s">
        <v>275</v>
      </c>
      <c r="C50" s="215" t="s">
        <v>276</v>
      </c>
    </row>
    <row r="51" spans="1:3">
      <c r="A51" s="215" t="s">
        <v>38</v>
      </c>
      <c r="B51" s="215" t="s">
        <v>277</v>
      </c>
      <c r="C51" s="215" t="s">
        <v>278</v>
      </c>
    </row>
    <row r="52" spans="1:3">
      <c r="A52" s="223" t="s">
        <v>279</v>
      </c>
      <c r="B52" s="215" t="s">
        <v>220</v>
      </c>
      <c r="C52" s="215" t="s">
        <v>280</v>
      </c>
    </row>
    <row r="53" spans="1:3">
      <c r="A53" s="221"/>
      <c r="B53" s="215" t="s">
        <v>273</v>
      </c>
      <c r="C53" s="215" t="s">
        <v>281</v>
      </c>
    </row>
    <row r="54" spans="1:3">
      <c r="A54" s="215" t="s">
        <v>54</v>
      </c>
      <c r="B54" s="215" t="s">
        <v>222</v>
      </c>
      <c r="C54" s="215" t="s">
        <v>282</v>
      </c>
    </row>
    <row r="55" spans="1:3">
      <c r="A55" s="223" t="s">
        <v>283</v>
      </c>
      <c r="B55" s="215" t="s">
        <v>284</v>
      </c>
      <c r="C55" s="215" t="s">
        <v>285</v>
      </c>
    </row>
    <row r="56" spans="1:3">
      <c r="A56" s="221"/>
      <c r="B56" s="215" t="s">
        <v>246</v>
      </c>
      <c r="C56" s="215" t="s">
        <v>286</v>
      </c>
    </row>
    <row r="57" spans="1:3">
      <c r="A57" s="215" t="s">
        <v>287</v>
      </c>
      <c r="B57" s="215" t="s">
        <v>288</v>
      </c>
      <c r="C57" s="215" t="s">
        <v>289</v>
      </c>
    </row>
    <row r="58" spans="1:3">
      <c r="A58" s="215" t="s">
        <v>10</v>
      </c>
      <c r="B58" s="215" t="s">
        <v>273</v>
      </c>
      <c r="C58" s="215" t="s">
        <v>290</v>
      </c>
    </row>
    <row r="59" spans="1:3">
      <c r="A59" s="215" t="s">
        <v>291</v>
      </c>
      <c r="B59" s="215" t="s">
        <v>292</v>
      </c>
      <c r="C59" s="215" t="s">
        <v>293</v>
      </c>
    </row>
    <row r="60" spans="1:3">
      <c r="A60" s="215" t="s">
        <v>294</v>
      </c>
      <c r="B60" s="215" t="s">
        <v>295</v>
      </c>
      <c r="C60" s="215" t="s">
        <v>296</v>
      </c>
    </row>
    <row r="61" spans="1:3">
      <c r="A61" s="215" t="s">
        <v>297</v>
      </c>
      <c r="B61" s="215" t="s">
        <v>295</v>
      </c>
      <c r="C61" s="215" t="s">
        <v>298</v>
      </c>
    </row>
    <row r="62" spans="1:3">
      <c r="A62" s="215" t="s">
        <v>299</v>
      </c>
      <c r="B62" s="215" t="s">
        <v>242</v>
      </c>
      <c r="C62" s="215" t="s">
        <v>300</v>
      </c>
    </row>
    <row r="63" ht="28" spans="1:3">
      <c r="A63" s="215" t="s">
        <v>301</v>
      </c>
      <c r="B63" s="215" t="s">
        <v>275</v>
      </c>
      <c r="C63" s="215" t="s">
        <v>302</v>
      </c>
    </row>
    <row r="64" ht="28" spans="1:3">
      <c r="A64" s="215" t="s">
        <v>303</v>
      </c>
      <c r="B64" s="215" t="s">
        <v>275</v>
      </c>
      <c r="C64" s="215" t="s">
        <v>304</v>
      </c>
    </row>
    <row r="65" ht="140" spans="1:3">
      <c r="A65" s="215" t="s">
        <v>305</v>
      </c>
      <c r="B65" s="215" t="s">
        <v>306</v>
      </c>
      <c r="C65" s="215" t="s">
        <v>307</v>
      </c>
    </row>
    <row r="66" spans="1:3">
      <c r="A66" s="215" t="s">
        <v>10</v>
      </c>
      <c r="B66" s="215" t="s">
        <v>244</v>
      </c>
      <c r="C66" s="215" t="s">
        <v>308</v>
      </c>
    </row>
  </sheetData>
  <mergeCells count="10">
    <mergeCell ref="A5:A6"/>
    <mergeCell ref="A7:A14"/>
    <mergeCell ref="A18:A33"/>
    <mergeCell ref="A34:A35"/>
    <mergeCell ref="A36:A39"/>
    <mergeCell ref="A40:A41"/>
    <mergeCell ref="A42:A47"/>
    <mergeCell ref="A48:A50"/>
    <mergeCell ref="A52:A53"/>
    <mergeCell ref="A55:A56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G15"/>
  <sheetViews>
    <sheetView zoomScale="190" zoomScaleNormal="190" workbookViewId="0">
      <pane ySplit="1" topLeftCell="A2" activePane="bottomLeft" state="frozen"/>
      <selection/>
      <selection pane="bottomLeft" activeCell="G16" sqref="G16"/>
    </sheetView>
  </sheetViews>
  <sheetFormatPr defaultColWidth="8.72727272727273" defaultRowHeight="14" outlineLevelCol="6"/>
  <cols>
    <col min="1" max="1" width="9.54545454545454" style="4"/>
    <col min="2" max="2" width="3.54545454545455" style="4" customWidth="1"/>
    <col min="3" max="3" width="4.27272727272727" style="4" customWidth="1"/>
    <col min="4" max="4" width="3.45454545454545" style="4" customWidth="1"/>
    <col min="5" max="5" width="8.72727272727273" style="203"/>
    <col min="6" max="6" width="9.52727272727273" style="4" customWidth="1"/>
    <col min="7" max="7" width="22.8181818181818" style="4" customWidth="1"/>
    <col min="8" max="16384" width="8.72727272727273" style="4"/>
  </cols>
  <sheetData>
    <row r="1" s="201" customFormat="1" ht="15" spans="1:7">
      <c r="A1" s="204" t="s">
        <v>309</v>
      </c>
      <c r="B1" s="205"/>
      <c r="C1" s="205"/>
      <c r="D1" s="206"/>
      <c r="E1" s="207"/>
      <c r="F1" s="201" t="s">
        <v>310</v>
      </c>
    </row>
    <row r="2" s="202" customFormat="1" spans="1:7">
      <c r="A2" s="208" t="s">
        <v>203</v>
      </c>
      <c r="B2" s="209"/>
      <c r="C2" s="202" t="s">
        <v>311</v>
      </c>
      <c r="D2" s="202" t="s">
        <v>312</v>
      </c>
      <c r="E2" s="142"/>
      <c r="F2" s="202" t="s">
        <v>203</v>
      </c>
      <c r="G2" s="202" t="s">
        <v>313</v>
      </c>
    </row>
    <row r="3" spans="1:7">
      <c r="A3" s="210">
        <v>2025.1</v>
      </c>
      <c r="B3" s="119">
        <v>11</v>
      </c>
      <c r="C3" s="119">
        <v>113</v>
      </c>
      <c r="D3" s="119"/>
      <c r="F3" s="119" t="s">
        <v>314</v>
      </c>
      <c r="G3" s="119" t="s">
        <v>315</v>
      </c>
    </row>
    <row r="4" spans="1:7">
      <c r="A4" s="211"/>
      <c r="B4" s="119">
        <v>15</v>
      </c>
      <c r="C4" s="119">
        <v>163</v>
      </c>
      <c r="D4" s="119"/>
      <c r="F4" s="119" t="s">
        <v>316</v>
      </c>
      <c r="G4" s="119" t="s">
        <v>317</v>
      </c>
    </row>
    <row r="5" spans="1:7">
      <c r="A5" s="211"/>
      <c r="B5" s="119">
        <v>17</v>
      </c>
      <c r="C5" s="119">
        <v>158</v>
      </c>
      <c r="D5" s="119"/>
      <c r="F5" s="119" t="s">
        <v>318</v>
      </c>
      <c r="G5" s="119" t="s">
        <v>319</v>
      </c>
    </row>
    <row r="6" spans="1:7">
      <c r="A6" s="211"/>
      <c r="B6" s="119">
        <v>22</v>
      </c>
      <c r="C6" s="119">
        <v>70</v>
      </c>
      <c r="D6" s="119"/>
      <c r="F6" s="212" t="s">
        <v>320</v>
      </c>
      <c r="G6" s="119" t="s">
        <v>321</v>
      </c>
    </row>
    <row r="7" spans="1:7">
      <c r="A7" s="211"/>
      <c r="B7" s="119">
        <v>24</v>
      </c>
      <c r="C7" s="119">
        <v>180</v>
      </c>
      <c r="D7" s="119"/>
      <c r="F7" s="213"/>
      <c r="G7" s="119" t="s">
        <v>322</v>
      </c>
    </row>
    <row r="8" spans="1:7">
      <c r="A8" s="211"/>
      <c r="B8" s="119">
        <v>29</v>
      </c>
      <c r="C8" s="119">
        <v>135</v>
      </c>
      <c r="D8" s="119"/>
      <c r="F8" s="119" t="s">
        <v>323</v>
      </c>
      <c r="G8" s="119" t="s">
        <v>324</v>
      </c>
    </row>
    <row r="9" spans="1:7">
      <c r="A9" s="213"/>
      <c r="B9" s="119">
        <v>31</v>
      </c>
      <c r="C9" s="119">
        <v>89</v>
      </c>
      <c r="D9" s="119"/>
      <c r="F9" s="119" t="s">
        <v>325</v>
      </c>
      <c r="G9" s="119" t="s">
        <v>326</v>
      </c>
    </row>
    <row r="10" spans="1:7">
      <c r="A10" s="212">
        <v>2025.11</v>
      </c>
      <c r="B10" s="119">
        <v>5</v>
      </c>
      <c r="C10" s="119">
        <v>118</v>
      </c>
      <c r="D10" s="119"/>
      <c r="F10" s="119" t="s">
        <v>327</v>
      </c>
      <c r="G10" s="119" t="s">
        <v>328</v>
      </c>
    </row>
    <row r="11" spans="1:7">
      <c r="A11" s="211"/>
      <c r="B11" s="119">
        <v>7</v>
      </c>
      <c r="C11" s="119">
        <v>119</v>
      </c>
      <c r="D11" s="119"/>
      <c r="F11" s="212" t="s">
        <v>329</v>
      </c>
      <c r="G11" s="119" t="s">
        <v>330</v>
      </c>
    </row>
    <row r="12" spans="1:7">
      <c r="A12" s="213"/>
      <c r="B12" s="119">
        <v>14</v>
      </c>
      <c r="C12" s="119">
        <v>63</v>
      </c>
      <c r="D12" s="119"/>
      <c r="F12" s="211"/>
      <c r="G12" s="119" t="s">
        <v>322</v>
      </c>
    </row>
    <row r="13" spans="1:7">
      <c r="A13" s="212">
        <v>2025.12</v>
      </c>
      <c r="B13" s="119">
        <v>26</v>
      </c>
      <c r="C13" s="119">
        <v>225</v>
      </c>
      <c r="D13" s="119">
        <v>74</v>
      </c>
      <c r="F13" s="213"/>
      <c r="G13" s="119" t="s">
        <v>324</v>
      </c>
    </row>
    <row r="14" spans="1:7">
      <c r="A14" s="213"/>
      <c r="B14" s="119">
        <v>31</v>
      </c>
      <c r="C14" s="119">
        <v>119</v>
      </c>
      <c r="D14" s="119">
        <v>38</v>
      </c>
      <c r="F14" s="119"/>
      <c r="G14" s="119"/>
    </row>
    <row r="15" spans="1:7">
      <c r="A15" s="4" t="s">
        <v>329</v>
      </c>
      <c r="C15" s="4">
        <v>15</v>
      </c>
    </row>
  </sheetData>
  <mergeCells count="8">
    <mergeCell ref="A1:D1"/>
    <mergeCell ref="F1:G1"/>
    <mergeCell ref="A2:B2"/>
    <mergeCell ref="A3:A9"/>
    <mergeCell ref="A10:A12"/>
    <mergeCell ref="A13:A14"/>
    <mergeCell ref="F6:F7"/>
    <mergeCell ref="F11:F13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8"/>
    <pageSetUpPr fitToPage="1"/>
  </sheetPr>
  <dimension ref="A1:BO55"/>
  <sheetViews>
    <sheetView tabSelected="1" zoomScale="115" zoomScaleNormal="115" workbookViewId="0">
      <pane xSplit="1" ySplit="2" topLeftCell="AL31" activePane="bottomRight" state="frozen"/>
      <selection/>
      <selection pane="topRight"/>
      <selection pane="bottomLeft"/>
      <selection pane="bottomRight" activeCell="BQ48" sqref="BQ48"/>
    </sheetView>
  </sheetViews>
  <sheetFormatPr defaultColWidth="8.72727272727273" defaultRowHeight="14"/>
  <cols>
    <col min="1" max="1" width="4.96363636363636" customWidth="1"/>
    <col min="2" max="60" width="3.23636363636364" customWidth="1"/>
    <col min="61" max="63" width="5.44545454545455" style="176" customWidth="1"/>
    <col min="64" max="64" width="7.18181818181818" style="176" customWidth="1"/>
    <col min="65" max="67" width="5.44545454545455" style="176" customWidth="1"/>
  </cols>
  <sheetData>
    <row r="1" spans="1:67">
      <c r="A1" s="177" t="s">
        <v>331</v>
      </c>
      <c r="B1" s="178" t="s">
        <v>332</v>
      </c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80" t="s">
        <v>333</v>
      </c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  <c r="AJ1" s="180" t="s">
        <v>334</v>
      </c>
      <c r="AK1" s="181"/>
      <c r="AL1" s="181"/>
      <c r="AM1" s="180" t="s">
        <v>335</v>
      </c>
      <c r="AN1" s="181"/>
      <c r="AO1" s="181"/>
      <c r="AP1" s="181"/>
      <c r="AQ1" s="181"/>
      <c r="AR1" s="181"/>
      <c r="AS1" s="181"/>
      <c r="AT1" s="181"/>
      <c r="AU1" s="181"/>
      <c r="AV1" s="181"/>
      <c r="AW1" s="181"/>
      <c r="AX1" s="181"/>
      <c r="AY1" s="181"/>
      <c r="AZ1" s="181"/>
      <c r="BA1" s="181"/>
      <c r="BB1" s="181"/>
      <c r="BC1" s="181"/>
      <c r="BD1" s="181"/>
      <c r="BE1" s="181"/>
      <c r="BF1" s="181"/>
      <c r="BG1" s="181"/>
      <c r="BH1" s="181"/>
      <c r="BI1" s="182" t="s">
        <v>336</v>
      </c>
      <c r="BJ1" s="183"/>
      <c r="BK1" s="183"/>
      <c r="BL1" s="183"/>
      <c r="BM1" s="183"/>
      <c r="BN1" s="183"/>
      <c r="BO1" s="184"/>
    </row>
    <row r="2" s="174" customFormat="1" ht="28" spans="1:67">
      <c r="A2" s="177"/>
      <c r="B2" s="185">
        <v>5</v>
      </c>
      <c r="C2" s="185">
        <v>6</v>
      </c>
      <c r="D2" s="185">
        <v>9</v>
      </c>
      <c r="E2" s="185">
        <v>10</v>
      </c>
      <c r="F2" s="185">
        <v>11</v>
      </c>
      <c r="G2" s="185">
        <v>12</v>
      </c>
      <c r="H2" s="185">
        <v>15</v>
      </c>
      <c r="I2" s="185">
        <v>16</v>
      </c>
      <c r="J2" s="185">
        <v>17</v>
      </c>
      <c r="K2" s="185">
        <v>18</v>
      </c>
      <c r="L2" s="185">
        <v>19</v>
      </c>
      <c r="M2" s="185">
        <v>22</v>
      </c>
      <c r="N2" s="185">
        <v>23</v>
      </c>
      <c r="O2" s="185">
        <v>25</v>
      </c>
      <c r="P2" s="185">
        <v>26</v>
      </c>
      <c r="Q2" s="185">
        <v>29</v>
      </c>
      <c r="R2" s="185">
        <v>30</v>
      </c>
      <c r="S2" s="185">
        <v>31</v>
      </c>
      <c r="T2" s="185">
        <v>4</v>
      </c>
      <c r="U2" s="185">
        <v>5</v>
      </c>
      <c r="V2" s="185">
        <v>6</v>
      </c>
      <c r="W2" s="185">
        <v>7</v>
      </c>
      <c r="X2" s="185">
        <v>8</v>
      </c>
      <c r="Y2" s="185">
        <v>11</v>
      </c>
      <c r="Z2" s="185">
        <v>12</v>
      </c>
      <c r="AA2" s="185">
        <v>13</v>
      </c>
      <c r="AB2" s="185">
        <v>14</v>
      </c>
      <c r="AC2" s="185">
        <v>15</v>
      </c>
      <c r="AD2" s="185">
        <v>16</v>
      </c>
      <c r="AE2" s="185">
        <v>19</v>
      </c>
      <c r="AF2" s="185">
        <v>20</v>
      </c>
      <c r="AG2" s="185">
        <v>21</v>
      </c>
      <c r="AH2" s="185">
        <v>22</v>
      </c>
      <c r="AI2" s="185">
        <v>23</v>
      </c>
      <c r="AJ2" s="185">
        <v>26</v>
      </c>
      <c r="AK2" s="185">
        <v>27</v>
      </c>
      <c r="AL2" s="185">
        <v>28</v>
      </c>
      <c r="AM2" s="185">
        <v>2</v>
      </c>
      <c r="AN2" s="185">
        <v>3</v>
      </c>
      <c r="AO2" s="185">
        <v>4</v>
      </c>
      <c r="AP2" s="185">
        <v>5</v>
      </c>
      <c r="AQ2" s="185">
        <v>6</v>
      </c>
      <c r="AR2" s="185">
        <v>9</v>
      </c>
      <c r="AS2" s="185">
        <v>10</v>
      </c>
      <c r="AT2" s="185">
        <v>11</v>
      </c>
      <c r="AU2" s="185">
        <v>12</v>
      </c>
      <c r="AV2" s="185">
        <v>13</v>
      </c>
      <c r="AW2" s="185">
        <v>16</v>
      </c>
      <c r="AX2" s="185">
        <v>17</v>
      </c>
      <c r="AY2" s="185">
        <v>18</v>
      </c>
      <c r="AZ2" s="185">
        <v>19</v>
      </c>
      <c r="BA2" s="185">
        <v>20</v>
      </c>
      <c r="BB2" s="185">
        <v>23</v>
      </c>
      <c r="BC2" s="185">
        <v>24</v>
      </c>
      <c r="BD2" s="185">
        <v>25</v>
      </c>
      <c r="BE2" s="185">
        <v>26</v>
      </c>
      <c r="BF2" s="185">
        <v>27</v>
      </c>
      <c r="BG2" s="185">
        <v>30</v>
      </c>
      <c r="BH2" s="185">
        <v>31</v>
      </c>
      <c r="BI2" s="186" t="s">
        <v>337</v>
      </c>
      <c r="BJ2" s="186" t="s">
        <v>338</v>
      </c>
      <c r="BK2" s="186" t="s">
        <v>339</v>
      </c>
      <c r="BL2" s="186" t="s">
        <v>340</v>
      </c>
      <c r="BM2" s="187" t="s">
        <v>341</v>
      </c>
      <c r="BN2" s="187" t="s">
        <v>342</v>
      </c>
      <c r="BO2" s="187" t="s">
        <v>343</v>
      </c>
    </row>
    <row r="3" customHeight="1" spans="1:67">
      <c r="A3" s="120">
        <v>1</v>
      </c>
      <c r="B3" s="120"/>
      <c r="C3" s="120"/>
      <c r="D3" s="120"/>
      <c r="E3" s="120"/>
      <c r="F3" s="120"/>
      <c r="G3" s="120"/>
      <c r="H3" s="120"/>
      <c r="I3" s="120"/>
      <c r="J3" s="120"/>
      <c r="K3" s="120"/>
      <c r="L3" s="120"/>
      <c r="M3" s="120"/>
      <c r="N3" s="120"/>
      <c r="O3" s="120"/>
      <c r="P3" s="120"/>
      <c r="Q3" s="120"/>
      <c r="R3" s="120"/>
      <c r="S3" s="120"/>
      <c r="T3" s="120"/>
      <c r="U3" s="120"/>
      <c r="V3" s="120"/>
      <c r="W3" s="120"/>
      <c r="X3" s="120"/>
      <c r="Y3" s="120">
        <v>1</v>
      </c>
      <c r="Z3" s="120"/>
      <c r="AA3" s="120"/>
      <c r="AB3" s="120"/>
      <c r="AC3" s="120"/>
      <c r="AD3" s="120"/>
      <c r="AE3" s="120"/>
      <c r="AF3" s="120"/>
      <c r="AG3" s="120"/>
      <c r="AH3" s="120"/>
      <c r="AI3" s="120"/>
      <c r="AJ3" s="120"/>
      <c r="AK3" s="120"/>
      <c r="AL3" s="120"/>
      <c r="AM3" s="120"/>
      <c r="AN3" s="120"/>
      <c r="AO3" s="120"/>
      <c r="AP3" s="120"/>
      <c r="AQ3" s="120"/>
      <c r="AR3" s="120"/>
      <c r="AS3" s="120"/>
      <c r="AT3" s="120"/>
      <c r="AU3" s="120"/>
      <c r="AV3" s="120"/>
      <c r="AW3" s="120"/>
      <c r="AX3" s="120"/>
      <c r="AY3" s="120"/>
      <c r="AZ3" s="120"/>
      <c r="BA3" s="120">
        <v>2</v>
      </c>
      <c r="BB3" s="120"/>
      <c r="BC3" s="120"/>
      <c r="BD3" s="120"/>
      <c r="BE3" s="120"/>
      <c r="BF3" s="120"/>
      <c r="BG3" s="120"/>
      <c r="BH3" s="120"/>
      <c r="BI3" s="188">
        <f t="shared" ref="BI3:BI53" si="0">SUM(B3:BC3)</f>
        <v>3</v>
      </c>
      <c r="BJ3" s="188" cm="1">
        <f t="array" ref="BJ3">SUMPRODUCT(--(B3:BC3=INT(B3:BC3)),--(B3:BC3&gt;0))</f>
        <v>2</v>
      </c>
      <c r="BK3" s="188" cm="1">
        <f t="array" ref="BK3">MAX(FREQUENCY(IF((B3:BC3=INT(B3:BC3))*(B3:BC3&gt;0),COLUMN(B3:BC3)),IF((B3:BC3&lt;&gt;INT(B3:BC3))+(B3:BC3&lt;=0),COLUMN(B3:BC3))))</f>
        <v>1</v>
      </c>
      <c r="BL3" s="189" cm="1">
        <f t="array" ref="BL3">SUMPRODUCT(--(B3:BA3=INT(B3:BA3)),--(B3:BA3&gt;0))/52*100%</f>
        <v>0.0384615384615385</v>
      </c>
      <c r="BM3" s="190">
        <f t="shared" ref="BM3:BM53" si="1">RANK(BI3,BI$3:BI$53,0)</f>
        <v>31</v>
      </c>
      <c r="BN3" s="190">
        <f t="shared" ref="BN3:BN53" si="2">RANK(BJ3,BJ$3:BJ$53,0)</f>
        <v>32</v>
      </c>
      <c r="BO3" s="190">
        <f t="shared" ref="BO3:BO53" si="3">RANK(BK3,BK$3:BK$53,0)</f>
        <v>22</v>
      </c>
    </row>
    <row r="4" customHeight="1" spans="1:67">
      <c r="A4" s="4">
        <v>2</v>
      </c>
      <c r="B4" s="120">
        <v>1</v>
      </c>
      <c r="C4" s="120">
        <v>1</v>
      </c>
      <c r="D4" s="120">
        <v>1</v>
      </c>
      <c r="E4" s="120"/>
      <c r="F4" s="120"/>
      <c r="G4" s="120"/>
      <c r="H4" s="120"/>
      <c r="I4" s="120">
        <v>1</v>
      </c>
      <c r="J4" s="120">
        <v>1</v>
      </c>
      <c r="K4" s="120">
        <v>1</v>
      </c>
      <c r="L4" s="120"/>
      <c r="M4" s="120"/>
      <c r="N4" s="120"/>
      <c r="O4" s="120"/>
      <c r="P4" s="120"/>
      <c r="Q4" s="120">
        <v>1</v>
      </c>
      <c r="R4" s="120"/>
      <c r="S4" s="120">
        <v>2</v>
      </c>
      <c r="T4" s="120">
        <v>1</v>
      </c>
      <c r="U4" s="120"/>
      <c r="V4" s="120"/>
      <c r="W4" s="120"/>
      <c r="X4" s="120"/>
      <c r="Y4" s="120">
        <v>1</v>
      </c>
      <c r="Z4" s="120"/>
      <c r="AA4" s="120"/>
      <c r="AB4" s="120"/>
      <c r="AC4" s="120"/>
      <c r="AD4" s="120"/>
      <c r="AE4" s="120"/>
      <c r="AF4" s="120">
        <v>1</v>
      </c>
      <c r="AG4" s="120"/>
      <c r="AH4" s="120"/>
      <c r="AI4" s="120"/>
      <c r="AJ4" s="120"/>
      <c r="AK4" s="120"/>
      <c r="AL4" s="120"/>
      <c r="AM4" s="120"/>
      <c r="AN4" s="120">
        <v>1</v>
      </c>
      <c r="AO4" s="120"/>
      <c r="AP4" s="120"/>
      <c r="AQ4" s="120"/>
      <c r="AR4" s="120">
        <v>1</v>
      </c>
      <c r="AS4" s="120">
        <v>1</v>
      </c>
      <c r="AT4" s="120">
        <v>1</v>
      </c>
      <c r="AU4" s="120">
        <v>2</v>
      </c>
      <c r="AV4" s="120">
        <v>1</v>
      </c>
      <c r="AW4" s="120">
        <v>1</v>
      </c>
      <c r="AX4" s="120"/>
      <c r="AY4" s="120">
        <v>1</v>
      </c>
      <c r="AZ4" s="120">
        <v>1</v>
      </c>
      <c r="BA4" s="120">
        <v>1</v>
      </c>
      <c r="BB4" s="120">
        <v>1</v>
      </c>
      <c r="BC4" s="120"/>
      <c r="BD4" s="120"/>
      <c r="BE4" s="120"/>
      <c r="BF4" s="120"/>
      <c r="BG4" s="120"/>
      <c r="BH4" s="120"/>
      <c r="BI4" s="188">
        <f t="shared" si="0"/>
        <v>24</v>
      </c>
      <c r="BJ4" s="188" cm="1">
        <f t="array" ref="BJ4">SUMPRODUCT(--(B4:BC4=INT(B4:BC4)),--(B4:BC4&gt;0))</f>
        <v>22</v>
      </c>
      <c r="BK4" s="188" cm="1">
        <f t="array" ref="BK4">MAX(FREQUENCY(IF((B4:BC4=INT(B4:BC4))*(B4:BC4&gt;0),COLUMN(B4:BC4)),IF((B4:BC4&lt;&gt;INT(B4:BC4))+(B4:BC4&lt;=0),COLUMN(B4:BC4))))</f>
        <v>6</v>
      </c>
      <c r="BL4" s="189" cm="1">
        <f t="array" ref="BL4">SUMPRODUCT(--(B4:BA4=INT(B4:BA4)),--(B4:BA4&gt;0))/52*100%</f>
        <v>0.403846153846154</v>
      </c>
      <c r="BM4" s="190">
        <f t="shared" si="1"/>
        <v>7</v>
      </c>
      <c r="BN4" s="190">
        <f t="shared" si="2"/>
        <v>5</v>
      </c>
      <c r="BO4" s="190">
        <f t="shared" si="3"/>
        <v>3</v>
      </c>
    </row>
    <row r="5" customHeight="1" spans="1:67">
      <c r="A5" s="4">
        <v>3</v>
      </c>
      <c r="B5" s="120"/>
      <c r="C5" s="120"/>
      <c r="D5" s="120"/>
      <c r="E5" s="120"/>
      <c r="F5" s="120"/>
      <c r="G5" s="120"/>
      <c r="H5" s="120"/>
      <c r="I5" s="120"/>
      <c r="J5" s="120"/>
      <c r="K5" s="120">
        <v>1</v>
      </c>
      <c r="L5" s="120"/>
      <c r="M5" s="120"/>
      <c r="N5" s="120"/>
      <c r="O5" s="120"/>
      <c r="P5" s="120"/>
      <c r="Q5" s="120"/>
      <c r="R5" s="120"/>
      <c r="S5" s="120"/>
      <c r="T5" s="120">
        <v>1</v>
      </c>
      <c r="U5" s="120"/>
      <c r="V5" s="120"/>
      <c r="W5" s="120"/>
      <c r="X5" s="120"/>
      <c r="Y5" s="120"/>
      <c r="Z5" s="120"/>
      <c r="AA5" s="120"/>
      <c r="AB5" s="120"/>
      <c r="AC5" s="120"/>
      <c r="AD5" s="120"/>
      <c r="AE5" s="120"/>
      <c r="AF5" s="120"/>
      <c r="AG5" s="120"/>
      <c r="AH5" s="120"/>
      <c r="AI5" s="120"/>
      <c r="AJ5" s="120"/>
      <c r="AK5" s="120"/>
      <c r="AL5" s="120"/>
      <c r="AM5" s="120"/>
      <c r="AN5" s="120"/>
      <c r="AO5" s="120"/>
      <c r="AP5" s="120"/>
      <c r="AQ5" s="120"/>
      <c r="AR5" s="120"/>
      <c r="AS5" s="120"/>
      <c r="AT5" s="120"/>
      <c r="AU5" s="120"/>
      <c r="AV5" s="120"/>
      <c r="AW5" s="120"/>
      <c r="AX5" s="120"/>
      <c r="AY5" s="120"/>
      <c r="AZ5" s="120"/>
      <c r="BA5" s="120"/>
      <c r="BB5" s="120"/>
      <c r="BC5" s="120"/>
      <c r="BD5" s="120"/>
      <c r="BE5" s="120"/>
      <c r="BF5" s="120"/>
      <c r="BG5" s="120"/>
      <c r="BH5" s="120"/>
      <c r="BI5" s="188">
        <f t="shared" si="0"/>
        <v>2</v>
      </c>
      <c r="BJ5" s="188" cm="1">
        <f t="array" ref="BJ5">SUMPRODUCT(--(B5:BC5=INT(B5:BC5)),--(B5:BC5&gt;0))</f>
        <v>2</v>
      </c>
      <c r="BK5" s="188" cm="1">
        <f t="array" ref="BK5">MAX(FREQUENCY(IF((B5:BC5=INT(B5:BC5))*(B5:BC5&gt;0),COLUMN(B5:BC5)),IF((B5:BC5&lt;&gt;INT(B5:BC5))+(B5:BC5&lt;=0),COLUMN(B5:BC5))))</f>
        <v>1</v>
      </c>
      <c r="BL5" s="189" cm="1">
        <f t="array" ref="BL5">SUMPRODUCT(--(B5:BA5=INT(B5:BA5)),--(B5:BA5&gt;0))/52*100%</f>
        <v>0.0384615384615385</v>
      </c>
      <c r="BM5" s="190">
        <f t="shared" si="1"/>
        <v>33</v>
      </c>
      <c r="BN5" s="190">
        <f t="shared" si="2"/>
        <v>32</v>
      </c>
      <c r="BO5" s="190">
        <f t="shared" si="3"/>
        <v>22</v>
      </c>
    </row>
    <row r="6" customHeight="1" spans="1:67">
      <c r="A6" s="4">
        <v>4</v>
      </c>
      <c r="B6" s="120"/>
      <c r="C6" s="120"/>
      <c r="D6" s="120"/>
      <c r="E6" s="120"/>
      <c r="F6" s="120"/>
      <c r="G6" s="120"/>
      <c r="H6" s="120"/>
      <c r="I6" s="120"/>
      <c r="J6" s="120"/>
      <c r="K6" s="120"/>
      <c r="L6" s="120">
        <v>1</v>
      </c>
      <c r="M6" s="120"/>
      <c r="N6" s="120"/>
      <c r="O6" s="120"/>
      <c r="P6" s="120"/>
      <c r="Q6" s="120">
        <v>1</v>
      </c>
      <c r="R6" s="120"/>
      <c r="S6" s="120"/>
      <c r="T6" s="120"/>
      <c r="U6" s="120"/>
      <c r="V6" s="120"/>
      <c r="W6" s="120"/>
      <c r="X6" s="120"/>
      <c r="Y6" s="120"/>
      <c r="Z6" s="120"/>
      <c r="AA6" s="120"/>
      <c r="AB6" s="120"/>
      <c r="AC6" s="120"/>
      <c r="AD6" s="120"/>
      <c r="AE6" s="120"/>
      <c r="AF6" s="120"/>
      <c r="AG6" s="120"/>
      <c r="AH6" s="120"/>
      <c r="AI6" s="120"/>
      <c r="AJ6" s="120">
        <v>1</v>
      </c>
      <c r="AK6" s="120"/>
      <c r="AL6" s="120"/>
      <c r="AM6" s="120"/>
      <c r="AN6" s="120"/>
      <c r="AO6" s="120">
        <v>1</v>
      </c>
      <c r="AP6" s="120"/>
      <c r="AQ6" s="120"/>
      <c r="AR6" s="120">
        <v>1</v>
      </c>
      <c r="AS6" s="120">
        <v>1</v>
      </c>
      <c r="AT6" s="120">
        <v>1</v>
      </c>
      <c r="AU6" s="120"/>
      <c r="AV6" s="120"/>
      <c r="AW6" s="120"/>
      <c r="AX6" s="120"/>
      <c r="AY6" s="120">
        <v>1</v>
      </c>
      <c r="AZ6" s="120"/>
      <c r="BA6" s="120">
        <v>1</v>
      </c>
      <c r="BB6" s="120"/>
      <c r="BC6" s="120"/>
      <c r="BD6" s="120"/>
      <c r="BE6" s="120"/>
      <c r="BF6" s="120"/>
      <c r="BG6" s="120"/>
      <c r="BH6" s="120"/>
      <c r="BI6" s="188">
        <f t="shared" si="0"/>
        <v>9</v>
      </c>
      <c r="BJ6" s="188" cm="1">
        <f t="array" ref="BJ6">SUMPRODUCT(--(B6:BC6=INT(B6:BC6)),--(B6:BC6&gt;0))</f>
        <v>9</v>
      </c>
      <c r="BK6" s="188" cm="1">
        <f t="array" ref="BK6">MAX(FREQUENCY(IF((B6:BC6=INT(B6:BC6))*(B6:BC6&gt;0),COLUMN(B6:BC6)),IF((B6:BC6&lt;&gt;INT(B6:BC6))+(B6:BC6&lt;=0),COLUMN(B6:BC6))))</f>
        <v>3</v>
      </c>
      <c r="BL6" s="189" cm="1">
        <f t="array" ref="BL6">SUMPRODUCT(--(B6:BA6=INT(B6:BA6)),--(B6:BA6&gt;0))/52*100%</f>
        <v>0.173076923076923</v>
      </c>
      <c r="BM6" s="190">
        <f t="shared" si="1"/>
        <v>20</v>
      </c>
      <c r="BN6" s="190">
        <f t="shared" si="2"/>
        <v>20</v>
      </c>
      <c r="BO6" s="190">
        <f t="shared" si="3"/>
        <v>11</v>
      </c>
    </row>
    <row r="7" customHeight="1" spans="1:67">
      <c r="A7" s="4">
        <v>5</v>
      </c>
      <c r="B7" s="120">
        <v>1</v>
      </c>
      <c r="C7" s="120"/>
      <c r="D7" s="120">
        <v>2</v>
      </c>
      <c r="E7" s="120"/>
      <c r="F7" s="120"/>
      <c r="G7" s="120">
        <v>1</v>
      </c>
      <c r="H7" s="120"/>
      <c r="I7" s="120"/>
      <c r="J7" s="120"/>
      <c r="K7" s="120"/>
      <c r="L7" s="120"/>
      <c r="M7" s="120"/>
      <c r="N7" s="120"/>
      <c r="O7" s="120"/>
      <c r="P7" s="120"/>
      <c r="Q7" s="120"/>
      <c r="R7" s="120"/>
      <c r="S7" s="120"/>
      <c r="T7" s="120"/>
      <c r="U7" s="120"/>
      <c r="V7" s="120"/>
      <c r="W7" s="120"/>
      <c r="X7" s="120"/>
      <c r="Y7" s="120"/>
      <c r="Z7" s="120"/>
      <c r="AA7" s="120"/>
      <c r="AB7" s="120"/>
      <c r="AC7" s="120"/>
      <c r="AD7" s="120"/>
      <c r="AE7" s="120"/>
      <c r="AF7" s="120"/>
      <c r="AG7" s="120"/>
      <c r="AH7" s="120"/>
      <c r="AI7" s="120"/>
      <c r="AJ7" s="120"/>
      <c r="AK7" s="120"/>
      <c r="AL7" s="120"/>
      <c r="AM7" s="120"/>
      <c r="AN7" s="120"/>
      <c r="AO7" s="120"/>
      <c r="AP7" s="120"/>
      <c r="AQ7" s="120"/>
      <c r="AR7" s="120"/>
      <c r="AS7" s="120"/>
      <c r="AT7" s="120"/>
      <c r="AU7" s="120"/>
      <c r="AV7" s="120"/>
      <c r="AW7" s="120"/>
      <c r="AX7" s="120"/>
      <c r="AY7" s="120">
        <v>1</v>
      </c>
      <c r="AZ7" s="120"/>
      <c r="BA7" s="120"/>
      <c r="BB7" s="120">
        <v>1</v>
      </c>
      <c r="BC7" s="120"/>
      <c r="BD7" s="120"/>
      <c r="BE7" s="120"/>
      <c r="BF7" s="120"/>
      <c r="BG7" s="120"/>
      <c r="BH7" s="120"/>
      <c r="BI7" s="188">
        <f t="shared" si="0"/>
        <v>6</v>
      </c>
      <c r="BJ7" s="188" cm="1">
        <f t="array" ref="BJ7">SUMPRODUCT(--(B7:BC7=INT(B7:BC7)),--(B7:BC7&gt;0))</f>
        <v>5</v>
      </c>
      <c r="BK7" s="188" cm="1">
        <f t="array" ref="BK7">MAX(FREQUENCY(IF((B7:BC7=INT(B7:BC7))*(B7:BC7&gt;0),COLUMN(B7:BC7)),IF((B7:BC7&lt;&gt;INT(B7:BC7))+(B7:BC7&lt;=0),COLUMN(B7:BC7))))</f>
        <v>1</v>
      </c>
      <c r="BL7" s="189" cm="1">
        <f t="array" ref="BL7">SUMPRODUCT(--(B7:BA7=INT(B7:BA7)),--(B7:BA7&gt;0))/52*100%</f>
        <v>0.0769230769230769</v>
      </c>
      <c r="BM7" s="190">
        <f t="shared" si="1"/>
        <v>23</v>
      </c>
      <c r="BN7" s="190">
        <f t="shared" si="2"/>
        <v>24</v>
      </c>
      <c r="BO7" s="190">
        <f t="shared" si="3"/>
        <v>22</v>
      </c>
    </row>
    <row r="8" customHeight="1" spans="1:67">
      <c r="A8" s="4">
        <v>6</v>
      </c>
      <c r="B8" s="120">
        <v>1</v>
      </c>
      <c r="C8" s="120">
        <v>1</v>
      </c>
      <c r="D8" s="120">
        <v>1</v>
      </c>
      <c r="E8" s="120">
        <v>1</v>
      </c>
      <c r="F8" s="120"/>
      <c r="G8" s="120"/>
      <c r="H8" s="120">
        <v>1</v>
      </c>
      <c r="I8" s="120">
        <v>1</v>
      </c>
      <c r="J8" s="120">
        <v>1</v>
      </c>
      <c r="K8" s="120"/>
      <c r="L8" s="120">
        <v>1</v>
      </c>
      <c r="M8" s="120"/>
      <c r="N8" s="120">
        <v>1</v>
      </c>
      <c r="O8" s="120"/>
      <c r="P8" s="120">
        <v>1</v>
      </c>
      <c r="Q8" s="120">
        <v>1</v>
      </c>
      <c r="R8" s="120">
        <v>1</v>
      </c>
      <c r="S8" s="120">
        <v>1</v>
      </c>
      <c r="T8" s="120">
        <v>1</v>
      </c>
      <c r="U8" s="120"/>
      <c r="V8" s="120">
        <v>1</v>
      </c>
      <c r="W8" s="120">
        <v>1</v>
      </c>
      <c r="X8" s="120"/>
      <c r="Y8" s="120"/>
      <c r="Z8" s="120"/>
      <c r="AA8" s="120"/>
      <c r="AB8" s="120"/>
      <c r="AC8" s="120"/>
      <c r="AD8" s="120"/>
      <c r="AE8" s="120"/>
      <c r="AF8" s="120"/>
      <c r="AG8" s="120"/>
      <c r="AH8" s="120"/>
      <c r="AI8" s="120"/>
      <c r="AJ8" s="120">
        <v>1</v>
      </c>
      <c r="AK8" s="120">
        <v>1</v>
      </c>
      <c r="AL8" s="120"/>
      <c r="AM8" s="120">
        <v>1</v>
      </c>
      <c r="AN8" s="120">
        <v>1</v>
      </c>
      <c r="AO8" s="120"/>
      <c r="AP8" s="120"/>
      <c r="AQ8" s="120"/>
      <c r="AR8" s="120">
        <v>1</v>
      </c>
      <c r="AS8" s="120">
        <v>1</v>
      </c>
      <c r="AT8" s="120">
        <v>1</v>
      </c>
      <c r="AU8" s="120">
        <v>1</v>
      </c>
      <c r="AV8" s="120">
        <v>1</v>
      </c>
      <c r="AW8" s="120"/>
      <c r="AX8" s="120"/>
      <c r="AY8" s="120">
        <v>1</v>
      </c>
      <c r="AZ8" s="120">
        <v>1</v>
      </c>
      <c r="BA8" s="120"/>
      <c r="BB8" s="120"/>
      <c r="BC8" s="120"/>
      <c r="BD8" s="120"/>
      <c r="BE8" s="120"/>
      <c r="BF8" s="120"/>
      <c r="BG8" s="120"/>
      <c r="BH8" s="120"/>
      <c r="BI8" s="188">
        <f t="shared" si="0"/>
        <v>27</v>
      </c>
      <c r="BJ8" s="188" cm="1">
        <f t="array" ref="BJ8">SUMPRODUCT(--(B8:BC8=INT(B8:BC8)),--(B8:BC8&gt;0))</f>
        <v>27</v>
      </c>
      <c r="BK8" s="188" cm="1">
        <f t="array" ref="BK8">MAX(FREQUENCY(IF((B8:BC8=INT(B8:BC8))*(B8:BC8&gt;0),COLUMN(B8:BC8)),IF((B8:BC8&lt;&gt;INT(B8:BC8))+(B8:BC8&lt;=0),COLUMN(B8:BC8))))</f>
        <v>5</v>
      </c>
      <c r="BL8" s="189" cm="1">
        <f t="array" ref="BL8">SUMPRODUCT(--(B8:BA8=INT(B8:BA8)),--(B8:BA8&gt;0))/52*100%</f>
        <v>0.519230769230769</v>
      </c>
      <c r="BM8" s="190">
        <f t="shared" si="1"/>
        <v>4</v>
      </c>
      <c r="BN8" s="190">
        <f t="shared" si="2"/>
        <v>3</v>
      </c>
      <c r="BO8" s="190">
        <f t="shared" si="3"/>
        <v>4</v>
      </c>
    </row>
    <row r="9" customHeight="1" spans="1:67">
      <c r="A9" s="4">
        <v>7</v>
      </c>
      <c r="B9" s="120">
        <v>1</v>
      </c>
      <c r="C9" s="120"/>
      <c r="D9" s="120"/>
      <c r="E9" s="120"/>
      <c r="F9" s="120"/>
      <c r="G9" s="120"/>
      <c r="H9" s="120">
        <v>1</v>
      </c>
      <c r="I9" s="120">
        <v>1</v>
      </c>
      <c r="J9" s="120">
        <v>1</v>
      </c>
      <c r="K9" s="120"/>
      <c r="L9" s="120"/>
      <c r="M9" s="120">
        <v>1</v>
      </c>
      <c r="N9" s="120"/>
      <c r="O9" s="120"/>
      <c r="P9" s="120"/>
      <c r="Q9" s="120"/>
      <c r="R9" s="120">
        <v>1</v>
      </c>
      <c r="S9" s="120">
        <v>1</v>
      </c>
      <c r="T9" s="120">
        <v>1</v>
      </c>
      <c r="U9" s="120"/>
      <c r="V9" s="120"/>
      <c r="W9" s="120"/>
      <c r="X9" s="120"/>
      <c r="Y9" s="120">
        <v>1</v>
      </c>
      <c r="Z9" s="120"/>
      <c r="AA9" s="120"/>
      <c r="AB9" s="120"/>
      <c r="AC9" s="120">
        <v>1</v>
      </c>
      <c r="AD9" s="120"/>
      <c r="AE9" s="120"/>
      <c r="AF9" s="120"/>
      <c r="AG9" s="120"/>
      <c r="AH9" s="120"/>
      <c r="AI9" s="120"/>
      <c r="AJ9" s="120">
        <v>1</v>
      </c>
      <c r="AK9" s="120">
        <v>1</v>
      </c>
      <c r="AL9" s="120"/>
      <c r="AM9" s="120"/>
      <c r="AN9" s="120"/>
      <c r="AO9" s="120">
        <v>1</v>
      </c>
      <c r="AP9" s="120"/>
      <c r="AQ9" s="120"/>
      <c r="AR9" s="120">
        <v>1</v>
      </c>
      <c r="AS9" s="120">
        <v>1</v>
      </c>
      <c r="AT9" s="120"/>
      <c r="AU9" s="120">
        <v>1</v>
      </c>
      <c r="AV9" s="120">
        <v>1</v>
      </c>
      <c r="AW9" s="120">
        <v>1</v>
      </c>
      <c r="AX9" s="120"/>
      <c r="AY9" s="120"/>
      <c r="AZ9" s="120">
        <v>1</v>
      </c>
      <c r="BA9" s="120">
        <v>1</v>
      </c>
      <c r="BB9" s="120"/>
      <c r="BC9" s="120"/>
      <c r="BD9" s="120"/>
      <c r="BE9" s="120"/>
      <c r="BF9" s="120"/>
      <c r="BG9" s="120"/>
      <c r="BH9" s="120"/>
      <c r="BI9" s="188">
        <f t="shared" si="0"/>
        <v>20</v>
      </c>
      <c r="BJ9" s="188" cm="1">
        <f t="array" ref="BJ9">SUMPRODUCT(--(B9:BC9=INT(B9:BC9)),--(B9:BC9&gt;0))</f>
        <v>20</v>
      </c>
      <c r="BK9" s="188" cm="1">
        <f t="array" ref="BK9">MAX(FREQUENCY(IF((B9:BC9=INT(B9:BC9))*(B9:BC9&gt;0),COLUMN(B9:BC9)),IF((B9:BC9&lt;&gt;INT(B9:BC9))+(B9:BC9&lt;=0),COLUMN(B9:BC9))))</f>
        <v>3</v>
      </c>
      <c r="BL9" s="189" cm="1">
        <f t="array" ref="BL9">SUMPRODUCT(--(B9:BA9=INT(B9:BA9)),--(B9:BA9&gt;0))/52*100%</f>
        <v>0.384615384615385</v>
      </c>
      <c r="BM9" s="190">
        <f t="shared" si="1"/>
        <v>11</v>
      </c>
      <c r="BN9" s="190">
        <f t="shared" si="2"/>
        <v>7</v>
      </c>
      <c r="BO9" s="190">
        <f t="shared" si="3"/>
        <v>11</v>
      </c>
    </row>
    <row r="10" customHeight="1" spans="1:67">
      <c r="A10" s="120">
        <v>8</v>
      </c>
      <c r="B10" s="120"/>
      <c r="C10" s="120"/>
      <c r="D10" s="120"/>
      <c r="E10" s="120"/>
      <c r="F10" s="120"/>
      <c r="G10" s="120"/>
      <c r="H10" s="120"/>
      <c r="I10" s="120"/>
      <c r="J10" s="120"/>
      <c r="K10" s="120"/>
      <c r="L10" s="120"/>
      <c r="M10" s="120"/>
      <c r="N10" s="120"/>
      <c r="O10" s="120"/>
      <c r="P10" s="120"/>
      <c r="Q10" s="120"/>
      <c r="R10" s="120"/>
      <c r="S10" s="120"/>
      <c r="T10" s="120"/>
      <c r="U10" s="120"/>
      <c r="V10" s="120"/>
      <c r="W10" s="120"/>
      <c r="X10" s="120"/>
      <c r="Y10" s="120">
        <v>1</v>
      </c>
      <c r="Z10" s="120"/>
      <c r="AA10" s="120"/>
      <c r="AB10" s="120"/>
      <c r="AC10" s="120"/>
      <c r="AD10" s="120"/>
      <c r="AE10" s="120"/>
      <c r="AF10" s="120"/>
      <c r="AG10" s="120"/>
      <c r="AH10" s="120"/>
      <c r="AI10" s="120"/>
      <c r="AJ10" s="120"/>
      <c r="AK10" s="120"/>
      <c r="AL10" s="120"/>
      <c r="AM10" s="120"/>
      <c r="AN10" s="120"/>
      <c r="AO10" s="120"/>
      <c r="AP10" s="120"/>
      <c r="AQ10" s="120"/>
      <c r="AR10" s="120"/>
      <c r="AS10" s="120"/>
      <c r="AT10" s="120"/>
      <c r="AU10" s="120"/>
      <c r="AV10" s="120"/>
      <c r="AW10" s="120"/>
      <c r="AX10" s="120"/>
      <c r="AY10" s="120"/>
      <c r="AZ10" s="120"/>
      <c r="BA10" s="120"/>
      <c r="BB10" s="120"/>
      <c r="BC10" s="120"/>
      <c r="BD10" s="120"/>
      <c r="BE10" s="120"/>
      <c r="BF10" s="120"/>
      <c r="BG10" s="120"/>
      <c r="BH10" s="120"/>
      <c r="BI10" s="188">
        <f t="shared" si="0"/>
        <v>1</v>
      </c>
      <c r="BJ10" s="188" cm="1">
        <f t="array" ref="BJ10">SUMPRODUCT(--(B10:BC10=INT(B10:BC10)),--(B10:BC10&gt;0))</f>
        <v>1</v>
      </c>
      <c r="BK10" s="188" cm="1">
        <f t="array" ref="BK10">MAX(FREQUENCY(IF((B10:BC10=INT(B10:BC10))*(B10:BC10&gt;0),COLUMN(B10:BC10)),IF((B10:BC10&lt;&gt;INT(B10:BC10))+(B10:BC10&lt;=0),COLUMN(B10:BC10))))</f>
        <v>1</v>
      </c>
      <c r="BL10" s="189" cm="1">
        <f t="array" ref="BL10">SUMPRODUCT(--(B10:BA10=INT(B10:BA10)),--(B10:BA10&gt;0))/52*100%</f>
        <v>0.0192307692307692</v>
      </c>
      <c r="BM10" s="190">
        <f t="shared" si="1"/>
        <v>35</v>
      </c>
      <c r="BN10" s="190">
        <f t="shared" si="2"/>
        <v>35</v>
      </c>
      <c r="BO10" s="190">
        <f t="shared" si="3"/>
        <v>22</v>
      </c>
    </row>
    <row r="11" customHeight="1" spans="1:67">
      <c r="A11" s="4">
        <v>9</v>
      </c>
      <c r="B11" s="120"/>
      <c r="C11" s="120"/>
      <c r="D11" s="120"/>
      <c r="E11" s="120"/>
      <c r="F11" s="120"/>
      <c r="G11" s="120"/>
      <c r="H11" s="120"/>
      <c r="I11" s="120"/>
      <c r="J11" s="120"/>
      <c r="K11" s="120"/>
      <c r="L11" s="120">
        <v>1</v>
      </c>
      <c r="M11" s="120"/>
      <c r="N11" s="120">
        <v>1</v>
      </c>
      <c r="O11" s="120"/>
      <c r="P11" s="120"/>
      <c r="Q11" s="120">
        <v>1</v>
      </c>
      <c r="R11" s="120"/>
      <c r="S11" s="120"/>
      <c r="T11" s="120"/>
      <c r="U11" s="120">
        <v>1</v>
      </c>
      <c r="V11" s="120"/>
      <c r="W11" s="120"/>
      <c r="X11" s="120"/>
      <c r="Y11" s="120"/>
      <c r="Z11" s="120"/>
      <c r="AA11" s="120">
        <v>1</v>
      </c>
      <c r="AB11" s="120"/>
      <c r="AC11" s="120"/>
      <c r="AD11" s="120">
        <v>1</v>
      </c>
      <c r="AE11" s="120"/>
      <c r="AF11" s="120">
        <v>1</v>
      </c>
      <c r="AG11" s="120"/>
      <c r="AH11" s="120"/>
      <c r="AI11" s="120"/>
      <c r="AJ11" s="120"/>
      <c r="AK11" s="120"/>
      <c r="AL11" s="120"/>
      <c r="AM11" s="120"/>
      <c r="AN11" s="120"/>
      <c r="AO11" s="120"/>
      <c r="AP11" s="120"/>
      <c r="AQ11" s="120">
        <v>1</v>
      </c>
      <c r="AR11" s="120"/>
      <c r="AS11" s="120">
        <v>1</v>
      </c>
      <c r="AT11" s="120">
        <v>1</v>
      </c>
      <c r="AU11" s="120"/>
      <c r="AV11" s="120"/>
      <c r="AW11" s="120"/>
      <c r="AX11" s="120"/>
      <c r="AY11" s="120"/>
      <c r="AZ11" s="120">
        <v>1</v>
      </c>
      <c r="BA11" s="120">
        <v>2</v>
      </c>
      <c r="BB11" s="120"/>
      <c r="BC11" s="120"/>
      <c r="BD11" s="120"/>
      <c r="BE11" s="120"/>
      <c r="BF11" s="120"/>
      <c r="BG11" s="120"/>
      <c r="BH11" s="120"/>
      <c r="BI11" s="188">
        <f t="shared" si="0"/>
        <v>13</v>
      </c>
      <c r="BJ11" s="188" cm="1">
        <f t="array" ref="BJ11">SUMPRODUCT(--(B11:BC11=INT(B11:BC11)),--(B11:BC11&gt;0))</f>
        <v>12</v>
      </c>
      <c r="BK11" s="188" cm="1">
        <f t="array" ref="BK11">MAX(FREQUENCY(IF((B11:BC11=INT(B11:BC11))*(B11:BC11&gt;0),COLUMN(B11:BC11)),IF((B11:BC11&lt;&gt;INT(B11:BC11))+(B11:BC11&lt;=0),COLUMN(B11:BC11))))</f>
        <v>2</v>
      </c>
      <c r="BL11" s="189" cm="1">
        <f t="array" ref="BL11">SUMPRODUCT(--(B11:BA11=INT(B11:BA11)),--(B11:BA11&gt;0))/52*100%</f>
        <v>0.230769230769231</v>
      </c>
      <c r="BM11" s="190">
        <f t="shared" si="1"/>
        <v>14</v>
      </c>
      <c r="BN11" s="190">
        <f t="shared" si="2"/>
        <v>15</v>
      </c>
      <c r="BO11" s="190">
        <f t="shared" si="3"/>
        <v>17</v>
      </c>
    </row>
    <row r="12" customHeight="1" spans="1:67">
      <c r="A12" s="4">
        <v>10</v>
      </c>
      <c r="B12" s="120"/>
      <c r="C12" s="120"/>
      <c r="D12" s="120">
        <v>1</v>
      </c>
      <c r="E12" s="120"/>
      <c r="F12" s="120"/>
      <c r="G12" s="120"/>
      <c r="H12" s="120"/>
      <c r="I12" s="120"/>
      <c r="J12" s="120"/>
      <c r="K12" s="120"/>
      <c r="L12" s="120"/>
      <c r="M12" s="120"/>
      <c r="N12" s="120"/>
      <c r="O12" s="120"/>
      <c r="P12" s="120"/>
      <c r="Q12" s="120"/>
      <c r="R12" s="120"/>
      <c r="S12" s="120"/>
      <c r="T12" s="120"/>
      <c r="U12" s="120"/>
      <c r="V12" s="120"/>
      <c r="W12" s="120"/>
      <c r="X12" s="120"/>
      <c r="Y12" s="120">
        <v>1</v>
      </c>
      <c r="Z12" s="120"/>
      <c r="AA12" s="120"/>
      <c r="AB12" s="120"/>
      <c r="AC12" s="120"/>
      <c r="AD12" s="120"/>
      <c r="AE12" s="120"/>
      <c r="AF12" s="120"/>
      <c r="AG12" s="120"/>
      <c r="AH12" s="120"/>
      <c r="AI12" s="120"/>
      <c r="AJ12" s="120"/>
      <c r="AK12" s="120"/>
      <c r="AL12" s="120"/>
      <c r="AM12" s="120"/>
      <c r="AN12" s="120"/>
      <c r="AO12" s="120"/>
      <c r="AP12" s="120"/>
      <c r="AQ12" s="120"/>
      <c r="AR12" s="120"/>
      <c r="AS12" s="120"/>
      <c r="AT12" s="120"/>
      <c r="AU12" s="120"/>
      <c r="AV12" s="120"/>
      <c r="AW12" s="120"/>
      <c r="AX12" s="120"/>
      <c r="AY12" s="120"/>
      <c r="AZ12" s="120"/>
      <c r="BA12" s="120"/>
      <c r="BB12" s="120"/>
      <c r="BC12" s="120"/>
      <c r="BD12" s="120"/>
      <c r="BE12" s="120"/>
      <c r="BF12" s="120"/>
      <c r="BG12" s="120"/>
      <c r="BH12" s="120"/>
      <c r="BI12" s="188">
        <f t="shared" si="0"/>
        <v>2</v>
      </c>
      <c r="BJ12" s="188" cm="1">
        <f t="array" ref="BJ12">SUMPRODUCT(--(B12:BC12=INT(B12:BC12)),--(B12:BC12&gt;0))</f>
        <v>2</v>
      </c>
      <c r="BK12" s="188" cm="1">
        <f t="array" ref="BK12">MAX(FREQUENCY(IF((B12:BC12=INT(B12:BC12))*(B12:BC12&gt;0),COLUMN(B12:BC12)),IF((B12:BC12&lt;&gt;INT(B12:BC12))+(B12:BC12&lt;=0),COLUMN(B12:BC12))))</f>
        <v>1</v>
      </c>
      <c r="BL12" s="189" cm="1">
        <f t="array" ref="BL12">SUMPRODUCT(--(B12:BA12=INT(B12:BA12)),--(B12:BA12&gt;0))/52*100%</f>
        <v>0.0384615384615385</v>
      </c>
      <c r="BM12" s="190">
        <f t="shared" si="1"/>
        <v>33</v>
      </c>
      <c r="BN12" s="190">
        <f t="shared" si="2"/>
        <v>32</v>
      </c>
      <c r="BO12" s="190">
        <f t="shared" si="3"/>
        <v>22</v>
      </c>
    </row>
    <row r="13" customHeight="1" spans="1:67">
      <c r="A13" s="4">
        <v>11</v>
      </c>
      <c r="B13" s="120"/>
      <c r="C13" s="120"/>
      <c r="D13" s="120">
        <v>1</v>
      </c>
      <c r="E13" s="120"/>
      <c r="F13" s="120"/>
      <c r="G13" s="120"/>
      <c r="H13" s="120">
        <v>1</v>
      </c>
      <c r="I13" s="120"/>
      <c r="J13" s="120"/>
      <c r="K13" s="120"/>
      <c r="L13" s="120">
        <v>1</v>
      </c>
      <c r="M13" s="120"/>
      <c r="N13" s="120">
        <v>1</v>
      </c>
      <c r="O13" s="120"/>
      <c r="P13" s="120"/>
      <c r="Q13" s="120">
        <v>1</v>
      </c>
      <c r="R13" s="120"/>
      <c r="S13" s="120"/>
      <c r="T13" s="120">
        <v>1</v>
      </c>
      <c r="U13" s="120"/>
      <c r="V13" s="120"/>
      <c r="W13" s="120"/>
      <c r="X13" s="120"/>
      <c r="Y13" s="120">
        <v>1</v>
      </c>
      <c r="Z13" s="120"/>
      <c r="AA13" s="120">
        <v>1</v>
      </c>
      <c r="AB13" s="120"/>
      <c r="AC13" s="120"/>
      <c r="AD13" s="120"/>
      <c r="AE13" s="120"/>
      <c r="AF13" s="120"/>
      <c r="AG13" s="120"/>
      <c r="AH13" s="120"/>
      <c r="AI13" s="120"/>
      <c r="AJ13" s="120">
        <v>1</v>
      </c>
      <c r="AK13" s="120"/>
      <c r="AL13" s="120"/>
      <c r="AM13" s="120"/>
      <c r="AN13" s="120">
        <v>1</v>
      </c>
      <c r="AO13" s="120"/>
      <c r="AP13" s="120"/>
      <c r="AQ13" s="120">
        <v>1</v>
      </c>
      <c r="AR13" s="120"/>
      <c r="AS13" s="120"/>
      <c r="AT13" s="120"/>
      <c r="AU13" s="120"/>
      <c r="AV13" s="120"/>
      <c r="AW13" s="120"/>
      <c r="AX13" s="120"/>
      <c r="AY13" s="120">
        <v>1</v>
      </c>
      <c r="AZ13" s="120"/>
      <c r="BA13" s="120">
        <v>1</v>
      </c>
      <c r="BB13" s="120"/>
      <c r="BC13" s="120"/>
      <c r="BD13" s="120"/>
      <c r="BE13" s="120"/>
      <c r="BF13" s="120"/>
      <c r="BG13" s="120"/>
      <c r="BH13" s="120"/>
      <c r="BI13" s="188">
        <f t="shared" si="0"/>
        <v>13</v>
      </c>
      <c r="BJ13" s="188" cm="1">
        <f t="array" ref="BJ13">SUMPRODUCT(--(B13:BC13=INT(B13:BC13)),--(B13:BC13&gt;0))</f>
        <v>13</v>
      </c>
      <c r="BK13" s="188" cm="1">
        <f t="array" ref="BK13">MAX(FREQUENCY(IF((B13:BC13=INT(B13:BC13))*(B13:BC13&gt;0),COLUMN(B13:BC13)),IF((B13:BC13&lt;&gt;INT(B13:BC13))+(B13:BC13&lt;=0),COLUMN(B13:BC13))))</f>
        <v>1</v>
      </c>
      <c r="BL13" s="189" cm="1">
        <f t="array" ref="BL13">SUMPRODUCT(--(B13:BA13=INT(B13:BA13)),--(B13:BA13&gt;0))/52*100%</f>
        <v>0.25</v>
      </c>
      <c r="BM13" s="190">
        <f t="shared" si="1"/>
        <v>14</v>
      </c>
      <c r="BN13" s="190">
        <f t="shared" si="2"/>
        <v>14</v>
      </c>
      <c r="BO13" s="190">
        <f t="shared" si="3"/>
        <v>22</v>
      </c>
    </row>
    <row r="14" customHeight="1" spans="1:67">
      <c r="A14" s="4">
        <v>12</v>
      </c>
      <c r="B14" s="120"/>
      <c r="C14" s="120"/>
      <c r="D14" s="120"/>
      <c r="E14" s="120"/>
      <c r="F14" s="120"/>
      <c r="G14" s="120"/>
      <c r="H14" s="120"/>
      <c r="I14" s="120"/>
      <c r="J14" s="120"/>
      <c r="K14" s="120"/>
      <c r="L14" s="120">
        <v>1</v>
      </c>
      <c r="M14" s="120"/>
      <c r="N14" s="120"/>
      <c r="O14" s="120"/>
      <c r="P14" s="120"/>
      <c r="Q14" s="120"/>
      <c r="R14" s="120"/>
      <c r="S14" s="120"/>
      <c r="T14" s="120"/>
      <c r="U14" s="120"/>
      <c r="V14" s="120"/>
      <c r="W14" s="120"/>
      <c r="X14" s="120"/>
      <c r="Y14" s="120">
        <v>1</v>
      </c>
      <c r="Z14" s="120"/>
      <c r="AA14" s="120"/>
      <c r="AB14" s="120"/>
      <c r="AC14" s="120"/>
      <c r="AD14" s="120"/>
      <c r="AE14" s="120"/>
      <c r="AF14" s="120"/>
      <c r="AG14" s="120"/>
      <c r="AH14" s="120"/>
      <c r="AI14" s="120"/>
      <c r="AJ14" s="120"/>
      <c r="AK14" s="120"/>
      <c r="AL14" s="120"/>
      <c r="AM14" s="120"/>
      <c r="AN14" s="120"/>
      <c r="AO14" s="120"/>
      <c r="AP14" s="120"/>
      <c r="AQ14" s="120">
        <v>1</v>
      </c>
      <c r="AR14" s="120"/>
      <c r="AS14" s="120"/>
      <c r="AT14" s="120">
        <v>1</v>
      </c>
      <c r="AU14" s="120"/>
      <c r="AV14" s="120"/>
      <c r="AW14" s="120"/>
      <c r="AX14" s="120"/>
      <c r="AY14" s="120">
        <v>1</v>
      </c>
      <c r="AZ14" s="120"/>
      <c r="BA14" s="120"/>
      <c r="BB14" s="120"/>
      <c r="BC14" s="120"/>
      <c r="BD14" s="120"/>
      <c r="BE14" s="120"/>
      <c r="BF14" s="120"/>
      <c r="BG14" s="120"/>
      <c r="BH14" s="120"/>
      <c r="BI14" s="188">
        <f t="shared" si="0"/>
        <v>5</v>
      </c>
      <c r="BJ14" s="188" cm="1">
        <f t="array" ref="BJ14">SUMPRODUCT(--(B14:BC14=INT(B14:BC14)),--(B14:BC14&gt;0))</f>
        <v>5</v>
      </c>
      <c r="BK14" s="188" cm="1">
        <f t="array" ref="BK14">MAX(FREQUENCY(IF((B14:BC14=INT(B14:BC14))*(B14:BC14&gt;0),COLUMN(B14:BC14)),IF((B14:BC14&lt;&gt;INT(B14:BC14))+(B14:BC14&lt;=0),COLUMN(B14:BC14))))</f>
        <v>1</v>
      </c>
      <c r="BL14" s="189" cm="1">
        <f t="array" ref="BL14">SUMPRODUCT(--(B14:BA14=INT(B14:BA14)),--(B14:BA14&gt;0))/52*100%</f>
        <v>0.0961538461538462</v>
      </c>
      <c r="BM14" s="190">
        <f t="shared" si="1"/>
        <v>26</v>
      </c>
      <c r="BN14" s="190">
        <f t="shared" si="2"/>
        <v>24</v>
      </c>
      <c r="BO14" s="190">
        <f t="shared" si="3"/>
        <v>22</v>
      </c>
    </row>
    <row r="15" customHeight="1" spans="1:67">
      <c r="A15" s="4">
        <v>13</v>
      </c>
      <c r="B15" s="120"/>
      <c r="C15" s="120">
        <v>1</v>
      </c>
      <c r="D15" s="120"/>
      <c r="E15" s="120"/>
      <c r="F15" s="120"/>
      <c r="G15" s="120"/>
      <c r="H15" s="120"/>
      <c r="I15" s="120">
        <v>1</v>
      </c>
      <c r="J15" s="120"/>
      <c r="K15" s="120"/>
      <c r="L15" s="120">
        <v>1</v>
      </c>
      <c r="M15" s="120">
        <v>1</v>
      </c>
      <c r="N15" s="120"/>
      <c r="O15" s="120"/>
      <c r="P15" s="120"/>
      <c r="Q15" s="120">
        <v>1</v>
      </c>
      <c r="R15" s="120"/>
      <c r="S15" s="120"/>
      <c r="T15" s="120">
        <v>2</v>
      </c>
      <c r="U15" s="120"/>
      <c r="V15" s="120"/>
      <c r="W15" s="120"/>
      <c r="X15" s="120"/>
      <c r="Y15" s="120">
        <v>1</v>
      </c>
      <c r="Z15" s="120"/>
      <c r="AA15" s="120">
        <v>1</v>
      </c>
      <c r="AB15" s="120"/>
      <c r="AC15" s="120"/>
      <c r="AD15" s="120"/>
      <c r="AE15" s="120"/>
      <c r="AF15" s="120">
        <v>1</v>
      </c>
      <c r="AG15" s="120"/>
      <c r="AH15" s="120"/>
      <c r="AI15" s="120"/>
      <c r="AJ15" s="120"/>
      <c r="AK15" s="120"/>
      <c r="AL15" s="120"/>
      <c r="AM15" s="120">
        <v>1</v>
      </c>
      <c r="AN15" s="120">
        <v>2</v>
      </c>
      <c r="AO15" s="120">
        <v>1</v>
      </c>
      <c r="AP15" s="120"/>
      <c r="AQ15" s="120">
        <v>1</v>
      </c>
      <c r="AR15" s="120">
        <v>1</v>
      </c>
      <c r="AS15" s="120">
        <v>1</v>
      </c>
      <c r="AT15" s="120"/>
      <c r="AU15" s="120">
        <v>1</v>
      </c>
      <c r="AV15" s="120"/>
      <c r="AW15" s="120"/>
      <c r="AX15" s="120">
        <v>2</v>
      </c>
      <c r="AY15" s="120">
        <v>1</v>
      </c>
      <c r="AZ15" s="120">
        <v>1</v>
      </c>
      <c r="BA15" s="120">
        <v>1</v>
      </c>
      <c r="BB15" s="120"/>
      <c r="BC15" s="120"/>
      <c r="BD15" s="120"/>
      <c r="BE15" s="120"/>
      <c r="BF15" s="120"/>
      <c r="BG15" s="120"/>
      <c r="BH15" s="120"/>
      <c r="BI15" s="188">
        <f t="shared" si="0"/>
        <v>23</v>
      </c>
      <c r="BJ15" s="188" cm="1">
        <f t="array" ref="BJ15">SUMPRODUCT(--(B15:BC15=INT(B15:BC15)),--(B15:BC15&gt;0))</f>
        <v>20</v>
      </c>
      <c r="BK15" s="188" cm="1">
        <f t="array" ref="BK15">MAX(FREQUENCY(IF((B15:BC15=INT(B15:BC15))*(B15:BC15&gt;0),COLUMN(B15:BC15)),IF((B15:BC15&lt;&gt;INT(B15:BC15))+(B15:BC15&lt;=0),COLUMN(B15:BC15))))</f>
        <v>4</v>
      </c>
      <c r="BL15" s="189" cm="1">
        <f t="array" ref="BL15">SUMPRODUCT(--(B15:BA15=INT(B15:BA15)),--(B15:BA15&gt;0))/52*100%</f>
        <v>0.384615384615385</v>
      </c>
      <c r="BM15" s="190">
        <f t="shared" si="1"/>
        <v>8</v>
      </c>
      <c r="BN15" s="190">
        <f t="shared" si="2"/>
        <v>7</v>
      </c>
      <c r="BO15" s="190">
        <f t="shared" si="3"/>
        <v>9</v>
      </c>
    </row>
    <row r="16" customHeight="1" spans="1:67">
      <c r="A16" s="4">
        <v>14</v>
      </c>
      <c r="B16" s="120"/>
      <c r="C16" s="120"/>
      <c r="D16" s="120"/>
      <c r="E16" s="120"/>
      <c r="F16" s="120"/>
      <c r="G16" s="120">
        <v>1</v>
      </c>
      <c r="H16" s="120"/>
      <c r="I16" s="120"/>
      <c r="J16" s="120"/>
      <c r="K16" s="120"/>
      <c r="L16" s="120"/>
      <c r="M16" s="120"/>
      <c r="N16" s="120"/>
      <c r="O16" s="120"/>
      <c r="P16" s="120"/>
      <c r="Q16" s="120"/>
      <c r="R16" s="120"/>
      <c r="S16" s="120"/>
      <c r="T16" s="120">
        <v>1</v>
      </c>
      <c r="U16" s="120"/>
      <c r="V16" s="120"/>
      <c r="W16" s="120"/>
      <c r="X16" s="120"/>
      <c r="Y16" s="120"/>
      <c r="Z16" s="120"/>
      <c r="AA16" s="120"/>
      <c r="AB16" s="120"/>
      <c r="AC16" s="120"/>
      <c r="AD16" s="120"/>
      <c r="AE16" s="120"/>
      <c r="AF16" s="120"/>
      <c r="AG16" s="120"/>
      <c r="AH16" s="120"/>
      <c r="AI16" s="120"/>
      <c r="AJ16" s="120"/>
      <c r="AK16" s="120"/>
      <c r="AL16" s="120"/>
      <c r="AM16" s="120"/>
      <c r="AN16" s="120"/>
      <c r="AO16" s="120"/>
      <c r="AP16" s="120"/>
      <c r="AQ16" s="120"/>
      <c r="AR16" s="120"/>
      <c r="AS16" s="120"/>
      <c r="AT16" s="120"/>
      <c r="AU16" s="120"/>
      <c r="AV16" s="120"/>
      <c r="AW16" s="120"/>
      <c r="AX16" s="120"/>
      <c r="AY16" s="120"/>
      <c r="AZ16" s="120"/>
      <c r="BA16" s="120">
        <v>1</v>
      </c>
      <c r="BB16" s="120"/>
      <c r="BC16" s="120"/>
      <c r="BD16" s="120"/>
      <c r="BE16" s="120"/>
      <c r="BF16" s="120"/>
      <c r="BG16" s="120"/>
      <c r="BH16" s="120"/>
      <c r="BI16" s="188">
        <f t="shared" si="0"/>
        <v>3</v>
      </c>
      <c r="BJ16" s="188" cm="1">
        <f t="array" ref="BJ16">SUMPRODUCT(--(B16:BC16=INT(B16:BC16)),--(B16:BC16&gt;0))</f>
        <v>3</v>
      </c>
      <c r="BK16" s="188" cm="1">
        <f t="array" ref="BK16">MAX(FREQUENCY(IF((B16:BC16=INT(B16:BC16))*(B16:BC16&gt;0),COLUMN(B16:BC16)),IF((B16:BC16&lt;&gt;INT(B16:BC16))+(B16:BC16&lt;=0),COLUMN(B16:BC16))))</f>
        <v>1</v>
      </c>
      <c r="BL16" s="189" cm="1">
        <f t="array" ref="BL16">SUMPRODUCT(--(B16:BA16=INT(B16:BA16)),--(B16:BA16&gt;0))/52*100%</f>
        <v>0.0576923076923077</v>
      </c>
      <c r="BM16" s="190">
        <f t="shared" si="1"/>
        <v>31</v>
      </c>
      <c r="BN16" s="190">
        <f t="shared" si="2"/>
        <v>30</v>
      </c>
      <c r="BO16" s="190">
        <f t="shared" si="3"/>
        <v>22</v>
      </c>
    </row>
    <row r="17" customHeight="1" spans="1:67">
      <c r="A17" s="4">
        <v>15</v>
      </c>
      <c r="B17" s="120"/>
      <c r="C17" s="120"/>
      <c r="D17" s="120"/>
      <c r="E17" s="120"/>
      <c r="F17" s="120"/>
      <c r="G17" s="120"/>
      <c r="H17" s="120"/>
      <c r="I17" s="120"/>
      <c r="J17" s="120"/>
      <c r="K17" s="120"/>
      <c r="L17" s="120"/>
      <c r="M17" s="120"/>
      <c r="N17" s="120"/>
      <c r="O17" s="120"/>
      <c r="P17" s="120"/>
      <c r="Q17" s="120"/>
      <c r="R17" s="120">
        <v>1</v>
      </c>
      <c r="S17" s="120"/>
      <c r="T17" s="120"/>
      <c r="U17" s="120"/>
      <c r="V17" s="120">
        <v>1</v>
      </c>
      <c r="W17" s="120"/>
      <c r="X17" s="120"/>
      <c r="Y17" s="120">
        <v>1</v>
      </c>
      <c r="Z17" s="120"/>
      <c r="AA17" s="120"/>
      <c r="AB17" s="120"/>
      <c r="AC17" s="120"/>
      <c r="AD17" s="120"/>
      <c r="AE17" s="120"/>
      <c r="AF17" s="120"/>
      <c r="AG17" s="120"/>
      <c r="AH17" s="120"/>
      <c r="AI17" s="120"/>
      <c r="AJ17" s="120">
        <v>1</v>
      </c>
      <c r="AK17" s="120"/>
      <c r="AL17" s="120"/>
      <c r="AM17" s="120"/>
      <c r="AN17" s="120"/>
      <c r="AO17" s="120"/>
      <c r="AP17" s="120"/>
      <c r="AQ17" s="120"/>
      <c r="AR17" s="120"/>
      <c r="AS17" s="120"/>
      <c r="AT17" s="120"/>
      <c r="AU17" s="120"/>
      <c r="AV17" s="120"/>
      <c r="AW17" s="120"/>
      <c r="AX17" s="120"/>
      <c r="AY17" s="120"/>
      <c r="AZ17" s="120"/>
      <c r="BA17" s="120"/>
      <c r="BB17" s="120"/>
      <c r="BC17" s="120"/>
      <c r="BD17" s="120"/>
      <c r="BE17" s="120"/>
      <c r="BF17" s="120"/>
      <c r="BG17" s="120"/>
      <c r="BH17" s="120"/>
      <c r="BI17" s="188">
        <f t="shared" si="0"/>
        <v>4</v>
      </c>
      <c r="BJ17" s="188" cm="1">
        <f t="array" ref="BJ17">SUMPRODUCT(--(B17:BC17=INT(B17:BC17)),--(B17:BC17&gt;0))</f>
        <v>4</v>
      </c>
      <c r="BK17" s="188" cm="1">
        <f t="array" ref="BK17">MAX(FREQUENCY(IF((B17:BC17=INT(B17:BC17))*(B17:BC17&gt;0),COLUMN(B17:BC17)),IF((B17:BC17&lt;&gt;INT(B17:BC17))+(B17:BC17&lt;=0),COLUMN(B17:BC17))))</f>
        <v>1</v>
      </c>
      <c r="BL17" s="189" cm="1">
        <f t="array" ref="BL17">SUMPRODUCT(--(B17:BA17=INT(B17:BA17)),--(B17:BA17&gt;0))/52*100%</f>
        <v>0.0769230769230769</v>
      </c>
      <c r="BM17" s="190">
        <f t="shared" si="1"/>
        <v>28</v>
      </c>
      <c r="BN17" s="190">
        <f t="shared" si="2"/>
        <v>28</v>
      </c>
      <c r="BO17" s="190">
        <f t="shared" si="3"/>
        <v>22</v>
      </c>
    </row>
    <row r="18" customHeight="1" spans="1:67">
      <c r="A18" s="120">
        <v>16</v>
      </c>
      <c r="B18" s="120"/>
      <c r="C18" s="120"/>
      <c r="D18" s="120"/>
      <c r="E18" s="120"/>
      <c r="F18" s="120"/>
      <c r="G18" s="120"/>
      <c r="H18" s="120"/>
      <c r="I18" s="120"/>
      <c r="J18" s="120"/>
      <c r="K18" s="120"/>
      <c r="L18" s="120"/>
      <c r="M18" s="120"/>
      <c r="N18" s="120"/>
      <c r="O18" s="120"/>
      <c r="P18" s="120"/>
      <c r="Q18" s="120"/>
      <c r="R18" s="120"/>
      <c r="S18" s="120"/>
      <c r="T18" s="120"/>
      <c r="U18" s="120"/>
      <c r="V18" s="120"/>
      <c r="W18" s="120"/>
      <c r="X18" s="120"/>
      <c r="Y18" s="120">
        <v>1</v>
      </c>
      <c r="Z18" s="120"/>
      <c r="AA18" s="120"/>
      <c r="AB18" s="120"/>
      <c r="AC18" s="120"/>
      <c r="AD18" s="120"/>
      <c r="AE18" s="120"/>
      <c r="AF18" s="120"/>
      <c r="AG18" s="120"/>
      <c r="AH18" s="120"/>
      <c r="AI18" s="120"/>
      <c r="AJ18" s="120"/>
      <c r="AK18" s="120"/>
      <c r="AL18" s="120"/>
      <c r="AM18" s="120"/>
      <c r="AN18" s="120"/>
      <c r="AO18" s="120"/>
      <c r="AP18" s="120"/>
      <c r="AQ18" s="120"/>
      <c r="AR18" s="120"/>
      <c r="AS18" s="120"/>
      <c r="AT18" s="120"/>
      <c r="AU18" s="120"/>
      <c r="AV18" s="120"/>
      <c r="AW18" s="120"/>
      <c r="AX18" s="120"/>
      <c r="AY18" s="120"/>
      <c r="AZ18" s="120"/>
      <c r="BA18" s="120"/>
      <c r="BB18" s="120"/>
      <c r="BC18" s="120"/>
      <c r="BD18" s="120"/>
      <c r="BE18" s="120"/>
      <c r="BF18" s="120"/>
      <c r="BG18" s="120"/>
      <c r="BH18" s="120"/>
      <c r="BI18" s="188">
        <f t="shared" si="0"/>
        <v>1</v>
      </c>
      <c r="BJ18" s="188" cm="1">
        <f t="array" ref="BJ18">SUMPRODUCT(--(B18:BC18=INT(B18:BC18)),--(B18:BC18&gt;0))</f>
        <v>1</v>
      </c>
      <c r="BK18" s="188" cm="1">
        <f t="array" ref="BK18">MAX(FREQUENCY(IF((B18:BC18=INT(B18:BC18))*(B18:BC18&gt;0),COLUMN(B18:BC18)),IF((B18:BC18&lt;&gt;INT(B18:BC18))+(B18:BC18&lt;=0),COLUMN(B18:BC18))))</f>
        <v>1</v>
      </c>
      <c r="BL18" s="189" cm="1">
        <f t="array" ref="BL18">SUMPRODUCT(--(B18:BA18=INT(B18:BA18)),--(B18:BA18&gt;0))/52*100%</f>
        <v>0.0192307692307692</v>
      </c>
      <c r="BM18" s="190">
        <f t="shared" si="1"/>
        <v>35</v>
      </c>
      <c r="BN18" s="190">
        <f t="shared" si="2"/>
        <v>35</v>
      </c>
      <c r="BO18" s="190">
        <f t="shared" si="3"/>
        <v>22</v>
      </c>
    </row>
    <row r="19" customHeight="1" spans="1:67">
      <c r="A19" s="4">
        <v>17</v>
      </c>
      <c r="B19" s="120">
        <v>1</v>
      </c>
      <c r="C19" s="120"/>
      <c r="D19" s="120"/>
      <c r="E19" s="120"/>
      <c r="F19" s="120"/>
      <c r="G19" s="120"/>
      <c r="H19" s="120"/>
      <c r="I19" s="120"/>
      <c r="J19" s="120"/>
      <c r="K19" s="120"/>
      <c r="L19" s="120"/>
      <c r="M19" s="120"/>
      <c r="N19" s="120">
        <v>1</v>
      </c>
      <c r="O19" s="120"/>
      <c r="P19" s="120"/>
      <c r="Q19" s="120"/>
      <c r="R19" s="120"/>
      <c r="S19" s="120">
        <v>1</v>
      </c>
      <c r="T19" s="120">
        <v>1</v>
      </c>
      <c r="U19" s="120"/>
      <c r="V19" s="120">
        <v>1</v>
      </c>
      <c r="W19" s="120"/>
      <c r="X19" s="120"/>
      <c r="Y19" s="120"/>
      <c r="Z19" s="120"/>
      <c r="AA19" s="120"/>
      <c r="AB19" s="120"/>
      <c r="AC19" s="120"/>
      <c r="AD19" s="120"/>
      <c r="AE19" s="120"/>
      <c r="AF19" s="120"/>
      <c r="AG19" s="120"/>
      <c r="AH19" s="120"/>
      <c r="AI19" s="120"/>
      <c r="AJ19" s="120"/>
      <c r="AK19" s="120"/>
      <c r="AL19" s="120"/>
      <c r="AM19" s="120"/>
      <c r="AN19" s="120"/>
      <c r="AO19" s="120"/>
      <c r="AP19" s="120"/>
      <c r="AQ19" s="120"/>
      <c r="AR19" s="120"/>
      <c r="AS19" s="120"/>
      <c r="AT19" s="120"/>
      <c r="AU19" s="120">
        <v>2</v>
      </c>
      <c r="AV19" s="120">
        <v>1</v>
      </c>
      <c r="AW19" s="120"/>
      <c r="AX19" s="120"/>
      <c r="AY19" s="120">
        <v>1</v>
      </c>
      <c r="AZ19" s="120"/>
      <c r="BA19" s="120"/>
      <c r="BB19" s="120"/>
      <c r="BC19" s="120"/>
      <c r="BD19" s="120"/>
      <c r="BE19" s="120"/>
      <c r="BF19" s="120"/>
      <c r="BG19" s="120"/>
      <c r="BH19" s="120"/>
      <c r="BI19" s="188">
        <f t="shared" si="0"/>
        <v>9</v>
      </c>
      <c r="BJ19" s="188" cm="1">
        <f t="array" ref="BJ19">SUMPRODUCT(--(B19:BC19=INT(B19:BC19)),--(B19:BC19&gt;0))</f>
        <v>8</v>
      </c>
      <c r="BK19" s="188" cm="1">
        <f t="array" ref="BK19">MAX(FREQUENCY(IF((B19:BC19=INT(B19:BC19))*(B19:BC19&gt;0),COLUMN(B19:BC19)),IF((B19:BC19&lt;&gt;INT(B19:BC19))+(B19:BC19&lt;=0),COLUMN(B19:BC19))))</f>
        <v>2</v>
      </c>
      <c r="BL19" s="189" cm="1">
        <f t="array" ref="BL19">SUMPRODUCT(--(B19:BA19=INT(B19:BA19)),--(B19:BA19&gt;0))/52*100%</f>
        <v>0.153846153846154</v>
      </c>
      <c r="BM19" s="190">
        <f t="shared" si="1"/>
        <v>20</v>
      </c>
      <c r="BN19" s="190">
        <f t="shared" si="2"/>
        <v>21</v>
      </c>
      <c r="BO19" s="190">
        <f t="shared" si="3"/>
        <v>17</v>
      </c>
    </row>
    <row r="20" customHeight="1" spans="1:67">
      <c r="A20" s="4">
        <v>18</v>
      </c>
      <c r="B20" s="120"/>
      <c r="C20" s="120"/>
      <c r="D20" s="120"/>
      <c r="E20" s="120"/>
      <c r="F20" s="120"/>
      <c r="G20" s="120"/>
      <c r="H20" s="120"/>
      <c r="I20" s="120"/>
      <c r="J20" s="120"/>
      <c r="K20" s="120"/>
      <c r="L20" s="120">
        <v>1</v>
      </c>
      <c r="M20" s="120"/>
      <c r="N20" s="120"/>
      <c r="O20" s="120"/>
      <c r="P20" s="120"/>
      <c r="Q20" s="120"/>
      <c r="R20" s="120"/>
      <c r="S20" s="120"/>
      <c r="T20" s="120"/>
      <c r="U20" s="120"/>
      <c r="V20" s="120"/>
      <c r="W20" s="120"/>
      <c r="X20" s="120"/>
      <c r="Y20" s="120"/>
      <c r="Z20" s="120"/>
      <c r="AA20" s="120"/>
      <c r="AB20" s="120"/>
      <c r="AC20" s="120"/>
      <c r="AD20" s="120"/>
      <c r="AE20" s="120"/>
      <c r="AF20" s="120"/>
      <c r="AG20" s="120"/>
      <c r="AH20" s="120"/>
      <c r="AI20" s="120"/>
      <c r="AJ20" s="120"/>
      <c r="AK20" s="120"/>
      <c r="AL20" s="120"/>
      <c r="AM20" s="120"/>
      <c r="AN20" s="120"/>
      <c r="AO20" s="120"/>
      <c r="AP20" s="120"/>
      <c r="AQ20" s="120"/>
      <c r="AR20" s="120"/>
      <c r="AS20" s="120"/>
      <c r="AT20" s="120"/>
      <c r="AU20" s="120"/>
      <c r="AV20" s="120"/>
      <c r="AW20" s="120"/>
      <c r="AX20" s="120"/>
      <c r="AY20" s="120"/>
      <c r="AZ20" s="120"/>
      <c r="BA20" s="120"/>
      <c r="BB20" s="120"/>
      <c r="BC20" s="120"/>
      <c r="BD20" s="120"/>
      <c r="BE20" s="120"/>
      <c r="BF20" s="120"/>
      <c r="BG20" s="120"/>
      <c r="BH20" s="120"/>
      <c r="BI20" s="188">
        <f t="shared" si="0"/>
        <v>1</v>
      </c>
      <c r="BJ20" s="188" cm="1">
        <f t="array" ref="BJ20">SUMPRODUCT(--(B20:BC20=INT(B20:BC20)),--(B20:BC20&gt;0))</f>
        <v>1</v>
      </c>
      <c r="BK20" s="188" cm="1">
        <f t="array" ref="BK20">MAX(FREQUENCY(IF((B20:BC20=INT(B20:BC20))*(B20:BC20&gt;0),COLUMN(B20:BC20)),IF((B20:BC20&lt;&gt;INT(B20:BC20))+(B20:BC20&lt;=0),COLUMN(B20:BC20))))</f>
        <v>1</v>
      </c>
      <c r="BL20" s="189" cm="1">
        <f t="array" ref="BL20">SUMPRODUCT(--(B20:BA20=INT(B20:BA20)),--(B20:BA20&gt;0))/52*100%</f>
        <v>0.0192307692307692</v>
      </c>
      <c r="BM20" s="190">
        <f t="shared" si="1"/>
        <v>35</v>
      </c>
      <c r="BN20" s="190">
        <f t="shared" si="2"/>
        <v>35</v>
      </c>
      <c r="BO20" s="190">
        <f t="shared" si="3"/>
        <v>22</v>
      </c>
    </row>
    <row r="21" customHeight="1" spans="1:67">
      <c r="A21" s="4">
        <v>19</v>
      </c>
      <c r="B21" s="120"/>
      <c r="C21" s="120"/>
      <c r="D21" s="120"/>
      <c r="E21" s="120"/>
      <c r="F21" s="120"/>
      <c r="G21" s="120"/>
      <c r="H21" s="120"/>
      <c r="I21" s="120"/>
      <c r="J21" s="120">
        <v>1</v>
      </c>
      <c r="K21" s="120"/>
      <c r="L21" s="120">
        <v>1</v>
      </c>
      <c r="M21" s="120"/>
      <c r="N21" s="120"/>
      <c r="O21" s="120"/>
      <c r="P21" s="120"/>
      <c r="Q21" s="120"/>
      <c r="R21" s="120"/>
      <c r="S21" s="120"/>
      <c r="T21" s="120"/>
      <c r="U21" s="120"/>
      <c r="V21" s="120"/>
      <c r="W21" s="120"/>
      <c r="X21" s="120"/>
      <c r="Y21" s="120"/>
      <c r="Z21" s="120"/>
      <c r="AA21" s="120"/>
      <c r="AB21" s="120"/>
      <c r="AC21" s="120"/>
      <c r="AD21" s="120"/>
      <c r="AE21" s="120"/>
      <c r="AF21" s="120"/>
      <c r="AG21" s="120"/>
      <c r="AH21" s="120"/>
      <c r="AI21" s="120"/>
      <c r="AJ21" s="120"/>
      <c r="AK21" s="120"/>
      <c r="AL21" s="120"/>
      <c r="AM21" s="120"/>
      <c r="AN21" s="120"/>
      <c r="AO21" s="120"/>
      <c r="AP21" s="120">
        <v>1</v>
      </c>
      <c r="AQ21" s="120"/>
      <c r="AR21" s="120"/>
      <c r="AS21" s="120"/>
      <c r="AT21" s="120"/>
      <c r="AU21" s="120">
        <v>2</v>
      </c>
      <c r="AV21" s="120"/>
      <c r="AW21" s="120"/>
      <c r="AX21" s="120"/>
      <c r="AY21" s="120"/>
      <c r="AZ21" s="120"/>
      <c r="BA21" s="120"/>
      <c r="BB21" s="120">
        <v>1</v>
      </c>
      <c r="BC21" s="120"/>
      <c r="BD21" s="120"/>
      <c r="BE21" s="120"/>
      <c r="BF21" s="120"/>
      <c r="BG21" s="120"/>
      <c r="BH21" s="120"/>
      <c r="BI21" s="188">
        <f t="shared" si="0"/>
        <v>6</v>
      </c>
      <c r="BJ21" s="188" cm="1">
        <f t="array" ref="BJ21">SUMPRODUCT(--(B21:BC21=INT(B21:BC21)),--(B21:BC21&gt;0))</f>
        <v>5</v>
      </c>
      <c r="BK21" s="188" cm="1">
        <f t="array" ref="BK21">MAX(FREQUENCY(IF((B21:BC21=INT(B21:BC21))*(B21:BC21&gt;0),COLUMN(B21:BC21)),IF((B21:BC21&lt;&gt;INT(B21:BC21))+(B21:BC21&lt;=0),COLUMN(B21:BC21))))</f>
        <v>1</v>
      </c>
      <c r="BL21" s="189" cm="1">
        <f t="array" ref="BL21">SUMPRODUCT(--(B21:BA21=INT(B21:BA21)),--(B21:BA21&gt;0))/52*100%</f>
        <v>0.0769230769230769</v>
      </c>
      <c r="BM21" s="190">
        <f t="shared" si="1"/>
        <v>23</v>
      </c>
      <c r="BN21" s="190">
        <f t="shared" si="2"/>
        <v>24</v>
      </c>
      <c r="BO21" s="190">
        <f t="shared" si="3"/>
        <v>22</v>
      </c>
    </row>
    <row r="22" customHeight="1" spans="1:67">
      <c r="A22" s="4">
        <v>20</v>
      </c>
      <c r="B22" s="120"/>
      <c r="C22" s="120"/>
      <c r="D22" s="120"/>
      <c r="E22" s="120"/>
      <c r="F22" s="120"/>
      <c r="G22" s="120"/>
      <c r="H22" s="120"/>
      <c r="I22" s="120">
        <v>1</v>
      </c>
      <c r="J22" s="120">
        <v>1</v>
      </c>
      <c r="K22" s="120"/>
      <c r="L22" s="120"/>
      <c r="M22" s="120"/>
      <c r="N22" s="120"/>
      <c r="O22" s="120"/>
      <c r="P22" s="120"/>
      <c r="Q22" s="120">
        <v>1</v>
      </c>
      <c r="R22" s="120">
        <v>1</v>
      </c>
      <c r="S22" s="120">
        <v>3</v>
      </c>
      <c r="T22" s="120">
        <v>1</v>
      </c>
      <c r="U22" s="120"/>
      <c r="V22" s="120">
        <v>1</v>
      </c>
      <c r="W22" s="120"/>
      <c r="X22" s="120"/>
      <c r="Y22" s="120">
        <v>1</v>
      </c>
      <c r="Z22" s="120">
        <v>1</v>
      </c>
      <c r="AA22" s="120"/>
      <c r="AB22" s="120"/>
      <c r="AC22" s="120"/>
      <c r="AD22" s="120"/>
      <c r="AE22" s="120">
        <v>1</v>
      </c>
      <c r="AF22" s="120"/>
      <c r="AG22" s="120"/>
      <c r="AH22" s="120"/>
      <c r="AI22" s="120"/>
      <c r="AJ22" s="120">
        <v>2</v>
      </c>
      <c r="AK22" s="120"/>
      <c r="AL22" s="120"/>
      <c r="AM22" s="120"/>
      <c r="AN22" s="120"/>
      <c r="AO22" s="120"/>
      <c r="AP22" s="120"/>
      <c r="AQ22" s="120"/>
      <c r="AR22" s="120">
        <v>1</v>
      </c>
      <c r="AS22" s="120"/>
      <c r="AT22" s="120"/>
      <c r="AU22" s="120">
        <v>1</v>
      </c>
      <c r="AV22" s="120"/>
      <c r="AW22" s="120">
        <v>1</v>
      </c>
      <c r="AX22" s="120">
        <v>1</v>
      </c>
      <c r="AY22" s="120">
        <v>1</v>
      </c>
      <c r="AZ22" s="120">
        <v>1</v>
      </c>
      <c r="BA22" s="120">
        <v>1</v>
      </c>
      <c r="BB22" s="120"/>
      <c r="BC22" s="120"/>
      <c r="BD22" s="120"/>
      <c r="BE22" s="120"/>
      <c r="BF22" s="120"/>
      <c r="BG22" s="120"/>
      <c r="BH22" s="120"/>
      <c r="BI22" s="188">
        <f t="shared" si="0"/>
        <v>21</v>
      </c>
      <c r="BJ22" s="188" cm="1">
        <f t="array" ref="BJ22">SUMPRODUCT(--(B22:BC22=INT(B22:BC22)),--(B22:BC22&gt;0))</f>
        <v>18</v>
      </c>
      <c r="BK22" s="188" cm="1">
        <f t="array" ref="BK22">MAX(FREQUENCY(IF((B22:BC22=INT(B22:BC22))*(B22:BC22&gt;0),COLUMN(B22:BC22)),IF((B22:BC22&lt;&gt;INT(B22:BC22))+(B22:BC22&lt;=0),COLUMN(B22:BC22))))</f>
        <v>5</v>
      </c>
      <c r="BL22" s="189" cm="1">
        <f t="array" ref="BL22">SUMPRODUCT(--(B22:BA22=INT(B22:BA22)),--(B22:BA22&gt;0))/52*100%</f>
        <v>0.346153846153846</v>
      </c>
      <c r="BM22" s="190">
        <f t="shared" si="1"/>
        <v>9</v>
      </c>
      <c r="BN22" s="190">
        <f t="shared" si="2"/>
        <v>10</v>
      </c>
      <c r="BO22" s="190">
        <f t="shared" si="3"/>
        <v>4</v>
      </c>
    </row>
    <row r="23" customHeight="1" spans="1:67">
      <c r="A23" s="120">
        <v>21</v>
      </c>
      <c r="B23" s="120"/>
      <c r="C23" s="120"/>
      <c r="D23" s="120"/>
      <c r="E23" s="120"/>
      <c r="F23" s="120"/>
      <c r="G23" s="120"/>
      <c r="H23" s="120"/>
      <c r="I23" s="120"/>
      <c r="J23" s="120"/>
      <c r="K23" s="120"/>
      <c r="L23" s="120"/>
      <c r="M23" s="120"/>
      <c r="N23" s="120"/>
      <c r="O23" s="120"/>
      <c r="P23" s="120"/>
      <c r="Q23" s="120"/>
      <c r="R23" s="120"/>
      <c r="S23" s="120"/>
      <c r="T23" s="120"/>
      <c r="U23" s="120"/>
      <c r="V23" s="120"/>
      <c r="W23" s="120"/>
      <c r="X23" s="120"/>
      <c r="Y23" s="120"/>
      <c r="Z23" s="120"/>
      <c r="AA23" s="120"/>
      <c r="AB23" s="120"/>
      <c r="AC23" s="120"/>
      <c r="AD23" s="120"/>
      <c r="AE23" s="120"/>
      <c r="AF23" s="120"/>
      <c r="AG23" s="120"/>
      <c r="AH23" s="120"/>
      <c r="AI23" s="120"/>
      <c r="AJ23" s="120"/>
      <c r="AK23" s="120"/>
      <c r="AL23" s="120"/>
      <c r="AM23" s="120"/>
      <c r="AN23" s="120"/>
      <c r="AO23" s="120"/>
      <c r="AP23" s="120"/>
      <c r="AQ23" s="120"/>
      <c r="AR23" s="120"/>
      <c r="AS23" s="120"/>
      <c r="AT23" s="120">
        <v>1</v>
      </c>
      <c r="AU23" s="120"/>
      <c r="AV23" s="120"/>
      <c r="AW23" s="120"/>
      <c r="AX23" s="120"/>
      <c r="AY23" s="120"/>
      <c r="AZ23" s="120"/>
      <c r="BA23" s="120"/>
      <c r="BB23" s="120"/>
      <c r="BC23" s="120"/>
      <c r="BD23" s="120"/>
      <c r="BE23" s="120"/>
      <c r="BF23" s="120"/>
      <c r="BG23" s="120"/>
      <c r="BH23" s="120"/>
      <c r="BI23" s="188">
        <f t="shared" si="0"/>
        <v>1</v>
      </c>
      <c r="BJ23" s="188" cm="1">
        <f t="array" ref="BJ23">SUMPRODUCT(--(B23:BC23=INT(B23:BC23)),--(B23:BC23&gt;0))</f>
        <v>1</v>
      </c>
      <c r="BK23" s="188" cm="1">
        <f t="array" ref="BK23">MAX(FREQUENCY(IF((B23:BC23=INT(B23:BC23))*(B23:BC23&gt;0),COLUMN(B23:BC23)),IF((B23:BC23&lt;&gt;INT(B23:BC23))+(B23:BC23&lt;=0),COLUMN(B23:BC23))))</f>
        <v>1</v>
      </c>
      <c r="BL23" s="189" cm="1">
        <f t="array" ref="BL23">SUMPRODUCT(--(B23:BA23=INT(B23:BA23)),--(B23:BA23&gt;0))/52*100%</f>
        <v>0.0192307692307692</v>
      </c>
      <c r="BM23" s="190">
        <f t="shared" si="1"/>
        <v>35</v>
      </c>
      <c r="BN23" s="190">
        <f t="shared" si="2"/>
        <v>35</v>
      </c>
      <c r="BO23" s="190">
        <f t="shared" si="3"/>
        <v>22</v>
      </c>
    </row>
    <row r="24" customHeight="1" spans="1:67">
      <c r="A24" s="4">
        <v>22</v>
      </c>
      <c r="B24" s="120"/>
      <c r="C24" s="120">
        <v>1</v>
      </c>
      <c r="D24" s="120">
        <v>1</v>
      </c>
      <c r="E24" s="120">
        <v>1</v>
      </c>
      <c r="F24" s="120"/>
      <c r="G24" s="120">
        <v>1</v>
      </c>
      <c r="H24" s="120"/>
      <c r="I24" s="120">
        <v>1</v>
      </c>
      <c r="J24" s="120"/>
      <c r="K24" s="120"/>
      <c r="L24" s="120"/>
      <c r="M24" s="120"/>
      <c r="N24" s="120"/>
      <c r="O24" s="120"/>
      <c r="P24" s="120"/>
      <c r="Q24" s="120"/>
      <c r="R24" s="120"/>
      <c r="S24" s="120"/>
      <c r="T24" s="120">
        <v>1</v>
      </c>
      <c r="U24" s="120"/>
      <c r="V24" s="120">
        <v>1</v>
      </c>
      <c r="W24" s="120"/>
      <c r="X24" s="120"/>
      <c r="Y24" s="120">
        <v>1</v>
      </c>
      <c r="Z24" s="120"/>
      <c r="AA24" s="120"/>
      <c r="AB24" s="120"/>
      <c r="AC24" s="120"/>
      <c r="AD24" s="120"/>
      <c r="AE24" s="120"/>
      <c r="AF24" s="120"/>
      <c r="AG24" s="120"/>
      <c r="AH24" s="120"/>
      <c r="AI24" s="120"/>
      <c r="AJ24" s="120"/>
      <c r="AK24" s="120"/>
      <c r="AL24" s="120"/>
      <c r="AM24" s="120"/>
      <c r="AN24" s="120"/>
      <c r="AO24" s="120"/>
      <c r="AP24" s="120"/>
      <c r="AQ24" s="120"/>
      <c r="AR24" s="120"/>
      <c r="AS24" s="120"/>
      <c r="AT24" s="120"/>
      <c r="AU24" s="120"/>
      <c r="AV24" s="120"/>
      <c r="AW24" s="120"/>
      <c r="AX24" s="120">
        <v>1</v>
      </c>
      <c r="AY24" s="120"/>
      <c r="AZ24" s="120">
        <v>1</v>
      </c>
      <c r="BA24" s="120">
        <v>1</v>
      </c>
      <c r="BB24" s="120">
        <v>1</v>
      </c>
      <c r="BC24" s="120"/>
      <c r="BD24" s="120"/>
      <c r="BE24" s="120"/>
      <c r="BF24" s="120"/>
      <c r="BG24" s="120"/>
      <c r="BH24" s="120"/>
      <c r="BI24" s="188">
        <f t="shared" si="0"/>
        <v>12</v>
      </c>
      <c r="BJ24" s="188" cm="1">
        <f t="array" ref="BJ24">SUMPRODUCT(--(B24:BC24=INT(B24:BC24)),--(B24:BC24&gt;0))</f>
        <v>12</v>
      </c>
      <c r="BK24" s="188" cm="1">
        <f t="array" ref="BK24">MAX(FREQUENCY(IF((B24:BC24=INT(B24:BC24))*(B24:BC24&gt;0),COLUMN(B24:BC24)),IF((B24:BC24&lt;&gt;INT(B24:BC24))+(B24:BC24&lt;=0),COLUMN(B24:BC24))))</f>
        <v>3</v>
      </c>
      <c r="BL24" s="189" cm="1">
        <f t="array" ref="BL24">SUMPRODUCT(--(B24:BA24=INT(B24:BA24)),--(B24:BA24&gt;0))/52*100%</f>
        <v>0.211538461538462</v>
      </c>
      <c r="BM24" s="190">
        <f t="shared" si="1"/>
        <v>17</v>
      </c>
      <c r="BN24" s="190">
        <f t="shared" si="2"/>
        <v>15</v>
      </c>
      <c r="BO24" s="190">
        <f t="shared" si="3"/>
        <v>11</v>
      </c>
    </row>
    <row r="25" customHeight="1" spans="1:67">
      <c r="A25" s="120">
        <v>23</v>
      </c>
      <c r="B25" s="120"/>
      <c r="C25" s="120"/>
      <c r="D25" s="120"/>
      <c r="E25" s="120"/>
      <c r="F25" s="120"/>
      <c r="G25" s="120"/>
      <c r="H25" s="120"/>
      <c r="I25" s="120"/>
      <c r="J25" s="120"/>
      <c r="K25" s="120"/>
      <c r="L25" s="120"/>
      <c r="M25" s="120"/>
      <c r="N25" s="120"/>
      <c r="O25" s="120"/>
      <c r="P25" s="120"/>
      <c r="Q25" s="120"/>
      <c r="R25" s="120"/>
      <c r="S25" s="120"/>
      <c r="T25" s="120"/>
      <c r="U25" s="120"/>
      <c r="V25" s="120"/>
      <c r="W25" s="120"/>
      <c r="X25" s="120"/>
      <c r="Y25" s="120">
        <v>1</v>
      </c>
      <c r="Z25" s="120"/>
      <c r="AA25" s="120"/>
      <c r="AB25" s="120"/>
      <c r="AC25" s="120"/>
      <c r="AD25" s="120"/>
      <c r="AE25" s="120"/>
      <c r="AF25" s="120"/>
      <c r="AG25" s="120"/>
      <c r="AH25" s="120"/>
      <c r="AI25" s="120"/>
      <c r="AJ25" s="120"/>
      <c r="AK25" s="120"/>
      <c r="AL25" s="120"/>
      <c r="AM25" s="120"/>
      <c r="AN25" s="120"/>
      <c r="AO25" s="120"/>
      <c r="AP25" s="120"/>
      <c r="AQ25" s="120"/>
      <c r="AR25" s="120"/>
      <c r="AS25" s="120"/>
      <c r="AT25" s="120"/>
      <c r="AU25" s="120"/>
      <c r="AV25" s="120"/>
      <c r="AW25" s="120"/>
      <c r="AX25" s="120"/>
      <c r="AY25" s="120"/>
      <c r="AZ25" s="120"/>
      <c r="BA25" s="120"/>
      <c r="BB25" s="120"/>
      <c r="BC25" s="120"/>
      <c r="BD25" s="120"/>
      <c r="BE25" s="120"/>
      <c r="BF25" s="120"/>
      <c r="BG25" s="120"/>
      <c r="BH25" s="120"/>
      <c r="BI25" s="188">
        <f t="shared" si="0"/>
        <v>1</v>
      </c>
      <c r="BJ25" s="188" cm="1">
        <f t="array" ref="BJ25">SUMPRODUCT(--(B25:BC25=INT(B25:BC25)),--(B25:BC25&gt;0))</f>
        <v>1</v>
      </c>
      <c r="BK25" s="188" cm="1">
        <f t="array" ref="BK25">MAX(FREQUENCY(IF((B25:BC25=INT(B25:BC25))*(B25:BC25&gt;0),COLUMN(B25:BC25)),IF((B25:BC25&lt;&gt;INT(B25:BC25))+(B25:BC25&lt;=0),COLUMN(B25:BC25))))</f>
        <v>1</v>
      </c>
      <c r="BL25" s="189" cm="1">
        <f t="array" ref="BL25">SUMPRODUCT(--(B25:BA25=INT(B25:BA25)),--(B25:BA25&gt;0))/52*100%</f>
        <v>0.0192307692307692</v>
      </c>
      <c r="BM25" s="190">
        <f t="shared" si="1"/>
        <v>35</v>
      </c>
      <c r="BN25" s="190">
        <f t="shared" si="2"/>
        <v>35</v>
      </c>
      <c r="BO25" s="190">
        <f t="shared" si="3"/>
        <v>22</v>
      </c>
    </row>
    <row r="26" customHeight="1" spans="1:67">
      <c r="A26" s="117">
        <v>24</v>
      </c>
      <c r="B26" s="120"/>
      <c r="C26" s="120"/>
      <c r="D26" s="120"/>
      <c r="E26" s="120"/>
      <c r="F26" s="120"/>
      <c r="G26" s="120"/>
      <c r="H26" s="120"/>
      <c r="I26" s="120"/>
      <c r="J26" s="120"/>
      <c r="K26" s="120"/>
      <c r="L26" s="120"/>
      <c r="M26" s="120"/>
      <c r="N26" s="120"/>
      <c r="O26" s="120"/>
      <c r="P26" s="120"/>
      <c r="Q26" s="120"/>
      <c r="R26" s="120"/>
      <c r="S26" s="120"/>
      <c r="T26" s="120"/>
      <c r="U26" s="120"/>
      <c r="V26" s="120"/>
      <c r="W26" s="120"/>
      <c r="X26" s="120"/>
      <c r="Y26" s="120"/>
      <c r="Z26" s="120"/>
      <c r="AA26" s="120"/>
      <c r="AB26" s="120"/>
      <c r="AC26" s="120"/>
      <c r="AD26" s="120"/>
      <c r="AE26" s="120"/>
      <c r="AF26" s="120"/>
      <c r="AG26" s="120"/>
      <c r="AH26" s="120"/>
      <c r="AI26" s="120"/>
      <c r="AJ26" s="120"/>
      <c r="AK26" s="120"/>
      <c r="AL26" s="120"/>
      <c r="AM26" s="120"/>
      <c r="AN26" s="120"/>
      <c r="AO26" s="120"/>
      <c r="AP26" s="120"/>
      <c r="AQ26" s="120"/>
      <c r="AR26" s="120"/>
      <c r="AS26" s="120"/>
      <c r="AT26" s="120"/>
      <c r="AU26" s="120"/>
      <c r="AV26" s="120"/>
      <c r="AW26" s="120"/>
      <c r="AX26" s="120"/>
      <c r="AY26" s="120"/>
      <c r="AZ26" s="120"/>
      <c r="BA26" s="120"/>
      <c r="BB26" s="120"/>
      <c r="BC26" s="120"/>
      <c r="BD26" s="120"/>
      <c r="BE26" s="120"/>
      <c r="BF26" s="120"/>
      <c r="BG26" s="120"/>
      <c r="BH26" s="120"/>
      <c r="BI26" s="188">
        <f t="shared" si="0"/>
        <v>0</v>
      </c>
      <c r="BJ26" s="188" cm="1">
        <f t="array" ref="BJ26">SUMPRODUCT(--(B26:BC26=INT(B26:BC26)),--(B26:BC26&gt;0))</f>
        <v>0</v>
      </c>
      <c r="BK26" s="188" cm="1">
        <f t="array" ref="BK26">MAX(FREQUENCY(IF((B26:BC26=INT(B26:BC26))*(B26:BC26&gt;0),COLUMN(B26:BC26)),IF((B26:BC26&lt;&gt;INT(B26:BC26))+(B26:BC26&lt;=0),COLUMN(B26:BC26))))</f>
        <v>0</v>
      </c>
      <c r="BL26" s="189" cm="1">
        <f t="array" ref="BL26">SUMPRODUCT(--(B26:BA26=INT(B26:BA26)),--(B26:BA26&gt;0))/52*100%</f>
        <v>0</v>
      </c>
      <c r="BM26" s="190">
        <f t="shared" si="1"/>
        <v>43</v>
      </c>
      <c r="BN26" s="190">
        <f t="shared" si="2"/>
        <v>43</v>
      </c>
      <c r="BO26" s="190">
        <f t="shared" si="3"/>
        <v>43</v>
      </c>
    </row>
    <row r="27" customHeight="1" spans="1:67">
      <c r="A27" s="117">
        <v>25</v>
      </c>
      <c r="B27" s="120"/>
      <c r="C27" s="120"/>
      <c r="D27" s="120"/>
      <c r="E27" s="120"/>
      <c r="F27" s="120"/>
      <c r="G27" s="120"/>
      <c r="H27" s="120"/>
      <c r="I27" s="120"/>
      <c r="J27" s="120"/>
      <c r="K27" s="120"/>
      <c r="L27" s="120"/>
      <c r="M27" s="120"/>
      <c r="N27" s="120"/>
      <c r="O27" s="120"/>
      <c r="P27" s="120"/>
      <c r="Q27" s="120"/>
      <c r="R27" s="120"/>
      <c r="S27" s="120"/>
      <c r="T27" s="120"/>
      <c r="U27" s="120"/>
      <c r="V27" s="120"/>
      <c r="W27" s="120"/>
      <c r="X27" s="120"/>
      <c r="Y27" s="120"/>
      <c r="Z27" s="120"/>
      <c r="AA27" s="120"/>
      <c r="AB27" s="120"/>
      <c r="AC27" s="120"/>
      <c r="AD27" s="120"/>
      <c r="AE27" s="120"/>
      <c r="AF27" s="120"/>
      <c r="AG27" s="120"/>
      <c r="AH27" s="120"/>
      <c r="AI27" s="120"/>
      <c r="AJ27" s="120"/>
      <c r="AK27" s="120"/>
      <c r="AL27" s="120"/>
      <c r="AM27" s="120"/>
      <c r="AN27" s="120"/>
      <c r="AO27" s="120"/>
      <c r="AP27" s="120"/>
      <c r="AQ27" s="120"/>
      <c r="AR27" s="120"/>
      <c r="AS27" s="120"/>
      <c r="AT27" s="120"/>
      <c r="AU27" s="120"/>
      <c r="AV27" s="120"/>
      <c r="AW27" s="120"/>
      <c r="AX27" s="120"/>
      <c r="AY27" s="120"/>
      <c r="AZ27" s="120"/>
      <c r="BA27" s="120"/>
      <c r="BB27" s="120"/>
      <c r="BC27" s="120"/>
      <c r="BD27" s="120"/>
      <c r="BE27" s="120"/>
      <c r="BF27" s="120"/>
      <c r="BG27" s="120"/>
      <c r="BH27" s="120"/>
      <c r="BI27" s="188">
        <f t="shared" si="0"/>
        <v>0</v>
      </c>
      <c r="BJ27" s="188" cm="1">
        <f t="array" ref="BJ27">SUMPRODUCT(--(B27:BC27=INT(B27:BC27)),--(B27:BC27&gt;0))</f>
        <v>0</v>
      </c>
      <c r="BK27" s="188" cm="1">
        <f t="array" ref="BK27">MAX(FREQUENCY(IF((B27:BC27=INT(B27:BC27))*(B27:BC27&gt;0),COLUMN(B27:BC27)),IF((B27:BC27&lt;&gt;INT(B27:BC27))+(B27:BC27&lt;=0),COLUMN(B27:BC27))))</f>
        <v>0</v>
      </c>
      <c r="BL27" s="189" cm="1">
        <f t="array" ref="BL27">SUMPRODUCT(--(B27:BA27=INT(B27:BA27)),--(B27:BA27&gt;0))/52*100%</f>
        <v>0</v>
      </c>
      <c r="BM27" s="190">
        <f t="shared" si="1"/>
        <v>43</v>
      </c>
      <c r="BN27" s="190">
        <f t="shared" si="2"/>
        <v>43</v>
      </c>
      <c r="BO27" s="190">
        <f t="shared" si="3"/>
        <v>43</v>
      </c>
    </row>
    <row r="28" customHeight="1" spans="1:67">
      <c r="A28" s="4">
        <v>26</v>
      </c>
      <c r="B28" s="120"/>
      <c r="C28" s="120">
        <v>1</v>
      </c>
      <c r="D28" s="120"/>
      <c r="E28" s="120"/>
      <c r="F28" s="120"/>
      <c r="G28" s="120"/>
      <c r="H28" s="120">
        <v>1</v>
      </c>
      <c r="I28" s="120"/>
      <c r="J28" s="120"/>
      <c r="K28" s="120">
        <v>1</v>
      </c>
      <c r="L28" s="120"/>
      <c r="M28" s="120"/>
      <c r="N28" s="120"/>
      <c r="O28" s="120"/>
      <c r="P28" s="120"/>
      <c r="Q28" s="120">
        <v>1</v>
      </c>
      <c r="R28" s="120"/>
      <c r="S28" s="120">
        <v>1</v>
      </c>
      <c r="T28" s="120">
        <v>1</v>
      </c>
      <c r="U28" s="120"/>
      <c r="V28" s="120">
        <v>1</v>
      </c>
      <c r="W28" s="120"/>
      <c r="X28" s="120"/>
      <c r="Y28" s="120">
        <v>1</v>
      </c>
      <c r="Z28" s="120"/>
      <c r="AA28" s="120"/>
      <c r="AB28" s="120"/>
      <c r="AC28" s="120"/>
      <c r="AD28" s="120"/>
      <c r="AE28" s="120"/>
      <c r="AF28" s="120"/>
      <c r="AG28" s="120"/>
      <c r="AH28" s="120"/>
      <c r="AI28" s="120"/>
      <c r="AJ28" s="120">
        <v>1</v>
      </c>
      <c r="AK28" s="120"/>
      <c r="AL28" s="120"/>
      <c r="AM28" s="120"/>
      <c r="AN28" s="120"/>
      <c r="AO28" s="120"/>
      <c r="AP28" s="120"/>
      <c r="AQ28" s="120"/>
      <c r="AR28" s="120">
        <v>1</v>
      </c>
      <c r="AS28" s="120"/>
      <c r="AT28" s="120"/>
      <c r="AU28" s="120">
        <v>1</v>
      </c>
      <c r="AV28" s="120"/>
      <c r="AW28" s="120"/>
      <c r="AX28" s="120">
        <v>2</v>
      </c>
      <c r="AY28" s="120">
        <v>1</v>
      </c>
      <c r="AZ28" s="120"/>
      <c r="BA28" s="120">
        <v>1</v>
      </c>
      <c r="BB28" s="120"/>
      <c r="BC28" s="120"/>
      <c r="BD28" s="120"/>
      <c r="BE28" s="120"/>
      <c r="BF28" s="120"/>
      <c r="BG28" s="120"/>
      <c r="BH28" s="120"/>
      <c r="BI28" s="188">
        <f t="shared" si="0"/>
        <v>15</v>
      </c>
      <c r="BJ28" s="188" cm="1">
        <f t="array" ref="BJ28">SUMPRODUCT(--(B28:BC28=INT(B28:BC28)),--(B28:BC28&gt;0))</f>
        <v>14</v>
      </c>
      <c r="BK28" s="188" cm="1">
        <f t="array" ref="BK28">MAX(FREQUENCY(IF((B28:BC28=INT(B28:BC28))*(B28:BC28&gt;0),COLUMN(B28:BC28)),IF((B28:BC28&lt;&gt;INT(B28:BC28))+(B28:BC28&lt;=0),COLUMN(B28:BC28))))</f>
        <v>2</v>
      </c>
      <c r="BL28" s="189" cm="1">
        <f t="array" ref="BL28">SUMPRODUCT(--(B28:BA28=INT(B28:BA28)),--(B28:BA28&gt;0))/52*100%</f>
        <v>0.269230769230769</v>
      </c>
      <c r="BM28" s="190">
        <f t="shared" si="1"/>
        <v>12</v>
      </c>
      <c r="BN28" s="190">
        <f t="shared" si="2"/>
        <v>12</v>
      </c>
      <c r="BO28" s="190">
        <f t="shared" si="3"/>
        <v>17</v>
      </c>
    </row>
    <row r="29" customHeight="1" spans="1:67">
      <c r="A29" s="4">
        <v>27</v>
      </c>
      <c r="B29" s="120"/>
      <c r="C29" s="120"/>
      <c r="D29" s="120">
        <v>1</v>
      </c>
      <c r="E29" s="120"/>
      <c r="F29" s="120"/>
      <c r="G29" s="120"/>
      <c r="H29" s="120"/>
      <c r="I29" s="120"/>
      <c r="J29" s="120"/>
      <c r="K29" s="120"/>
      <c r="L29" s="120"/>
      <c r="M29" s="120">
        <v>1</v>
      </c>
      <c r="N29" s="120"/>
      <c r="O29" s="120"/>
      <c r="P29" s="120"/>
      <c r="Q29" s="120"/>
      <c r="R29" s="120"/>
      <c r="S29" s="120"/>
      <c r="T29" s="120"/>
      <c r="U29" s="120"/>
      <c r="V29" s="120">
        <v>1</v>
      </c>
      <c r="W29" s="120"/>
      <c r="X29" s="120"/>
      <c r="Y29" s="120">
        <v>1</v>
      </c>
      <c r="Z29" s="120"/>
      <c r="AA29" s="120"/>
      <c r="AB29" s="120"/>
      <c r="AC29" s="120"/>
      <c r="AD29" s="120"/>
      <c r="AE29" s="120"/>
      <c r="AF29" s="120"/>
      <c r="AG29" s="120"/>
      <c r="AH29" s="120"/>
      <c r="AI29" s="120"/>
      <c r="AJ29" s="120">
        <v>1</v>
      </c>
      <c r="AK29" s="120"/>
      <c r="AL29" s="120"/>
      <c r="AM29" s="120"/>
      <c r="AN29" s="120"/>
      <c r="AO29" s="120">
        <v>1</v>
      </c>
      <c r="AP29" s="120"/>
      <c r="AQ29" s="120">
        <v>1</v>
      </c>
      <c r="AR29" s="120">
        <v>1</v>
      </c>
      <c r="AS29" s="120">
        <v>1</v>
      </c>
      <c r="AT29" s="120">
        <v>1</v>
      </c>
      <c r="AU29" s="120">
        <v>1</v>
      </c>
      <c r="AV29" s="120"/>
      <c r="AW29" s="120"/>
      <c r="AX29" s="120"/>
      <c r="AY29" s="120"/>
      <c r="AZ29" s="120"/>
      <c r="BA29" s="120"/>
      <c r="BB29" s="120"/>
      <c r="BC29" s="120"/>
      <c r="BD29" s="120"/>
      <c r="BE29" s="120"/>
      <c r="BF29" s="120"/>
      <c r="BG29" s="120"/>
      <c r="BH29" s="120"/>
      <c r="BI29" s="188">
        <f t="shared" si="0"/>
        <v>11</v>
      </c>
      <c r="BJ29" s="188" cm="1">
        <f t="array" ref="BJ29">SUMPRODUCT(--(B29:BC29=INT(B29:BC29)),--(B29:BC29&gt;0))</f>
        <v>11</v>
      </c>
      <c r="BK29" s="188" cm="1">
        <f t="array" ref="BK29">MAX(FREQUENCY(IF((B29:BC29=INT(B29:BC29))*(B29:BC29&gt;0),COLUMN(B29:BC29)),IF((B29:BC29&lt;&gt;INT(B29:BC29))+(B29:BC29&lt;=0),COLUMN(B29:BC29))))</f>
        <v>5</v>
      </c>
      <c r="BL29" s="189" cm="1">
        <f t="array" ref="BL29">SUMPRODUCT(--(B29:BA29=INT(B29:BA29)),--(B29:BA29&gt;0))/52*100%</f>
        <v>0.211538461538462</v>
      </c>
      <c r="BM29" s="190">
        <f t="shared" si="1"/>
        <v>19</v>
      </c>
      <c r="BN29" s="190">
        <f t="shared" si="2"/>
        <v>18</v>
      </c>
      <c r="BO29" s="190">
        <f t="shared" si="3"/>
        <v>4</v>
      </c>
    </row>
    <row r="30" customHeight="1" spans="1:67">
      <c r="A30" s="4">
        <v>28</v>
      </c>
      <c r="B30" s="120">
        <v>1</v>
      </c>
      <c r="C30" s="120"/>
      <c r="D30" s="120"/>
      <c r="E30" s="120"/>
      <c r="F30" s="120"/>
      <c r="G30" s="120"/>
      <c r="H30" s="120">
        <v>1</v>
      </c>
      <c r="I30" s="120"/>
      <c r="J30" s="120"/>
      <c r="K30" s="120"/>
      <c r="L30" s="120"/>
      <c r="M30" s="120"/>
      <c r="N30" s="120"/>
      <c r="O30" s="120"/>
      <c r="P30" s="120"/>
      <c r="Q30" s="120"/>
      <c r="R30" s="120"/>
      <c r="S30" s="120">
        <v>2</v>
      </c>
      <c r="T30" s="120">
        <v>1</v>
      </c>
      <c r="U30" s="120">
        <v>1</v>
      </c>
      <c r="V30" s="120">
        <v>1</v>
      </c>
      <c r="W30" s="120"/>
      <c r="X30" s="120"/>
      <c r="Y30" s="120">
        <v>1</v>
      </c>
      <c r="Z30" s="120"/>
      <c r="AA30" s="120"/>
      <c r="AB30" s="120"/>
      <c r="AC30" s="120"/>
      <c r="AD30" s="120"/>
      <c r="AE30" s="120"/>
      <c r="AF30" s="120"/>
      <c r="AG30" s="120"/>
      <c r="AH30" s="120"/>
      <c r="AI30" s="120"/>
      <c r="AJ30" s="120"/>
      <c r="AK30" s="120"/>
      <c r="AL30" s="120"/>
      <c r="AM30" s="120"/>
      <c r="AN30" s="120"/>
      <c r="AO30" s="120"/>
      <c r="AP30" s="120"/>
      <c r="AQ30" s="120"/>
      <c r="AR30" s="120"/>
      <c r="AS30" s="120"/>
      <c r="AT30" s="120"/>
      <c r="AU30" s="120"/>
      <c r="AV30" s="120"/>
      <c r="AW30" s="120"/>
      <c r="AX30" s="120"/>
      <c r="AY30" s="120"/>
      <c r="AZ30" s="120"/>
      <c r="BA30" s="120"/>
      <c r="BB30" s="120">
        <v>1</v>
      </c>
      <c r="BC30" s="120"/>
      <c r="BD30" s="120"/>
      <c r="BE30" s="120"/>
      <c r="BF30" s="120"/>
      <c r="BG30" s="120"/>
      <c r="BH30" s="120"/>
      <c r="BI30" s="188">
        <f t="shared" si="0"/>
        <v>9</v>
      </c>
      <c r="BJ30" s="188" cm="1">
        <f t="array" ref="BJ30">SUMPRODUCT(--(B30:BC30=INT(B30:BC30)),--(B30:BC30&gt;0))</f>
        <v>8</v>
      </c>
      <c r="BK30" s="188" cm="1">
        <f t="array" ref="BK30">MAX(FREQUENCY(IF((B30:BC30=INT(B30:BC30))*(B30:BC30&gt;0),COLUMN(B30:BC30)),IF((B30:BC30&lt;&gt;INT(B30:BC30))+(B30:BC30&lt;=0),COLUMN(B30:BC30))))</f>
        <v>4</v>
      </c>
      <c r="BL30" s="189" cm="1">
        <f t="array" ref="BL30">SUMPRODUCT(--(B30:BA30=INT(B30:BA30)),--(B30:BA30&gt;0))/52*100%</f>
        <v>0.134615384615385</v>
      </c>
      <c r="BM30" s="190">
        <f t="shared" si="1"/>
        <v>20</v>
      </c>
      <c r="BN30" s="190">
        <f t="shared" si="2"/>
        <v>21</v>
      </c>
      <c r="BO30" s="190">
        <f t="shared" si="3"/>
        <v>9</v>
      </c>
    </row>
    <row r="31" customHeight="1" spans="1:67">
      <c r="A31" s="4">
        <v>29</v>
      </c>
      <c r="B31" s="120">
        <v>1</v>
      </c>
      <c r="C31" s="120"/>
      <c r="D31" s="120"/>
      <c r="E31" s="120"/>
      <c r="F31" s="120"/>
      <c r="G31" s="120"/>
      <c r="H31" s="120">
        <v>1</v>
      </c>
      <c r="I31" s="120">
        <v>2</v>
      </c>
      <c r="J31" s="120"/>
      <c r="K31" s="120"/>
      <c r="L31" s="120"/>
      <c r="M31" s="120"/>
      <c r="N31" s="120"/>
      <c r="O31" s="120"/>
      <c r="P31" s="120"/>
      <c r="Q31" s="120">
        <v>1</v>
      </c>
      <c r="R31" s="120"/>
      <c r="S31" s="120">
        <v>1</v>
      </c>
      <c r="T31" s="120">
        <v>1</v>
      </c>
      <c r="U31" s="120"/>
      <c r="V31" s="120"/>
      <c r="W31" s="120"/>
      <c r="X31" s="120"/>
      <c r="Y31" s="120">
        <v>1</v>
      </c>
      <c r="Z31" s="120"/>
      <c r="AA31" s="120"/>
      <c r="AB31" s="120"/>
      <c r="AC31" s="120"/>
      <c r="AD31" s="120"/>
      <c r="AE31" s="120"/>
      <c r="AF31" s="120"/>
      <c r="AG31" s="120"/>
      <c r="AH31" s="120"/>
      <c r="AI31" s="120"/>
      <c r="AJ31" s="120">
        <v>1</v>
      </c>
      <c r="AK31" s="120">
        <v>1</v>
      </c>
      <c r="AL31" s="120"/>
      <c r="AM31" s="120"/>
      <c r="AN31" s="120">
        <v>1</v>
      </c>
      <c r="AO31" s="120"/>
      <c r="AP31" s="120">
        <v>1</v>
      </c>
      <c r="AQ31" s="120"/>
      <c r="AR31" s="120"/>
      <c r="AS31" s="120"/>
      <c r="AT31" s="120"/>
      <c r="AU31" s="120"/>
      <c r="AV31" s="120"/>
      <c r="AW31" s="120"/>
      <c r="AX31" s="120"/>
      <c r="AY31" s="120"/>
      <c r="AZ31" s="120"/>
      <c r="BA31" s="120">
        <v>1</v>
      </c>
      <c r="BB31" s="120"/>
      <c r="BC31" s="120"/>
      <c r="BD31" s="120"/>
      <c r="BE31" s="120"/>
      <c r="BF31" s="120"/>
      <c r="BG31" s="120"/>
      <c r="BH31" s="120"/>
      <c r="BI31" s="188">
        <f t="shared" si="0"/>
        <v>13</v>
      </c>
      <c r="BJ31" s="188" cm="1">
        <f t="array" ref="BJ31">SUMPRODUCT(--(B31:BC31=INT(B31:BC31)),--(B31:BC31&gt;0))</f>
        <v>12</v>
      </c>
      <c r="BK31" s="188" cm="1">
        <f t="array" ref="BK31">MAX(FREQUENCY(IF((B31:BC31=INT(B31:BC31))*(B31:BC31&gt;0),COLUMN(B31:BC31)),IF((B31:BC31&lt;&gt;INT(B31:BC31))+(B31:BC31&lt;=0),COLUMN(B31:BC31))))</f>
        <v>2</v>
      </c>
      <c r="BL31" s="189" cm="1">
        <f t="array" ref="BL31">SUMPRODUCT(--(B31:BA31=INT(B31:BA31)),--(B31:BA31&gt;0))/52*100%</f>
        <v>0.230769230769231</v>
      </c>
      <c r="BM31" s="190">
        <f t="shared" si="1"/>
        <v>14</v>
      </c>
      <c r="BN31" s="190">
        <f t="shared" si="2"/>
        <v>15</v>
      </c>
      <c r="BO31" s="190">
        <f t="shared" si="3"/>
        <v>17</v>
      </c>
    </row>
    <row r="32" customHeight="1" spans="1:67">
      <c r="A32" s="4">
        <v>30</v>
      </c>
      <c r="B32" s="120"/>
      <c r="C32" s="120">
        <v>1</v>
      </c>
      <c r="D32" s="120"/>
      <c r="E32" s="120">
        <v>1</v>
      </c>
      <c r="F32" s="120"/>
      <c r="G32" s="120"/>
      <c r="H32" s="120"/>
      <c r="I32" s="120">
        <v>2</v>
      </c>
      <c r="J32" s="120">
        <v>1</v>
      </c>
      <c r="K32" s="120"/>
      <c r="L32" s="120"/>
      <c r="M32" s="120"/>
      <c r="N32" s="120">
        <v>1</v>
      </c>
      <c r="O32" s="120"/>
      <c r="P32" s="120"/>
      <c r="Q32" s="120"/>
      <c r="R32" s="120">
        <v>1</v>
      </c>
      <c r="S32" s="120">
        <v>1</v>
      </c>
      <c r="T32" s="120">
        <v>1</v>
      </c>
      <c r="U32" s="120"/>
      <c r="V32" s="120"/>
      <c r="W32" s="120"/>
      <c r="X32" s="120"/>
      <c r="Y32" s="120">
        <v>1</v>
      </c>
      <c r="Z32" s="120"/>
      <c r="AA32" s="120"/>
      <c r="AB32" s="120"/>
      <c r="AC32" s="120"/>
      <c r="AD32" s="120"/>
      <c r="AE32" s="120"/>
      <c r="AF32" s="120"/>
      <c r="AG32" s="120"/>
      <c r="AH32" s="120"/>
      <c r="AI32" s="120"/>
      <c r="AJ32" s="120">
        <v>1</v>
      </c>
      <c r="AK32" s="120"/>
      <c r="AL32" s="120"/>
      <c r="AM32" s="120"/>
      <c r="AN32" s="120"/>
      <c r="AO32" s="120"/>
      <c r="AP32" s="120"/>
      <c r="AQ32" s="120"/>
      <c r="AR32" s="120">
        <v>1</v>
      </c>
      <c r="AS32" s="120"/>
      <c r="AT32" s="120"/>
      <c r="AU32" s="120"/>
      <c r="AV32" s="120"/>
      <c r="AW32" s="120"/>
      <c r="AX32" s="120">
        <v>1</v>
      </c>
      <c r="AY32" s="120">
        <v>1</v>
      </c>
      <c r="AZ32" s="120">
        <v>1</v>
      </c>
      <c r="BA32" s="120"/>
      <c r="BB32" s="120"/>
      <c r="BC32" s="120"/>
      <c r="BD32" s="120"/>
      <c r="BE32" s="120"/>
      <c r="BF32" s="120"/>
      <c r="BG32" s="120"/>
      <c r="BH32" s="120"/>
      <c r="BI32" s="188">
        <f t="shared" si="0"/>
        <v>15</v>
      </c>
      <c r="BJ32" s="188" cm="1">
        <f t="array" ref="BJ32">SUMPRODUCT(--(B32:BC32=INT(B32:BC32)),--(B32:BC32&gt;0))</f>
        <v>14</v>
      </c>
      <c r="BK32" s="188" cm="1">
        <f t="array" ref="BK32">MAX(FREQUENCY(IF((B32:BC32=INT(B32:BC32))*(B32:BC32&gt;0),COLUMN(B32:BC32)),IF((B32:BC32&lt;&gt;INT(B32:BC32))+(B32:BC32&lt;=0),COLUMN(B32:BC32))))</f>
        <v>3</v>
      </c>
      <c r="BL32" s="189" cm="1">
        <f t="array" ref="BL32">SUMPRODUCT(--(B32:BA32=INT(B32:BA32)),--(B32:BA32&gt;0))/52*100%</f>
        <v>0.269230769230769</v>
      </c>
      <c r="BM32" s="190">
        <f t="shared" si="1"/>
        <v>12</v>
      </c>
      <c r="BN32" s="190">
        <f t="shared" si="2"/>
        <v>12</v>
      </c>
      <c r="BO32" s="190">
        <f t="shared" si="3"/>
        <v>11</v>
      </c>
    </row>
    <row r="33" customHeight="1" spans="1:67">
      <c r="A33" s="4">
        <v>31</v>
      </c>
      <c r="B33" s="120">
        <v>1</v>
      </c>
      <c r="C33" s="120"/>
      <c r="D33" s="120"/>
      <c r="E33" s="120"/>
      <c r="F33" s="120"/>
      <c r="G33" s="120"/>
      <c r="H33" s="120"/>
      <c r="I33" s="120"/>
      <c r="J33" s="120"/>
      <c r="K33" s="120"/>
      <c r="L33" s="120"/>
      <c r="M33" s="120"/>
      <c r="N33" s="120"/>
      <c r="O33" s="120"/>
      <c r="P33" s="120"/>
      <c r="Q33" s="120"/>
      <c r="R33" s="120"/>
      <c r="S33" s="120"/>
      <c r="T33" s="120">
        <v>1</v>
      </c>
      <c r="U33" s="120"/>
      <c r="V33" s="120"/>
      <c r="W33" s="120"/>
      <c r="X33" s="120"/>
      <c r="Y33" s="120">
        <v>1</v>
      </c>
      <c r="Z33" s="120"/>
      <c r="AA33" s="120"/>
      <c r="AB33" s="120"/>
      <c r="AC33" s="120"/>
      <c r="AD33" s="120"/>
      <c r="AE33" s="120"/>
      <c r="AF33" s="120"/>
      <c r="AG33" s="120"/>
      <c r="AH33" s="120"/>
      <c r="AI33" s="120"/>
      <c r="AJ33" s="120">
        <v>1</v>
      </c>
      <c r="AK33" s="120"/>
      <c r="AL33" s="120"/>
      <c r="AM33" s="120"/>
      <c r="AN33" s="120"/>
      <c r="AO33" s="120"/>
      <c r="AP33" s="120"/>
      <c r="AQ33" s="120"/>
      <c r="AR33" s="120"/>
      <c r="AS33" s="120">
        <v>1</v>
      </c>
      <c r="AT33" s="120"/>
      <c r="AU33" s="120"/>
      <c r="AV33" s="120"/>
      <c r="AW33" s="120"/>
      <c r="AX33" s="120"/>
      <c r="AY33" s="120"/>
      <c r="AZ33" s="120"/>
      <c r="BA33" s="120"/>
      <c r="BB33" s="120">
        <v>1</v>
      </c>
      <c r="BC33" s="120"/>
      <c r="BD33" s="120"/>
      <c r="BE33" s="120"/>
      <c r="BF33" s="120"/>
      <c r="BG33" s="120"/>
      <c r="BH33" s="120"/>
      <c r="BI33" s="188">
        <f t="shared" si="0"/>
        <v>6</v>
      </c>
      <c r="BJ33" s="188" cm="1">
        <f t="array" ref="BJ33">SUMPRODUCT(--(B33:BC33=INT(B33:BC33)),--(B33:BC33&gt;0))</f>
        <v>6</v>
      </c>
      <c r="BK33" s="188" cm="1">
        <f t="array" ref="BK33">MAX(FREQUENCY(IF((B33:BC33=INT(B33:BC33))*(B33:BC33&gt;0),COLUMN(B33:BC33)),IF((B33:BC33&lt;&gt;INT(B33:BC33))+(B33:BC33&lt;=0),COLUMN(B33:BC33))))</f>
        <v>1</v>
      </c>
      <c r="BL33" s="189" cm="1">
        <f t="array" ref="BL33">SUMPRODUCT(--(B33:BA33=INT(B33:BA33)),--(B33:BA33&gt;0))/52*100%</f>
        <v>0.0961538461538462</v>
      </c>
      <c r="BM33" s="190">
        <f t="shared" si="1"/>
        <v>23</v>
      </c>
      <c r="BN33" s="190">
        <f t="shared" si="2"/>
        <v>23</v>
      </c>
      <c r="BO33" s="190">
        <f t="shared" si="3"/>
        <v>22</v>
      </c>
    </row>
    <row r="34" customHeight="1" spans="1:67">
      <c r="A34" s="117">
        <v>32</v>
      </c>
      <c r="B34" s="120"/>
      <c r="C34" s="120"/>
      <c r="D34" s="120"/>
      <c r="E34" s="120"/>
      <c r="F34" s="120"/>
      <c r="G34" s="120"/>
      <c r="H34" s="120"/>
      <c r="I34" s="120"/>
      <c r="J34" s="120"/>
      <c r="K34" s="120"/>
      <c r="L34" s="120"/>
      <c r="M34" s="120"/>
      <c r="N34" s="120"/>
      <c r="O34" s="120"/>
      <c r="P34" s="120"/>
      <c r="Q34" s="120"/>
      <c r="R34" s="120"/>
      <c r="S34" s="120"/>
      <c r="T34" s="120"/>
      <c r="U34" s="120"/>
      <c r="V34" s="120"/>
      <c r="W34" s="120"/>
      <c r="X34" s="120"/>
      <c r="Y34" s="120"/>
      <c r="Z34" s="120"/>
      <c r="AA34" s="120"/>
      <c r="AB34" s="120"/>
      <c r="AC34" s="120"/>
      <c r="AD34" s="120"/>
      <c r="AE34" s="120"/>
      <c r="AF34" s="120"/>
      <c r="AG34" s="120"/>
      <c r="AH34" s="120"/>
      <c r="AI34" s="120"/>
      <c r="AJ34" s="120"/>
      <c r="AK34" s="120"/>
      <c r="AL34" s="120"/>
      <c r="AM34" s="120"/>
      <c r="AN34" s="120"/>
      <c r="AO34" s="120"/>
      <c r="AP34" s="120"/>
      <c r="AQ34" s="120"/>
      <c r="AR34" s="120"/>
      <c r="AS34" s="120"/>
      <c r="AT34" s="120"/>
      <c r="AU34" s="120"/>
      <c r="AV34" s="120"/>
      <c r="AW34" s="120"/>
      <c r="AX34" s="120"/>
      <c r="AY34" s="120"/>
      <c r="AZ34" s="120"/>
      <c r="BA34" s="120"/>
      <c r="BB34" s="120"/>
      <c r="BC34" s="120"/>
      <c r="BD34" s="120"/>
      <c r="BE34" s="120"/>
      <c r="BF34" s="120"/>
      <c r="BG34" s="120"/>
      <c r="BH34" s="120"/>
      <c r="BI34" s="188">
        <f t="shared" si="0"/>
        <v>0</v>
      </c>
      <c r="BJ34" s="188" cm="1">
        <f t="array" ref="BJ34">SUMPRODUCT(--(B34:BC34=INT(B34:BC34)),--(B34:BC34&gt;0))</f>
        <v>0</v>
      </c>
      <c r="BK34" s="188" cm="1">
        <f t="array" ref="BK34">MAX(FREQUENCY(IF((B34:BC34=INT(B34:BC34))*(B34:BC34&gt;0),COLUMN(B34:BC34)),IF((B34:BC34&lt;&gt;INT(B34:BC34))+(B34:BC34&lt;=0),COLUMN(B34:BC34))))</f>
        <v>0</v>
      </c>
      <c r="BL34" s="189" cm="1">
        <f t="array" ref="BL34">SUMPRODUCT(--(B34:BA34=INT(B34:BA34)),--(B34:BA34&gt;0))/52*100%</f>
        <v>0</v>
      </c>
      <c r="BM34" s="190">
        <f t="shared" si="1"/>
        <v>43</v>
      </c>
      <c r="BN34" s="190">
        <f t="shared" si="2"/>
        <v>43</v>
      </c>
      <c r="BO34" s="190">
        <f t="shared" si="3"/>
        <v>43</v>
      </c>
    </row>
    <row r="35" customHeight="1" spans="1:67">
      <c r="A35" s="191">
        <v>33</v>
      </c>
      <c r="B35" s="191"/>
      <c r="C35" s="191"/>
      <c r="D35" s="191"/>
      <c r="E35" s="191"/>
      <c r="F35" s="191"/>
      <c r="G35" s="191"/>
      <c r="H35" s="191"/>
      <c r="I35" s="191"/>
      <c r="J35" s="191"/>
      <c r="K35" s="191"/>
      <c r="L35" s="191"/>
      <c r="M35" s="191"/>
      <c r="N35" s="191"/>
      <c r="O35" s="191"/>
      <c r="P35" s="191"/>
      <c r="Q35" s="191"/>
      <c r="R35" s="191"/>
      <c r="S35" s="191"/>
      <c r="T35" s="191"/>
      <c r="U35" s="191"/>
      <c r="V35" s="191"/>
      <c r="W35" s="191"/>
      <c r="X35" s="191"/>
      <c r="Y35" s="191"/>
      <c r="Z35" s="191"/>
      <c r="AA35" s="191"/>
      <c r="AB35" s="191"/>
      <c r="AC35" s="191"/>
      <c r="AD35" s="191"/>
      <c r="AE35" s="191"/>
      <c r="AF35" s="191"/>
      <c r="AG35" s="191"/>
      <c r="AH35" s="191"/>
      <c r="AI35" s="191"/>
      <c r="AJ35" s="191"/>
      <c r="AK35" s="191"/>
      <c r="AL35" s="191"/>
      <c r="AM35" s="191"/>
      <c r="AN35" s="191"/>
      <c r="AO35" s="191"/>
      <c r="AP35" s="191"/>
      <c r="AQ35" s="191"/>
      <c r="AR35" s="191"/>
      <c r="AS35" s="191"/>
      <c r="AT35" s="191"/>
      <c r="AU35" s="191"/>
      <c r="AV35" s="191"/>
      <c r="AW35" s="191"/>
      <c r="AX35" s="191"/>
      <c r="AY35" s="191"/>
      <c r="AZ35" s="191"/>
      <c r="BA35" s="191"/>
      <c r="BB35" s="191"/>
      <c r="BC35" s="191"/>
      <c r="BD35" s="191"/>
      <c r="BE35" s="191"/>
      <c r="BF35" s="191"/>
      <c r="BG35" s="191"/>
      <c r="BH35" s="191"/>
      <c r="BI35" s="188">
        <f t="shared" si="0"/>
        <v>0</v>
      </c>
      <c r="BJ35" s="188" cm="1">
        <f t="array" ref="BJ35">SUMPRODUCT(--(B35:BC35=INT(B35:BC35)),--(B35:BC35&gt;0))</f>
        <v>0</v>
      </c>
      <c r="BK35" s="188" cm="1">
        <f t="array" ref="BK35">MAX(FREQUENCY(IF((B35:BC35=INT(B35:BC35))*(B35:BC35&gt;0),COLUMN(B35:BC35)),IF((B35:BC35&lt;&gt;INT(B35:BC35))+(B35:BC35&lt;=0),COLUMN(B35:BC35))))</f>
        <v>0</v>
      </c>
      <c r="BL35" s="189" cm="1">
        <f t="array" ref="BL35">SUMPRODUCT(--(B35:BA35=INT(B35:BA35)),--(B35:BA35&gt;0))/52*100%</f>
        <v>0</v>
      </c>
      <c r="BM35" s="190">
        <f t="shared" si="1"/>
        <v>43</v>
      </c>
      <c r="BN35" s="190">
        <f t="shared" si="2"/>
        <v>43</v>
      </c>
      <c r="BO35" s="190">
        <f t="shared" si="3"/>
        <v>43</v>
      </c>
    </row>
    <row r="36" customHeight="1" spans="1:67">
      <c r="A36" s="120">
        <v>34</v>
      </c>
      <c r="B36" s="120"/>
      <c r="C36" s="120"/>
      <c r="D36" s="120"/>
      <c r="E36" s="120"/>
      <c r="F36" s="120"/>
      <c r="G36" s="120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>
        <v>1</v>
      </c>
      <c r="Z36" s="120"/>
      <c r="AA36" s="120"/>
      <c r="AB36" s="120"/>
      <c r="AC36" s="120"/>
      <c r="AD36" s="120"/>
      <c r="AE36" s="120"/>
      <c r="AF36" s="120"/>
      <c r="AG36" s="120"/>
      <c r="AH36" s="120"/>
      <c r="AI36" s="120"/>
      <c r="AJ36" s="120"/>
      <c r="AK36" s="120"/>
      <c r="AL36" s="120"/>
      <c r="AM36" s="120"/>
      <c r="AN36" s="120"/>
      <c r="AO36" s="120"/>
      <c r="AP36" s="120"/>
      <c r="AQ36" s="120"/>
      <c r="AR36" s="120"/>
      <c r="AS36" s="120"/>
      <c r="AT36" s="120"/>
      <c r="AU36" s="120"/>
      <c r="AV36" s="120"/>
      <c r="AW36" s="120"/>
      <c r="AX36" s="120"/>
      <c r="AY36" s="120"/>
      <c r="AZ36" s="120"/>
      <c r="BA36" s="120"/>
      <c r="BB36" s="120"/>
      <c r="BC36" s="120"/>
      <c r="BD36" s="120"/>
      <c r="BE36" s="120"/>
      <c r="BF36" s="120"/>
      <c r="BG36" s="120"/>
      <c r="BH36" s="120"/>
      <c r="BI36" s="188">
        <f t="shared" si="0"/>
        <v>1</v>
      </c>
      <c r="BJ36" s="188" cm="1">
        <f t="array" ref="BJ36">SUMPRODUCT(--(B36:BC36=INT(B36:BC36)),--(B36:BC36&gt;0))</f>
        <v>1</v>
      </c>
      <c r="BK36" s="188" cm="1">
        <f t="array" ref="BK36">MAX(FREQUENCY(IF((B36:BC36=INT(B36:BC36))*(B36:BC36&gt;0),COLUMN(B36:BC36)),IF((B36:BC36&lt;&gt;INT(B36:BC36))+(B36:BC36&lt;=0),COLUMN(B36:BC36))))</f>
        <v>1</v>
      </c>
      <c r="BL36" s="189" cm="1">
        <f t="array" ref="BL36">SUMPRODUCT(--(B36:BA36=INT(B36:BA36)),--(B36:BA36&gt;0))/52*100%</f>
        <v>0.0192307692307692</v>
      </c>
      <c r="BM36" s="190">
        <f t="shared" si="1"/>
        <v>35</v>
      </c>
      <c r="BN36" s="190">
        <f t="shared" si="2"/>
        <v>35</v>
      </c>
      <c r="BO36" s="190">
        <f t="shared" si="3"/>
        <v>22</v>
      </c>
    </row>
    <row r="37" customHeight="1" spans="1:67">
      <c r="A37" s="4">
        <v>35</v>
      </c>
      <c r="B37" s="120"/>
      <c r="C37" s="120"/>
      <c r="D37" s="120"/>
      <c r="E37" s="120"/>
      <c r="F37" s="120"/>
      <c r="G37" s="120"/>
      <c r="H37" s="120">
        <v>1</v>
      </c>
      <c r="I37" s="120">
        <v>1</v>
      </c>
      <c r="J37" s="120">
        <v>1</v>
      </c>
      <c r="K37" s="120"/>
      <c r="L37" s="120"/>
      <c r="M37" s="120"/>
      <c r="N37" s="120">
        <v>1</v>
      </c>
      <c r="O37" s="120"/>
      <c r="P37" s="120"/>
      <c r="Q37" s="120"/>
      <c r="R37" s="120"/>
      <c r="S37" s="120"/>
      <c r="T37" s="120">
        <v>1</v>
      </c>
      <c r="U37" s="120"/>
      <c r="V37" s="120">
        <v>2</v>
      </c>
      <c r="W37" s="120"/>
      <c r="X37" s="120"/>
      <c r="Y37" s="120"/>
      <c r="Z37" s="120"/>
      <c r="AA37" s="120"/>
      <c r="AB37" s="120"/>
      <c r="AC37" s="120"/>
      <c r="AD37" s="120"/>
      <c r="AE37" s="120"/>
      <c r="AF37" s="120"/>
      <c r="AG37" s="120"/>
      <c r="AH37" s="120"/>
      <c r="AI37" s="120"/>
      <c r="AJ37" s="120"/>
      <c r="AK37" s="120"/>
      <c r="AL37" s="120">
        <v>1</v>
      </c>
      <c r="AM37" s="120"/>
      <c r="AN37" s="120"/>
      <c r="AO37" s="120"/>
      <c r="AP37" s="120"/>
      <c r="AQ37" s="120"/>
      <c r="AR37" s="120">
        <v>1</v>
      </c>
      <c r="AS37" s="120"/>
      <c r="AT37" s="120"/>
      <c r="AU37" s="120"/>
      <c r="AV37" s="120"/>
      <c r="AW37" s="120"/>
      <c r="AX37" s="120">
        <v>1</v>
      </c>
      <c r="AY37" s="120">
        <v>1</v>
      </c>
      <c r="AZ37" s="120">
        <v>1</v>
      </c>
      <c r="BA37" s="120"/>
      <c r="BB37" s="120"/>
      <c r="BC37" s="120"/>
      <c r="BD37" s="120"/>
      <c r="BE37" s="120"/>
      <c r="BF37" s="120"/>
      <c r="BG37" s="120"/>
      <c r="BH37" s="120"/>
      <c r="BI37" s="188">
        <f t="shared" si="0"/>
        <v>12</v>
      </c>
      <c r="BJ37" s="188" cm="1">
        <f t="array" ref="BJ37">SUMPRODUCT(--(B37:BC37=INT(B37:BC37)),--(B37:BC37&gt;0))</f>
        <v>11</v>
      </c>
      <c r="BK37" s="188" cm="1">
        <f t="array" ref="BK37">MAX(FREQUENCY(IF((B37:BC37=INT(B37:BC37))*(B37:BC37&gt;0),COLUMN(B37:BC37)),IF((B37:BC37&lt;&gt;INT(B37:BC37))+(B37:BC37&lt;=0),COLUMN(B37:BC37))))</f>
        <v>3</v>
      </c>
      <c r="BL37" s="189" cm="1">
        <f t="array" ref="BL37">SUMPRODUCT(--(B37:BA37=INT(B37:BA37)),--(B37:BA37&gt;0))/52*100%</f>
        <v>0.211538461538462</v>
      </c>
      <c r="BM37" s="190">
        <f t="shared" si="1"/>
        <v>17</v>
      </c>
      <c r="BN37" s="190">
        <f t="shared" si="2"/>
        <v>18</v>
      </c>
      <c r="BO37" s="190">
        <f t="shared" si="3"/>
        <v>11</v>
      </c>
    </row>
    <row r="38" customHeight="1" spans="1:67">
      <c r="A38" s="4">
        <v>36</v>
      </c>
      <c r="B38" s="120"/>
      <c r="C38" s="120"/>
      <c r="D38" s="120"/>
      <c r="E38" s="120"/>
      <c r="F38" s="120"/>
      <c r="G38" s="120"/>
      <c r="H38" s="120"/>
      <c r="I38" s="120">
        <v>2</v>
      </c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>
        <v>1</v>
      </c>
      <c r="Z38" s="120"/>
      <c r="AA38" s="120"/>
      <c r="AB38" s="120"/>
      <c r="AC38" s="120">
        <v>1</v>
      </c>
      <c r="AD38" s="120"/>
      <c r="AE38" s="120"/>
      <c r="AF38" s="120"/>
      <c r="AG38" s="120"/>
      <c r="AH38" s="120"/>
      <c r="AI38" s="120"/>
      <c r="AJ38" s="120"/>
      <c r="AK38" s="120"/>
      <c r="AL38" s="120"/>
      <c r="AM38" s="120"/>
      <c r="AN38" s="120"/>
      <c r="AO38" s="120"/>
      <c r="AP38" s="120"/>
      <c r="AQ38" s="120"/>
      <c r="AR38" s="120"/>
      <c r="AS38" s="120"/>
      <c r="AT38" s="120"/>
      <c r="AU38" s="120"/>
      <c r="AV38" s="120"/>
      <c r="AW38" s="120"/>
      <c r="AX38" s="120"/>
      <c r="AY38" s="120"/>
      <c r="AZ38" s="120"/>
      <c r="BA38" s="120"/>
      <c r="BB38" s="120"/>
      <c r="BC38" s="120"/>
      <c r="BD38" s="120"/>
      <c r="BE38" s="120"/>
      <c r="BF38" s="120"/>
      <c r="BG38" s="120"/>
      <c r="BH38" s="120"/>
      <c r="BI38" s="188">
        <f t="shared" si="0"/>
        <v>4</v>
      </c>
      <c r="BJ38" s="188" cm="1">
        <f t="array" ref="BJ38">SUMPRODUCT(--(B38:BC38=INT(B38:BC38)),--(B38:BC38&gt;0))</f>
        <v>3</v>
      </c>
      <c r="BK38" s="188" cm="1">
        <f t="array" ref="BK38">MAX(FREQUENCY(IF((B38:BC38=INT(B38:BC38))*(B38:BC38&gt;0),COLUMN(B38:BC38)),IF((B38:BC38&lt;&gt;INT(B38:BC38))+(B38:BC38&lt;=0),COLUMN(B38:BC38))))</f>
        <v>1</v>
      </c>
      <c r="BL38" s="189" cm="1">
        <f t="array" ref="BL38">SUMPRODUCT(--(B38:BA38=INT(B38:BA38)),--(B38:BA38&gt;0))/52*100%</f>
        <v>0.0576923076923077</v>
      </c>
      <c r="BM38" s="190">
        <f t="shared" si="1"/>
        <v>28</v>
      </c>
      <c r="BN38" s="190">
        <f t="shared" si="2"/>
        <v>30</v>
      </c>
      <c r="BO38" s="190">
        <f t="shared" si="3"/>
        <v>22</v>
      </c>
    </row>
    <row r="39" customHeight="1" spans="1:67">
      <c r="A39" s="191">
        <v>37</v>
      </c>
      <c r="B39" s="191"/>
      <c r="C39" s="191"/>
      <c r="D39" s="191"/>
      <c r="E39" s="191"/>
      <c r="F39" s="191"/>
      <c r="G39" s="191"/>
      <c r="H39" s="191"/>
      <c r="I39" s="191"/>
      <c r="J39" s="191"/>
      <c r="K39" s="191"/>
      <c r="L39" s="191"/>
      <c r="M39" s="191"/>
      <c r="N39" s="191"/>
      <c r="O39" s="191"/>
      <c r="P39" s="191"/>
      <c r="Q39" s="191"/>
      <c r="R39" s="191"/>
      <c r="S39" s="191"/>
      <c r="T39" s="191"/>
      <c r="U39" s="191"/>
      <c r="V39" s="191"/>
      <c r="W39" s="191"/>
      <c r="X39" s="191"/>
      <c r="Y39" s="191"/>
      <c r="Z39" s="191"/>
      <c r="AA39" s="191"/>
      <c r="AB39" s="191"/>
      <c r="AC39" s="191"/>
      <c r="AD39" s="191"/>
      <c r="AE39" s="191"/>
      <c r="AF39" s="191"/>
      <c r="AG39" s="191"/>
      <c r="AH39" s="191"/>
      <c r="AI39" s="191"/>
      <c r="AJ39" s="191"/>
      <c r="AK39" s="191"/>
      <c r="AL39" s="191"/>
      <c r="AM39" s="191"/>
      <c r="AN39" s="191"/>
      <c r="AO39" s="191"/>
      <c r="AP39" s="191"/>
      <c r="AQ39" s="191"/>
      <c r="AR39" s="191"/>
      <c r="AS39" s="191"/>
      <c r="AT39" s="191"/>
      <c r="AU39" s="191"/>
      <c r="AV39" s="191"/>
      <c r="AW39" s="191"/>
      <c r="AX39" s="191"/>
      <c r="AY39" s="191"/>
      <c r="AZ39" s="191"/>
      <c r="BA39" s="191"/>
      <c r="BB39" s="191"/>
      <c r="BC39" s="191"/>
      <c r="BD39" s="191"/>
      <c r="BE39" s="191"/>
      <c r="BF39" s="191"/>
      <c r="BG39" s="191"/>
      <c r="BH39" s="191"/>
      <c r="BI39" s="188">
        <f t="shared" si="0"/>
        <v>0</v>
      </c>
      <c r="BJ39" s="188" cm="1">
        <f t="array" ref="BJ39">SUMPRODUCT(--(B39:BC39=INT(B39:BC39)),--(B39:BC39&gt;0))</f>
        <v>0</v>
      </c>
      <c r="BK39" s="188" cm="1">
        <f t="array" ref="BK39">MAX(FREQUENCY(IF((B39:BC39=INT(B39:BC39))*(B39:BC39&gt;0),COLUMN(B39:BC39)),IF((B39:BC39&lt;&gt;INT(B39:BC39))+(B39:BC39&lt;=0),COLUMN(B39:BC39))))</f>
        <v>0</v>
      </c>
      <c r="BL39" s="189" cm="1">
        <f t="array" ref="BL39">SUMPRODUCT(--(B39:BA39=INT(B39:BA39)),--(B39:BA39&gt;0))/52*100%</f>
        <v>0</v>
      </c>
      <c r="BM39" s="192">
        <f t="shared" si="1"/>
        <v>43</v>
      </c>
      <c r="BN39" s="192">
        <f t="shared" si="2"/>
        <v>43</v>
      </c>
      <c r="BO39" s="192">
        <f t="shared" si="3"/>
        <v>43</v>
      </c>
    </row>
    <row r="40" customHeight="1" spans="1:67">
      <c r="A40" s="4">
        <v>38</v>
      </c>
      <c r="B40" s="120"/>
      <c r="C40" s="120">
        <v>1</v>
      </c>
      <c r="D40" s="120">
        <v>1</v>
      </c>
      <c r="E40" s="120"/>
      <c r="F40" s="120">
        <v>1</v>
      </c>
      <c r="G40" s="120"/>
      <c r="H40" s="120">
        <v>1</v>
      </c>
      <c r="I40" s="120">
        <v>1</v>
      </c>
      <c r="J40" s="120">
        <v>2</v>
      </c>
      <c r="K40" s="120"/>
      <c r="L40" s="120">
        <v>1</v>
      </c>
      <c r="M40" s="120"/>
      <c r="N40" s="120"/>
      <c r="O40" s="120"/>
      <c r="P40" s="120"/>
      <c r="Q40" s="120">
        <v>1</v>
      </c>
      <c r="R40" s="120">
        <v>1</v>
      </c>
      <c r="S40" s="120">
        <v>1</v>
      </c>
      <c r="T40" s="120">
        <v>1</v>
      </c>
      <c r="U40" s="120">
        <v>2</v>
      </c>
      <c r="V40" s="120">
        <v>1</v>
      </c>
      <c r="W40" s="120">
        <v>1</v>
      </c>
      <c r="X40" s="120">
        <v>1</v>
      </c>
      <c r="Y40" s="120">
        <v>1</v>
      </c>
      <c r="Z40" s="120">
        <v>1</v>
      </c>
      <c r="AA40" s="120">
        <v>1</v>
      </c>
      <c r="AB40" s="120">
        <v>1</v>
      </c>
      <c r="AC40" s="120"/>
      <c r="AD40" s="120"/>
      <c r="AE40" s="120">
        <v>1</v>
      </c>
      <c r="AF40" s="120">
        <v>1</v>
      </c>
      <c r="AG40" s="120"/>
      <c r="AH40" s="120"/>
      <c r="AI40" s="120"/>
      <c r="AJ40" s="120">
        <v>2</v>
      </c>
      <c r="AK40" s="120">
        <v>2</v>
      </c>
      <c r="AL40" s="120"/>
      <c r="AM40" s="120"/>
      <c r="AN40" s="120">
        <v>1</v>
      </c>
      <c r="AO40" s="120"/>
      <c r="AP40" s="120"/>
      <c r="AQ40" s="120"/>
      <c r="AR40" s="120"/>
      <c r="AS40" s="120"/>
      <c r="AT40" s="120"/>
      <c r="AU40" s="120">
        <v>1</v>
      </c>
      <c r="AV40" s="120"/>
      <c r="AW40" s="120"/>
      <c r="AX40" s="120">
        <v>2</v>
      </c>
      <c r="AY40" s="120">
        <v>1</v>
      </c>
      <c r="AZ40" s="120">
        <v>1</v>
      </c>
      <c r="BA40" s="120"/>
      <c r="BB40" s="120">
        <v>1</v>
      </c>
      <c r="BC40" s="120"/>
      <c r="BD40" s="120"/>
      <c r="BE40" s="120"/>
      <c r="BF40" s="120"/>
      <c r="BG40" s="120"/>
      <c r="BH40" s="120"/>
      <c r="BI40" s="188">
        <f t="shared" si="0"/>
        <v>34</v>
      </c>
      <c r="BJ40" s="188" cm="1">
        <f t="array" ref="BJ40">SUMPRODUCT(--(B40:BC40=INT(B40:BC40)),--(B40:BC40&gt;0))</f>
        <v>29</v>
      </c>
      <c r="BK40" s="188" cm="1">
        <f t="array" ref="BK40">MAX(FREQUENCY(IF((B40:BC40=INT(B40:BC40))*(B40:BC40&gt;0),COLUMN(B40:BC40)),IF((B40:BC40&lt;&gt;INT(B40:BC40))+(B40:BC40&lt;=0),COLUMN(B40:BC40))))</f>
        <v>12</v>
      </c>
      <c r="BL40" s="189" cm="1">
        <f t="array" ref="BL40">SUMPRODUCT(--(B40:BA40=INT(B40:BA40)),--(B40:BA40&gt;0))/52*100%</f>
        <v>0.538461538461538</v>
      </c>
      <c r="BM40" s="190">
        <f t="shared" si="1"/>
        <v>2</v>
      </c>
      <c r="BN40" s="190">
        <f t="shared" si="2"/>
        <v>2</v>
      </c>
      <c r="BO40" s="190">
        <f t="shared" si="3"/>
        <v>1</v>
      </c>
    </row>
    <row r="41" customHeight="1" spans="1:67">
      <c r="A41" s="4">
        <v>39</v>
      </c>
      <c r="B41" s="120">
        <v>1</v>
      </c>
      <c r="C41" s="120"/>
      <c r="D41" s="120"/>
      <c r="E41" s="120"/>
      <c r="F41" s="120"/>
      <c r="G41" s="120"/>
      <c r="H41" s="120"/>
      <c r="I41" s="120"/>
      <c r="J41" s="120">
        <v>1</v>
      </c>
      <c r="K41" s="120"/>
      <c r="L41" s="120"/>
      <c r="M41" s="120"/>
      <c r="N41" s="120"/>
      <c r="O41" s="120"/>
      <c r="P41" s="120"/>
      <c r="Q41" s="120">
        <v>1</v>
      </c>
      <c r="R41" s="120"/>
      <c r="S41" s="120"/>
      <c r="T41" s="120">
        <v>2</v>
      </c>
      <c r="U41" s="120"/>
      <c r="V41" s="120"/>
      <c r="W41" s="120">
        <v>1</v>
      </c>
      <c r="X41" s="120"/>
      <c r="Y41" s="120">
        <v>2</v>
      </c>
      <c r="Z41" s="120"/>
      <c r="AA41" s="120"/>
      <c r="AB41" s="120"/>
      <c r="AC41" s="120"/>
      <c r="AD41" s="120"/>
      <c r="AE41" s="120"/>
      <c r="AF41" s="120">
        <v>2</v>
      </c>
      <c r="AG41" s="120">
        <v>1</v>
      </c>
      <c r="AH41" s="120"/>
      <c r="AI41" s="120"/>
      <c r="AJ41" s="120">
        <v>1</v>
      </c>
      <c r="AK41" s="120"/>
      <c r="AL41" s="120">
        <v>1</v>
      </c>
      <c r="AM41" s="120"/>
      <c r="AN41" s="120">
        <v>1</v>
      </c>
      <c r="AO41" s="120">
        <v>2</v>
      </c>
      <c r="AP41" s="120"/>
      <c r="AQ41" s="120"/>
      <c r="AR41" s="120">
        <v>1</v>
      </c>
      <c r="AS41" s="120">
        <v>1</v>
      </c>
      <c r="AT41" s="120"/>
      <c r="AU41" s="120">
        <v>1</v>
      </c>
      <c r="AV41" s="120">
        <v>1</v>
      </c>
      <c r="AW41" s="120"/>
      <c r="AX41" s="120"/>
      <c r="AY41" s="120"/>
      <c r="AZ41" s="120">
        <v>2</v>
      </c>
      <c r="BA41" s="120">
        <v>1</v>
      </c>
      <c r="BB41" s="120">
        <v>2</v>
      </c>
      <c r="BC41" s="120"/>
      <c r="BD41" s="120"/>
      <c r="BE41" s="120"/>
      <c r="BF41" s="120"/>
      <c r="BG41" s="120"/>
      <c r="BH41" s="120"/>
      <c r="BI41" s="188">
        <f t="shared" si="0"/>
        <v>25</v>
      </c>
      <c r="BJ41" s="188" cm="1">
        <f t="array" ref="BJ41">SUMPRODUCT(--(B41:BC41=INT(B41:BC41)),--(B41:BC41&gt;0))</f>
        <v>19</v>
      </c>
      <c r="BK41" s="188" cm="1">
        <f t="array" ref="BK41">MAX(FREQUENCY(IF((B41:BC41=INT(B41:BC41))*(B41:BC41&gt;0),COLUMN(B41:BC41)),IF((B41:BC41&lt;&gt;INT(B41:BC41))+(B41:BC41&lt;=0),COLUMN(B41:BC41))))</f>
        <v>3</v>
      </c>
      <c r="BL41" s="189" cm="1">
        <f t="array" ref="BL41">SUMPRODUCT(--(B41:BA41=INT(B41:BA41)),--(B41:BA41&gt;0))/52*100%</f>
        <v>0.346153846153846</v>
      </c>
      <c r="BM41" s="190">
        <f t="shared" si="1"/>
        <v>5</v>
      </c>
      <c r="BN41" s="190">
        <f t="shared" si="2"/>
        <v>9</v>
      </c>
      <c r="BO41" s="190">
        <f t="shared" si="3"/>
        <v>11</v>
      </c>
    </row>
    <row r="42" customHeight="1" spans="1:67">
      <c r="A42" s="4">
        <v>40</v>
      </c>
      <c r="B42" s="120"/>
      <c r="C42" s="120"/>
      <c r="D42" s="120"/>
      <c r="E42" s="120"/>
      <c r="F42" s="120"/>
      <c r="G42" s="120"/>
      <c r="H42" s="120">
        <v>1</v>
      </c>
      <c r="I42" s="120"/>
      <c r="J42" s="120">
        <v>1</v>
      </c>
      <c r="K42" s="120">
        <v>1</v>
      </c>
      <c r="L42" s="120">
        <v>1</v>
      </c>
      <c r="M42" s="120">
        <v>1</v>
      </c>
      <c r="N42" s="120">
        <v>1</v>
      </c>
      <c r="O42" s="120"/>
      <c r="P42" s="120"/>
      <c r="Q42" s="120">
        <v>1</v>
      </c>
      <c r="R42" s="120">
        <v>2</v>
      </c>
      <c r="S42" s="120"/>
      <c r="T42" s="120">
        <v>2</v>
      </c>
      <c r="U42" s="120"/>
      <c r="V42" s="120">
        <v>1</v>
      </c>
      <c r="W42" s="120"/>
      <c r="X42" s="120"/>
      <c r="Y42" s="120">
        <v>1</v>
      </c>
      <c r="Z42" s="120"/>
      <c r="AA42" s="120"/>
      <c r="AB42" s="120"/>
      <c r="AC42" s="120"/>
      <c r="AD42" s="120"/>
      <c r="AE42" s="120"/>
      <c r="AF42" s="120">
        <v>2</v>
      </c>
      <c r="AG42" s="120"/>
      <c r="AH42" s="120"/>
      <c r="AI42" s="120"/>
      <c r="AJ42" s="120">
        <v>1</v>
      </c>
      <c r="AK42" s="120">
        <v>1</v>
      </c>
      <c r="AL42" s="120"/>
      <c r="AM42" s="120"/>
      <c r="AN42" s="120"/>
      <c r="AO42" s="120">
        <v>1</v>
      </c>
      <c r="AP42" s="120"/>
      <c r="AQ42" s="120"/>
      <c r="AR42" s="120">
        <v>2</v>
      </c>
      <c r="AS42" s="120"/>
      <c r="AT42" s="120">
        <v>1</v>
      </c>
      <c r="AU42" s="120">
        <v>3</v>
      </c>
      <c r="AV42" s="120">
        <v>1</v>
      </c>
      <c r="AW42" s="120"/>
      <c r="AX42" s="120">
        <v>2</v>
      </c>
      <c r="AY42" s="120">
        <v>1</v>
      </c>
      <c r="AZ42" s="120">
        <v>1</v>
      </c>
      <c r="BA42" s="120">
        <v>1</v>
      </c>
      <c r="BB42" s="120"/>
      <c r="BC42" s="120"/>
      <c r="BD42" s="120"/>
      <c r="BE42" s="120"/>
      <c r="BF42" s="120"/>
      <c r="BG42" s="120"/>
      <c r="BH42" s="120"/>
      <c r="BI42" s="188">
        <f t="shared" si="0"/>
        <v>30</v>
      </c>
      <c r="BJ42" s="188" cm="1">
        <f t="array" ref="BJ42">SUMPRODUCT(--(B42:BC42=INT(B42:BC42)),--(B42:BC42&gt;0))</f>
        <v>23</v>
      </c>
      <c r="BK42" s="188" cm="1">
        <f t="array" ref="BK42">MAX(FREQUENCY(IF((B42:BC42=INT(B42:BC42))*(B42:BC42&gt;0),COLUMN(B42:BC42)),IF((B42:BC42&lt;&gt;INT(B42:BC42))+(B42:BC42&lt;=0),COLUMN(B42:BC42))))</f>
        <v>5</v>
      </c>
      <c r="BL42" s="189" cm="1">
        <f t="array" ref="BL42">SUMPRODUCT(--(B42:BA42=INT(B42:BA42)),--(B42:BA42&gt;0))/52*100%</f>
        <v>0.442307692307692</v>
      </c>
      <c r="BM42" s="190">
        <f t="shared" si="1"/>
        <v>3</v>
      </c>
      <c r="BN42" s="190">
        <f t="shared" si="2"/>
        <v>4</v>
      </c>
      <c r="BO42" s="190">
        <f t="shared" si="3"/>
        <v>4</v>
      </c>
    </row>
    <row r="43" customHeight="1" spans="1:67">
      <c r="A43" s="117">
        <v>41</v>
      </c>
      <c r="B43" s="120"/>
      <c r="C43" s="120"/>
      <c r="D43" s="120"/>
      <c r="E43" s="120"/>
      <c r="F43" s="120"/>
      <c r="G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20"/>
      <c r="AB43" s="120"/>
      <c r="AC43" s="120"/>
      <c r="AD43" s="120"/>
      <c r="AE43" s="120"/>
      <c r="AF43" s="120"/>
      <c r="AG43" s="120"/>
      <c r="AH43" s="120"/>
      <c r="AI43" s="120"/>
      <c r="AJ43" s="120"/>
      <c r="AK43" s="120"/>
      <c r="AL43" s="120"/>
      <c r="AM43" s="120"/>
      <c r="AN43" s="120"/>
      <c r="AO43" s="120"/>
      <c r="AP43" s="120"/>
      <c r="AQ43" s="120"/>
      <c r="AR43" s="120"/>
      <c r="AS43" s="120"/>
      <c r="AT43" s="120"/>
      <c r="AU43" s="120"/>
      <c r="AV43" s="120"/>
      <c r="AW43" s="120"/>
      <c r="AX43" s="120"/>
      <c r="AY43" s="120"/>
      <c r="AZ43" s="120"/>
      <c r="BA43" s="120"/>
      <c r="BB43" s="120"/>
      <c r="BC43" s="120"/>
      <c r="BD43" s="120"/>
      <c r="BE43" s="120"/>
      <c r="BF43" s="120"/>
      <c r="BG43" s="120"/>
      <c r="BH43" s="120"/>
      <c r="BI43" s="188">
        <f t="shared" si="0"/>
        <v>0</v>
      </c>
      <c r="BJ43" s="188" cm="1">
        <f t="array" ref="BJ43">SUMPRODUCT(--(B43:BC43=INT(B43:BC43)),--(B43:BC43&gt;0))</f>
        <v>0</v>
      </c>
      <c r="BK43" s="188" cm="1">
        <f t="array" ref="BK43">MAX(FREQUENCY(IF((B43:BC43=INT(B43:BC43))*(B43:BC43&gt;0),COLUMN(B43:BC43)),IF((B43:BC43&lt;&gt;INT(B43:BC43))+(B43:BC43&lt;=0),COLUMN(B43:BC43))))</f>
        <v>0</v>
      </c>
      <c r="BL43" s="189" cm="1">
        <f t="array" ref="BL43">SUMPRODUCT(--(B43:BA43=INT(B43:BA43)),--(B43:BA43&gt;0))/52*100%</f>
        <v>0</v>
      </c>
      <c r="BM43" s="190">
        <f t="shared" si="1"/>
        <v>43</v>
      </c>
      <c r="BN43" s="190">
        <f t="shared" si="2"/>
        <v>43</v>
      </c>
      <c r="BO43" s="190">
        <f t="shared" si="3"/>
        <v>43</v>
      </c>
    </row>
    <row r="44" customHeight="1" spans="1:67">
      <c r="A44" s="4">
        <v>42</v>
      </c>
      <c r="B44" s="120">
        <v>1</v>
      </c>
      <c r="C44" s="120">
        <v>1</v>
      </c>
      <c r="D44" s="120">
        <v>2</v>
      </c>
      <c r="E44" s="120">
        <v>1</v>
      </c>
      <c r="F44" s="120">
        <v>1</v>
      </c>
      <c r="G44" s="120"/>
      <c r="H44" s="120">
        <v>1</v>
      </c>
      <c r="I44" s="120">
        <v>1</v>
      </c>
      <c r="J44" s="120">
        <v>1</v>
      </c>
      <c r="K44" s="120"/>
      <c r="L44" s="120">
        <v>1</v>
      </c>
      <c r="M44" s="120"/>
      <c r="N44" s="120"/>
      <c r="O44" s="120"/>
      <c r="P44" s="120"/>
      <c r="Q44" s="120"/>
      <c r="R44" s="120">
        <v>2</v>
      </c>
      <c r="S44" s="120"/>
      <c r="T44" s="120">
        <v>1</v>
      </c>
      <c r="U44" s="120"/>
      <c r="V44" s="120"/>
      <c r="W44" s="120"/>
      <c r="X44" s="120">
        <v>1</v>
      </c>
      <c r="Y44" s="120">
        <v>2</v>
      </c>
      <c r="Z44" s="120"/>
      <c r="AA44" s="120"/>
      <c r="AB44" s="120"/>
      <c r="AC44" s="120"/>
      <c r="AD44" s="120"/>
      <c r="AE44" s="120">
        <v>1</v>
      </c>
      <c r="AF44" s="120"/>
      <c r="AG44" s="120"/>
      <c r="AH44" s="120"/>
      <c r="AI44" s="120"/>
      <c r="AJ44" s="120"/>
      <c r="AK44" s="120"/>
      <c r="AL44" s="120"/>
      <c r="AM44" s="120"/>
      <c r="AN44" s="120"/>
      <c r="AO44" s="120">
        <v>1</v>
      </c>
      <c r="AP44" s="120"/>
      <c r="AQ44" s="120"/>
      <c r="AR44" s="120">
        <v>1</v>
      </c>
      <c r="AS44" s="120"/>
      <c r="AT44" s="120"/>
      <c r="AU44" s="120">
        <v>2</v>
      </c>
      <c r="AV44" s="120">
        <v>1</v>
      </c>
      <c r="AW44" s="120"/>
      <c r="AX44" s="120"/>
      <c r="AY44" s="120">
        <v>1</v>
      </c>
      <c r="AZ44" s="120">
        <v>1</v>
      </c>
      <c r="BA44" s="120">
        <v>1</v>
      </c>
      <c r="BB44" s="120"/>
      <c r="BC44" s="120"/>
      <c r="BD44" s="120"/>
      <c r="BE44" s="120"/>
      <c r="BF44" s="120"/>
      <c r="BG44" s="120"/>
      <c r="BH44" s="120"/>
      <c r="BI44" s="188">
        <f t="shared" si="0"/>
        <v>25</v>
      </c>
      <c r="BJ44" s="188" cm="1">
        <f t="array" ref="BJ44">SUMPRODUCT(--(B44:BC44=INT(B44:BC44)),--(B44:BC44&gt;0))</f>
        <v>21</v>
      </c>
      <c r="BK44" s="188" cm="1">
        <f t="array" ref="BK44">MAX(FREQUENCY(IF((B44:BC44=INT(B44:BC44))*(B44:BC44&gt;0),COLUMN(B44:BC44)),IF((B44:BC44&lt;&gt;INT(B44:BC44))+(B44:BC44&lt;=0),COLUMN(B44:BC44))))</f>
        <v>5</v>
      </c>
      <c r="BL44" s="189" cm="1">
        <f t="array" ref="BL44">SUMPRODUCT(--(B44:BA44=INT(B44:BA44)),--(B44:BA44&gt;0))/52*100%</f>
        <v>0.403846153846154</v>
      </c>
      <c r="BM44" s="190">
        <f t="shared" si="1"/>
        <v>5</v>
      </c>
      <c r="BN44" s="190">
        <f t="shared" si="2"/>
        <v>6</v>
      </c>
      <c r="BO44" s="190">
        <f t="shared" si="3"/>
        <v>4</v>
      </c>
    </row>
    <row r="45" customHeight="1" spans="1:67">
      <c r="A45" s="117">
        <v>43</v>
      </c>
      <c r="B45" s="120"/>
      <c r="C45" s="120"/>
      <c r="D45" s="120"/>
      <c r="E45" s="120"/>
      <c r="F45" s="120"/>
      <c r="G45" s="120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20"/>
      <c r="AB45" s="120"/>
      <c r="AC45" s="120"/>
      <c r="AD45" s="120"/>
      <c r="AE45" s="120"/>
      <c r="AF45" s="120"/>
      <c r="AG45" s="120"/>
      <c r="AH45" s="120"/>
      <c r="AI45" s="120"/>
      <c r="AJ45" s="120"/>
      <c r="AK45" s="120"/>
      <c r="AL45" s="120"/>
      <c r="AM45" s="120"/>
      <c r="AN45" s="120"/>
      <c r="AO45" s="120"/>
      <c r="AP45" s="120"/>
      <c r="AQ45" s="120"/>
      <c r="AR45" s="120"/>
      <c r="AS45" s="120"/>
      <c r="AT45" s="120"/>
      <c r="AU45" s="120"/>
      <c r="AV45" s="120"/>
      <c r="AW45" s="120"/>
      <c r="AX45" s="120"/>
      <c r="AY45" s="120"/>
      <c r="AZ45" s="120"/>
      <c r="BA45" s="120"/>
      <c r="BB45" s="120"/>
      <c r="BC45" s="120"/>
      <c r="BD45" s="120"/>
      <c r="BE45" s="120"/>
      <c r="BF45" s="120"/>
      <c r="BG45" s="120"/>
      <c r="BH45" s="120"/>
      <c r="BI45" s="188">
        <f t="shared" si="0"/>
        <v>0</v>
      </c>
      <c r="BJ45" s="188" cm="1">
        <f t="array" ref="BJ45">SUMPRODUCT(--(B45:BC45=INT(B45:BC45)),--(B45:BC45&gt;0))</f>
        <v>0</v>
      </c>
      <c r="BK45" s="188" cm="1">
        <f t="array" ref="BK45">MAX(FREQUENCY(IF((B45:BC45=INT(B45:BC45))*(B45:BC45&gt;0),COLUMN(B45:BC45)),IF((B45:BC45&lt;&gt;INT(B45:BC45))+(B45:BC45&lt;=0),COLUMN(B45:BC45))))</f>
        <v>0</v>
      </c>
      <c r="BL45" s="189" cm="1">
        <f t="array" ref="BL45">SUMPRODUCT(--(B45:BA45=INT(B45:BA45)),--(B45:BA45&gt;0))/52*100%</f>
        <v>0</v>
      </c>
      <c r="BM45" s="190">
        <f t="shared" si="1"/>
        <v>43</v>
      </c>
      <c r="BN45" s="190">
        <f t="shared" si="2"/>
        <v>43</v>
      </c>
      <c r="BO45" s="190">
        <f t="shared" si="3"/>
        <v>43</v>
      </c>
    </row>
    <row r="46" customHeight="1" spans="1:67">
      <c r="A46" s="4">
        <v>44</v>
      </c>
      <c r="B46" s="120">
        <v>1</v>
      </c>
      <c r="C46" s="120">
        <v>1</v>
      </c>
      <c r="D46" s="120">
        <v>1</v>
      </c>
      <c r="E46" s="120">
        <v>1</v>
      </c>
      <c r="F46" s="120"/>
      <c r="G46" s="120">
        <v>3</v>
      </c>
      <c r="H46" s="120">
        <v>1</v>
      </c>
      <c r="I46" s="120">
        <v>1</v>
      </c>
      <c r="J46" s="120">
        <v>2</v>
      </c>
      <c r="K46" s="120">
        <v>2</v>
      </c>
      <c r="L46" s="120">
        <v>1</v>
      </c>
      <c r="M46" s="120">
        <v>2</v>
      </c>
      <c r="N46" s="120">
        <v>2</v>
      </c>
      <c r="O46" s="120"/>
      <c r="P46" s="120"/>
      <c r="Q46" s="120"/>
      <c r="R46" s="120">
        <v>1</v>
      </c>
      <c r="S46" s="120">
        <v>1</v>
      </c>
      <c r="T46" s="120">
        <v>3</v>
      </c>
      <c r="U46" s="120">
        <v>1</v>
      </c>
      <c r="V46" s="120">
        <v>1</v>
      </c>
      <c r="W46" s="120"/>
      <c r="X46" s="120"/>
      <c r="Y46" s="120">
        <v>2</v>
      </c>
      <c r="Z46" s="120">
        <v>1</v>
      </c>
      <c r="AA46" s="120"/>
      <c r="AB46" s="120">
        <v>1</v>
      </c>
      <c r="AC46" s="120"/>
      <c r="AD46" s="120"/>
      <c r="AE46" s="120">
        <v>1</v>
      </c>
      <c r="AF46" s="120"/>
      <c r="AG46" s="120"/>
      <c r="AH46" s="120"/>
      <c r="AI46" s="120"/>
      <c r="AJ46" s="120">
        <v>1</v>
      </c>
      <c r="AK46" s="120"/>
      <c r="AL46" s="120"/>
      <c r="AM46" s="120">
        <v>1</v>
      </c>
      <c r="AN46" s="120">
        <v>1</v>
      </c>
      <c r="AO46" s="120"/>
      <c r="AP46" s="120"/>
      <c r="AQ46" s="120">
        <v>1</v>
      </c>
      <c r="AR46" s="120">
        <v>2</v>
      </c>
      <c r="AS46" s="120">
        <v>1</v>
      </c>
      <c r="AT46" s="120">
        <v>1</v>
      </c>
      <c r="AU46" s="120">
        <v>2</v>
      </c>
      <c r="AV46" s="120">
        <v>1</v>
      </c>
      <c r="AW46" s="120">
        <v>1</v>
      </c>
      <c r="AX46" s="120">
        <v>1</v>
      </c>
      <c r="AY46" s="120">
        <v>1</v>
      </c>
      <c r="AZ46" s="120">
        <v>1</v>
      </c>
      <c r="BA46" s="120">
        <v>1</v>
      </c>
      <c r="BB46" s="120">
        <v>2</v>
      </c>
      <c r="BC46" s="120"/>
      <c r="BD46" s="120"/>
      <c r="BE46" s="120"/>
      <c r="BF46" s="120"/>
      <c r="BG46" s="120"/>
      <c r="BH46" s="120"/>
      <c r="BI46" s="188">
        <f t="shared" si="0"/>
        <v>48</v>
      </c>
      <c r="BJ46" s="188" cm="1">
        <f t="array" ref="BJ46">SUMPRODUCT(--(B46:BC46=INT(B46:BC46)),--(B46:BC46&gt;0))</f>
        <v>36</v>
      </c>
      <c r="BK46" s="188" cm="1">
        <f t="array" ref="BK46">MAX(FREQUENCY(IF((B46:BC46=INT(B46:BC46))*(B46:BC46&gt;0),COLUMN(B46:BC46)),IF((B46:BC46&lt;&gt;INT(B46:BC46))+(B46:BC46&lt;=0),COLUMN(B46:BC46))))</f>
        <v>12</v>
      </c>
      <c r="BL46" s="189" cm="1">
        <f t="array" ref="BL46">SUMPRODUCT(--(B46:BA46=INT(B46:BA46)),--(B46:BA46&gt;0))/52*100%</f>
        <v>0.673076923076923</v>
      </c>
      <c r="BM46" s="190">
        <f t="shared" si="1"/>
        <v>1</v>
      </c>
      <c r="BN46" s="190">
        <f t="shared" si="2"/>
        <v>1</v>
      </c>
      <c r="BO46" s="190">
        <f t="shared" si="3"/>
        <v>1</v>
      </c>
    </row>
    <row r="47" customHeight="1" spans="1:67">
      <c r="A47" s="117">
        <v>45</v>
      </c>
      <c r="B47" s="120"/>
      <c r="C47" s="120"/>
      <c r="D47" s="120"/>
      <c r="E47" s="120"/>
      <c r="F47" s="120"/>
      <c r="G47" s="120"/>
      <c r="H47" s="120"/>
      <c r="I47" s="120"/>
      <c r="J47" s="120"/>
      <c r="K47" s="120"/>
      <c r="L47" s="120"/>
      <c r="M47" s="120"/>
      <c r="N47" s="120"/>
      <c r="O47" s="120"/>
      <c r="P47" s="120"/>
      <c r="Q47" s="120"/>
      <c r="R47" s="120"/>
      <c r="S47" s="120"/>
      <c r="T47" s="120"/>
      <c r="U47" s="120"/>
      <c r="V47" s="120"/>
      <c r="W47" s="120"/>
      <c r="X47" s="120"/>
      <c r="Y47" s="120"/>
      <c r="Z47" s="120"/>
      <c r="AA47" s="120"/>
      <c r="AB47" s="120"/>
      <c r="AC47" s="120"/>
      <c r="AD47" s="120"/>
      <c r="AE47" s="120"/>
      <c r="AF47" s="120"/>
      <c r="AG47" s="120"/>
      <c r="AH47" s="120"/>
      <c r="AI47" s="120"/>
      <c r="AJ47" s="120"/>
      <c r="AK47" s="120"/>
      <c r="AL47" s="120"/>
      <c r="AM47" s="120"/>
      <c r="AN47" s="120"/>
      <c r="AO47" s="120"/>
      <c r="AP47" s="120"/>
      <c r="AQ47" s="120"/>
      <c r="AR47" s="120"/>
      <c r="AS47" s="120"/>
      <c r="AT47" s="120"/>
      <c r="AU47" s="120"/>
      <c r="AV47" s="120"/>
      <c r="AW47" s="120"/>
      <c r="AX47" s="120"/>
      <c r="AY47" s="120"/>
      <c r="AZ47" s="120"/>
      <c r="BA47" s="120"/>
      <c r="BB47" s="120"/>
      <c r="BC47" s="120"/>
      <c r="BD47" s="120"/>
      <c r="BE47" s="120"/>
      <c r="BF47" s="120"/>
      <c r="BG47" s="120"/>
      <c r="BH47" s="120"/>
      <c r="BI47" s="188">
        <f t="shared" si="0"/>
        <v>0</v>
      </c>
      <c r="BJ47" s="188" cm="1">
        <f t="array" ref="BJ47">SUMPRODUCT(--(B47:BC47=INT(B47:BC47)),--(B47:BC47&gt;0))</f>
        <v>0</v>
      </c>
      <c r="BK47" s="188" cm="1">
        <f t="array" ref="BK47">MAX(FREQUENCY(IF((B47:BC47=INT(B47:BC47))*(B47:BC47&gt;0),COLUMN(B47:BC47)),IF((B47:BC47&lt;&gt;INT(B47:BC47))+(B47:BC47&lt;=0),COLUMN(B47:BC47))))</f>
        <v>0</v>
      </c>
      <c r="BL47" s="189" cm="1">
        <f t="array" ref="BL47">SUMPRODUCT(--(B47:BA47=INT(B47:BA47)),--(B47:BA47&gt;0))/52*100%</f>
        <v>0</v>
      </c>
      <c r="BM47" s="190">
        <f t="shared" si="1"/>
        <v>43</v>
      </c>
      <c r="BN47" s="190">
        <f t="shared" si="2"/>
        <v>43</v>
      </c>
      <c r="BO47" s="190">
        <f t="shared" si="3"/>
        <v>43</v>
      </c>
    </row>
    <row r="48" customHeight="1" spans="1:67">
      <c r="A48" s="4">
        <v>46</v>
      </c>
      <c r="B48" s="120"/>
      <c r="C48" s="120"/>
      <c r="D48" s="120"/>
      <c r="E48" s="120"/>
      <c r="F48" s="120"/>
      <c r="G48" s="120">
        <v>1</v>
      </c>
      <c r="H48" s="120"/>
      <c r="I48" s="120"/>
      <c r="J48" s="120"/>
      <c r="K48" s="120"/>
      <c r="L48" s="120"/>
      <c r="M48" s="120"/>
      <c r="N48" s="120">
        <v>1</v>
      </c>
      <c r="O48" s="120"/>
      <c r="P48" s="120"/>
      <c r="Q48" s="120">
        <v>1</v>
      </c>
      <c r="R48" s="120">
        <v>1</v>
      </c>
      <c r="S48" s="120"/>
      <c r="T48" s="120">
        <v>1</v>
      </c>
      <c r="U48" s="120"/>
      <c r="V48" s="120"/>
      <c r="W48" s="120"/>
      <c r="X48" s="120"/>
      <c r="Y48" s="120">
        <v>1</v>
      </c>
      <c r="Z48" s="120"/>
      <c r="AA48" s="120"/>
      <c r="AB48" s="120"/>
      <c r="AC48" s="120">
        <v>1</v>
      </c>
      <c r="AD48" s="120">
        <v>1</v>
      </c>
      <c r="AE48" s="120"/>
      <c r="AF48" s="120">
        <v>1</v>
      </c>
      <c r="AG48" s="120"/>
      <c r="AH48" s="120"/>
      <c r="AI48" s="120"/>
      <c r="AJ48" s="120"/>
      <c r="AK48" s="120">
        <v>1</v>
      </c>
      <c r="AL48" s="120"/>
      <c r="AM48" s="120"/>
      <c r="AN48" s="120">
        <v>2</v>
      </c>
      <c r="AO48" s="120">
        <v>1</v>
      </c>
      <c r="AP48" s="120"/>
      <c r="AQ48" s="120"/>
      <c r="AR48" s="120">
        <v>2</v>
      </c>
      <c r="AS48" s="120"/>
      <c r="AT48" s="120"/>
      <c r="AU48" s="120">
        <v>2</v>
      </c>
      <c r="AV48" s="120"/>
      <c r="AW48" s="120"/>
      <c r="AX48" s="120">
        <v>1</v>
      </c>
      <c r="AY48" s="120">
        <v>1</v>
      </c>
      <c r="AZ48" s="120"/>
      <c r="BA48" s="120">
        <v>2</v>
      </c>
      <c r="BB48" s="120"/>
      <c r="BC48" s="120"/>
      <c r="BD48" s="120"/>
      <c r="BE48" s="120"/>
      <c r="BF48" s="120"/>
      <c r="BG48" s="120"/>
      <c r="BH48" s="120"/>
      <c r="BI48" s="188">
        <f t="shared" si="0"/>
        <v>21</v>
      </c>
      <c r="BJ48" s="188" cm="1">
        <f t="array" ref="BJ48">SUMPRODUCT(--(B48:BC48=INT(B48:BC48)),--(B48:BC48&gt;0))</f>
        <v>17</v>
      </c>
      <c r="BK48" s="188" cm="1">
        <f t="array" ref="BK48">MAX(FREQUENCY(IF((B48:BC48=INT(B48:BC48))*(B48:BC48&gt;0),COLUMN(B48:BC48)),IF((B48:BC48&lt;&gt;INT(B48:BC48))+(B48:BC48&lt;=0),COLUMN(B48:BC48))))</f>
        <v>2</v>
      </c>
      <c r="BL48" s="189" cm="1">
        <f t="array" ref="BL48">SUMPRODUCT(--(B48:BA48=INT(B48:BA48)),--(B48:BA48&gt;0))/52*100%</f>
        <v>0.326923076923077</v>
      </c>
      <c r="BM48" s="190">
        <f t="shared" si="1"/>
        <v>9</v>
      </c>
      <c r="BN48" s="190">
        <f t="shared" si="2"/>
        <v>11</v>
      </c>
      <c r="BO48" s="190">
        <f t="shared" si="3"/>
        <v>17</v>
      </c>
    </row>
    <row r="49" customHeight="1" spans="1:67">
      <c r="A49" s="4">
        <v>47</v>
      </c>
      <c r="B49" s="120"/>
      <c r="C49" s="120"/>
      <c r="D49" s="120"/>
      <c r="E49" s="120"/>
      <c r="F49" s="120"/>
      <c r="G49" s="120"/>
      <c r="H49" s="120">
        <v>1</v>
      </c>
      <c r="I49" s="120"/>
      <c r="J49" s="120"/>
      <c r="K49" s="120"/>
      <c r="L49" s="120"/>
      <c r="M49" s="120">
        <v>1</v>
      </c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>
        <v>1</v>
      </c>
      <c r="Z49" s="120"/>
      <c r="AA49" s="120"/>
      <c r="AB49" s="120"/>
      <c r="AC49" s="120"/>
      <c r="AD49" s="120"/>
      <c r="AE49" s="120"/>
      <c r="AF49" s="120"/>
      <c r="AG49" s="120"/>
      <c r="AH49" s="120"/>
      <c r="AI49" s="120"/>
      <c r="AJ49" s="120">
        <v>1</v>
      </c>
      <c r="AK49" s="120"/>
      <c r="AL49" s="120"/>
      <c r="AM49" s="120"/>
      <c r="AN49" s="120"/>
      <c r="AO49" s="120"/>
      <c r="AP49" s="120"/>
      <c r="AQ49" s="120"/>
      <c r="AR49" s="120"/>
      <c r="AS49" s="120"/>
      <c r="AT49" s="120"/>
      <c r="AU49" s="120"/>
      <c r="AV49" s="120"/>
      <c r="AW49" s="120"/>
      <c r="AX49" s="120"/>
      <c r="AY49" s="120"/>
      <c r="AZ49" s="120"/>
      <c r="BA49" s="120"/>
      <c r="BB49" s="120"/>
      <c r="BC49" s="120"/>
      <c r="BD49" s="120"/>
      <c r="BE49" s="120"/>
      <c r="BF49" s="120"/>
      <c r="BG49" s="120"/>
      <c r="BH49" s="120"/>
      <c r="BI49" s="188">
        <f t="shared" si="0"/>
        <v>4</v>
      </c>
      <c r="BJ49" s="188" cm="1">
        <f t="array" ref="BJ49">SUMPRODUCT(--(B49:BC49=INT(B49:BC49)),--(B49:BC49&gt;0))</f>
        <v>4</v>
      </c>
      <c r="BK49" s="188" cm="1">
        <f t="array" ref="BK49">MAX(FREQUENCY(IF((B49:BC49=INT(B49:BC49))*(B49:BC49&gt;0),COLUMN(B49:BC49)),IF((B49:BC49&lt;&gt;INT(B49:BC49))+(B49:BC49&lt;=0),COLUMN(B49:BC49))))</f>
        <v>1</v>
      </c>
      <c r="BL49" s="189" cm="1">
        <f t="array" ref="BL49">SUMPRODUCT(--(B49:BA49=INT(B49:BA49)),--(B49:BA49&gt;0))/52*100%</f>
        <v>0.0769230769230769</v>
      </c>
      <c r="BM49" s="190">
        <f t="shared" si="1"/>
        <v>28</v>
      </c>
      <c r="BN49" s="190">
        <f t="shared" si="2"/>
        <v>28</v>
      </c>
      <c r="BO49" s="190">
        <f t="shared" si="3"/>
        <v>22</v>
      </c>
    </row>
    <row r="50" customHeight="1" spans="1:67">
      <c r="A50" s="4">
        <v>48</v>
      </c>
      <c r="B50" s="120"/>
      <c r="C50" s="120"/>
      <c r="D50" s="120"/>
      <c r="E50" s="120">
        <v>1</v>
      </c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>
        <v>1</v>
      </c>
      <c r="S50" s="120"/>
      <c r="T50" s="120">
        <v>1</v>
      </c>
      <c r="U50" s="120"/>
      <c r="V50" s="120"/>
      <c r="W50" s="120"/>
      <c r="X50" s="120"/>
      <c r="Y50" s="120"/>
      <c r="Z50" s="120"/>
      <c r="AA50" s="120"/>
      <c r="AB50" s="120"/>
      <c r="AC50" s="120"/>
      <c r="AD50" s="120"/>
      <c r="AE50" s="120">
        <v>1</v>
      </c>
      <c r="AF50" s="120"/>
      <c r="AG50" s="120"/>
      <c r="AH50" s="120"/>
      <c r="AI50" s="120"/>
      <c r="AJ50" s="120">
        <v>1</v>
      </c>
      <c r="AK50" s="120"/>
      <c r="AL50" s="120"/>
      <c r="AM50" s="120"/>
      <c r="AN50" s="120"/>
      <c r="AO50" s="120"/>
      <c r="AP50" s="120"/>
      <c r="AQ50" s="120"/>
      <c r="AR50" s="120"/>
      <c r="AS50" s="120"/>
      <c r="AT50" s="120"/>
      <c r="AU50" s="120"/>
      <c r="AV50" s="120"/>
      <c r="AW50" s="120"/>
      <c r="AX50" s="120"/>
      <c r="AY50" s="120"/>
      <c r="AZ50" s="120"/>
      <c r="BA50" s="120"/>
      <c r="BB50" s="120"/>
      <c r="BC50" s="120"/>
      <c r="BD50" s="120"/>
      <c r="BE50" s="120"/>
      <c r="BF50" s="120"/>
      <c r="BG50" s="120"/>
      <c r="BH50" s="120"/>
      <c r="BI50" s="188">
        <f t="shared" si="0"/>
        <v>5</v>
      </c>
      <c r="BJ50" s="188" cm="1">
        <f t="array" ref="BJ50">SUMPRODUCT(--(B50:BC50=INT(B50:BC50)),--(B50:BC50&gt;0))</f>
        <v>5</v>
      </c>
      <c r="BK50" s="188" cm="1">
        <f t="array" ref="BK50">MAX(FREQUENCY(IF((B50:BC50=INT(B50:BC50))*(B50:BC50&gt;0),COLUMN(B50:BC50)),IF((B50:BC50&lt;&gt;INT(B50:BC50))+(B50:BC50&lt;=0),COLUMN(B50:BC50))))</f>
        <v>1</v>
      </c>
      <c r="BL50" s="189" cm="1">
        <f t="array" ref="BL50">SUMPRODUCT(--(B50:BA50=INT(B50:BA50)),--(B50:BA50&gt;0))/52*100%</f>
        <v>0.0961538461538462</v>
      </c>
      <c r="BM50" s="190">
        <f t="shared" si="1"/>
        <v>26</v>
      </c>
      <c r="BN50" s="190">
        <f t="shared" si="2"/>
        <v>24</v>
      </c>
      <c r="BO50" s="190">
        <f t="shared" si="3"/>
        <v>22</v>
      </c>
    </row>
    <row r="51" customHeight="1" spans="1:67">
      <c r="A51" s="193">
        <v>49</v>
      </c>
      <c r="B51" s="120"/>
      <c r="C51" s="120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20"/>
      <c r="AB51" s="120"/>
      <c r="AC51" s="120"/>
      <c r="AD51" s="120"/>
      <c r="AE51" s="120"/>
      <c r="AF51" s="120"/>
      <c r="AG51" s="120"/>
      <c r="AH51" s="120"/>
      <c r="AI51" s="120"/>
      <c r="AJ51" s="120"/>
      <c r="AK51" s="120"/>
      <c r="AL51" s="120"/>
      <c r="AM51" s="120"/>
      <c r="AN51" s="120"/>
      <c r="AO51" s="120"/>
      <c r="AP51" s="120"/>
      <c r="AQ51" s="120"/>
      <c r="AR51" s="120"/>
      <c r="AS51" s="120"/>
      <c r="AT51" s="120"/>
      <c r="AU51" s="120"/>
      <c r="AV51" s="120"/>
      <c r="AW51" s="120"/>
      <c r="AX51" s="120"/>
      <c r="AY51" s="120"/>
      <c r="AZ51" s="120"/>
      <c r="BA51" s="120"/>
      <c r="BB51" s="120">
        <v>1</v>
      </c>
      <c r="BC51" s="120"/>
      <c r="BD51" s="120"/>
      <c r="BE51" s="120"/>
      <c r="BF51" s="120"/>
      <c r="BG51" s="120"/>
      <c r="BH51" s="120"/>
      <c r="BI51" s="188">
        <f t="shared" si="0"/>
        <v>1</v>
      </c>
      <c r="BJ51" s="188" cm="1">
        <f t="array" ref="BJ51">SUMPRODUCT(--(B51:BC51=INT(B51:BC51)),--(B51:BC51&gt;0))</f>
        <v>1</v>
      </c>
      <c r="BK51" s="188" cm="1">
        <f t="array" ref="BK51">MAX(FREQUENCY(IF((B51:BC51=INT(B51:BC51))*(B51:BC51&gt;0),COLUMN(B51:BC51)),IF((B51:BC51&lt;&gt;INT(B51:BC51))+(B51:BC51&lt;=0),COLUMN(B51:BC51))))</f>
        <v>1</v>
      </c>
      <c r="BL51" s="189" cm="1">
        <f t="array" ref="BL51">SUMPRODUCT(--(B51:BA51=INT(B51:BA51)),--(B51:BA51&gt;0))/52*100%</f>
        <v>0</v>
      </c>
      <c r="BM51" s="190">
        <f t="shared" si="1"/>
        <v>35</v>
      </c>
      <c r="BN51" s="190">
        <f t="shared" si="2"/>
        <v>35</v>
      </c>
      <c r="BO51" s="190">
        <f t="shared" si="3"/>
        <v>22</v>
      </c>
    </row>
    <row r="52" customHeight="1" spans="1:67">
      <c r="A52" s="117">
        <v>50</v>
      </c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20"/>
      <c r="AB52" s="120"/>
      <c r="AC52" s="120"/>
      <c r="AD52" s="120"/>
      <c r="AE52" s="120"/>
      <c r="AF52" s="120"/>
      <c r="AG52" s="120"/>
      <c r="AH52" s="120"/>
      <c r="AI52" s="120"/>
      <c r="AJ52" s="120"/>
      <c r="AK52" s="120"/>
      <c r="AL52" s="120"/>
      <c r="AM52" s="120"/>
      <c r="AN52" s="120"/>
      <c r="AO52" s="120"/>
      <c r="AP52" s="120"/>
      <c r="AQ52" s="120"/>
      <c r="AR52" s="120"/>
      <c r="AS52" s="120"/>
      <c r="AT52" s="120"/>
      <c r="AU52" s="120"/>
      <c r="AV52" s="120"/>
      <c r="AW52" s="120"/>
      <c r="AX52" s="120"/>
      <c r="AY52" s="120"/>
      <c r="AZ52" s="120"/>
      <c r="BA52" s="120"/>
      <c r="BB52" s="120"/>
      <c r="BC52" s="120"/>
      <c r="BD52" s="120"/>
      <c r="BE52" s="120"/>
      <c r="BF52" s="120"/>
      <c r="BG52" s="120"/>
      <c r="BH52" s="120"/>
      <c r="BI52" s="188">
        <f t="shared" si="0"/>
        <v>0</v>
      </c>
      <c r="BJ52" s="188" cm="1">
        <f t="array" ref="BJ52">SUMPRODUCT(--(B52:BC52=INT(B52:BC52)),--(B52:BC52&gt;0))</f>
        <v>0</v>
      </c>
      <c r="BK52" s="188" cm="1">
        <f t="array" ref="BK52">MAX(FREQUENCY(IF((B52:BC52=INT(B52:BC52))*(B52:BC52&gt;0),COLUMN(B52:BC52)),IF((B52:BC52&lt;&gt;INT(B52:BC52))+(B52:BC52&lt;=0),COLUMN(B52:BC52))))</f>
        <v>0</v>
      </c>
      <c r="BL52" s="189" cm="1">
        <f t="array" ref="BL52">SUMPRODUCT(--(B52:BA52=INT(B52:BA52)),--(B52:BA52&gt;0))/52*100%</f>
        <v>0</v>
      </c>
      <c r="BM52" s="190">
        <f t="shared" si="1"/>
        <v>43</v>
      </c>
      <c r="BN52" s="190">
        <f t="shared" si="2"/>
        <v>43</v>
      </c>
      <c r="BO52" s="190">
        <f t="shared" si="3"/>
        <v>43</v>
      </c>
    </row>
    <row r="53" customHeight="1" spans="1:67">
      <c r="A53" s="120">
        <v>51</v>
      </c>
      <c r="B53" s="120"/>
      <c r="C53" s="120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20"/>
      <c r="AB53" s="120"/>
      <c r="AC53" s="120"/>
      <c r="AD53" s="120"/>
      <c r="AE53" s="120"/>
      <c r="AF53" s="120"/>
      <c r="AG53" s="120"/>
      <c r="AH53" s="120"/>
      <c r="AI53" s="120"/>
      <c r="AJ53" s="120">
        <v>1</v>
      </c>
      <c r="AK53" s="120"/>
      <c r="AL53" s="120"/>
      <c r="AM53" s="120"/>
      <c r="AN53" s="120"/>
      <c r="AO53" s="120"/>
      <c r="AP53" s="120"/>
      <c r="AQ53" s="120"/>
      <c r="AR53" s="120"/>
      <c r="AS53" s="120"/>
      <c r="AT53" s="120"/>
      <c r="AU53" s="120"/>
      <c r="AV53" s="120"/>
      <c r="AW53" s="120"/>
      <c r="AX53" s="120"/>
      <c r="AY53" s="120"/>
      <c r="AZ53" s="120"/>
      <c r="BA53" s="120"/>
      <c r="BB53" s="120"/>
      <c r="BC53" s="120"/>
      <c r="BD53" s="120"/>
      <c r="BE53" s="120"/>
      <c r="BF53" s="120"/>
      <c r="BG53" s="120"/>
      <c r="BH53" s="120"/>
      <c r="BI53" s="188">
        <f t="shared" si="0"/>
        <v>1</v>
      </c>
      <c r="BJ53" s="188" cm="1">
        <f t="array" ref="BJ53">SUMPRODUCT(--(B53:BC53=INT(B53:BC53)),--(B53:BC53&gt;0))</f>
        <v>1</v>
      </c>
      <c r="BK53" s="188" cm="1">
        <f t="array" ref="BK53">MAX(FREQUENCY(IF((B53:BC53=INT(B53:BC53))*(B53:BC53&gt;0),COLUMN(B53:BC53)),IF((B53:BC53&lt;&gt;INT(B53:BC53))+(B53:BC53&lt;=0),COLUMN(B53:BC53))))</f>
        <v>1</v>
      </c>
      <c r="BL53" s="189" cm="1">
        <f t="array" ref="BL53">SUMPRODUCT(--(B53:BA53=INT(B53:BA53)),--(B53:BA53&gt;0))/52*100%</f>
        <v>0.0192307692307692</v>
      </c>
      <c r="BM53" s="190">
        <f t="shared" si="1"/>
        <v>35</v>
      </c>
      <c r="BN53" s="190">
        <f t="shared" si="2"/>
        <v>35</v>
      </c>
      <c r="BO53" s="190">
        <f t="shared" si="3"/>
        <v>22</v>
      </c>
    </row>
    <row r="54" s="175" customFormat="1" ht="28" spans="1:67">
      <c r="A54" s="194" t="s">
        <v>344</v>
      </c>
      <c r="B54" s="17" cm="1">
        <f t="array" ref="B54">SUMPRODUCT(--(B3:B53=INT(B3:B53)),--(B3:B53&gt;0))</f>
        <v>11</v>
      </c>
      <c r="C54" s="17" cm="1">
        <f t="array" ref="C54">SUMPRODUCT(--(C3:C53=INT(C3:C53)),--(C3:C53&gt;0))</f>
        <v>9</v>
      </c>
      <c r="D54" s="17" cm="1">
        <f t="array" ref="D54">SUMPRODUCT(--(D3:D53=INT(D3:D53)),--(D3:D53&gt;0))</f>
        <v>10</v>
      </c>
      <c r="E54" s="17" cm="1">
        <f t="array" ref="E54">SUMPRODUCT(--(E3:E53=INT(E3:E53)),--(E3:E53&gt;0))</f>
        <v>6</v>
      </c>
      <c r="F54" s="17" cm="1">
        <f t="array" ref="F54">SUMPRODUCT(--(F3:F53=INT(F3:F53)),--(F3:F53&gt;0))</f>
        <v>2</v>
      </c>
      <c r="G54" s="17" cm="1">
        <f t="array" ref="G54">SUMPRODUCT(--(G3:G53=INT(G3:G53)),--(G3:G53&gt;0))</f>
        <v>5</v>
      </c>
      <c r="H54" s="17" cm="1">
        <f t="array" ref="H54">SUMPRODUCT(--(H3:H53=INT(H3:H53)),--(H3:H53&gt;0))</f>
        <v>12</v>
      </c>
      <c r="I54" s="17" cm="1">
        <f t="array" ref="I54">SUMPRODUCT(--(I3:I53=INT(I3:I53)),--(I3:I53&gt;0))</f>
        <v>13</v>
      </c>
      <c r="J54" s="17" cm="1">
        <f t="array" ref="J54">SUMPRODUCT(--(J3:J53=INT(J3:J53)),--(J3:J53&gt;0))</f>
        <v>12</v>
      </c>
      <c r="K54" s="17" cm="1">
        <f t="array" ref="K54">SUMPRODUCT(--(K3:K53=INT(K3:K53)),--(K3:K53&gt;0))</f>
        <v>5</v>
      </c>
      <c r="L54" s="17" cm="1">
        <f t="array" ref="L54">SUMPRODUCT(--(L3:L53=INT(L3:L53)),--(L3:L53&gt;0))</f>
        <v>12</v>
      </c>
      <c r="M54" s="17" cm="1">
        <f t="array" ref="M54">SUMPRODUCT(--(M3:M53=INT(M3:M53)),--(M3:M53&gt;0))</f>
        <v>6</v>
      </c>
      <c r="N54" s="17" cm="1">
        <f t="array" ref="N54">SUMPRODUCT(--(N3:N53=INT(N3:N53)),--(N3:N53&gt;0))</f>
        <v>9</v>
      </c>
      <c r="O54" s="17" cm="1">
        <f t="array" ref="O54">SUMPRODUCT(--(O3:O53=INT(O3:O53)),--(O3:O53&gt;0))</f>
        <v>0</v>
      </c>
      <c r="P54" s="17" cm="1">
        <f t="array" ref="P54">SUMPRODUCT(--(P3:P53=INT(P3:P53)),--(P3:P53&gt;0))</f>
        <v>1</v>
      </c>
      <c r="Q54" s="17" cm="1">
        <f t="array" ref="Q54">SUMPRODUCT(--(Q3:Q53=INT(Q3:Q53)),--(Q3:Q53&gt;0))</f>
        <v>13</v>
      </c>
      <c r="R54" s="17" cm="1">
        <f t="array" ref="R54">SUMPRODUCT(--(R3:R53=INT(R3:R53)),--(R3:R53&gt;0))</f>
        <v>11</v>
      </c>
      <c r="S54" s="17" cm="1">
        <f t="array" ref="S54">SUMPRODUCT(--(S3:S53=INT(S3:S53)),--(S3:S53&gt;0))</f>
        <v>11</v>
      </c>
      <c r="T54" s="17" cm="1">
        <f t="array" ref="T54">SUMPRODUCT(--(T3:T53=INT(T3:T53)),--(T3:T53&gt;0))</f>
        <v>23</v>
      </c>
      <c r="U54" s="17" cm="1">
        <f t="array" ref="U54">SUMPRODUCT(--(U3:U53=INT(U3:U53)),--(U3:U53&gt;0))</f>
        <v>4</v>
      </c>
      <c r="V54" s="17" cm="1">
        <f t="array" ref="V54">SUMPRODUCT(--(V3:V53=INT(V3:V53)),--(V3:V53&gt;0))</f>
        <v>12</v>
      </c>
      <c r="W54" s="17" cm="1">
        <f t="array" ref="W54">SUMPRODUCT(--(W3:W53=INT(W3:W53)),--(W3:W53&gt;0))</f>
        <v>3</v>
      </c>
      <c r="X54" s="17" cm="1">
        <f t="array" ref="X54">SUMPRODUCT(--(X3:X53=INT(X3:X53)),--(X3:X53&gt;0))</f>
        <v>2</v>
      </c>
      <c r="Y54" s="17" cm="1">
        <f t="array" ref="Y54">SUMPRODUCT(--(Y3:Y53=INT(Y3:Y53)),--(Y3:Y53&gt;0))</f>
        <v>28</v>
      </c>
      <c r="Z54" s="17" cm="1">
        <f t="array" ref="Z54">SUMPRODUCT(--(Z3:Z53=INT(Z3:Z53)),--(Z3:Z53&gt;0))</f>
        <v>3</v>
      </c>
      <c r="AA54" s="17" cm="1">
        <f t="array" ref="AA54">SUMPRODUCT(--(AA3:AA53=INT(AA3:AA53)),--(AA3:AA53&gt;0))</f>
        <v>4</v>
      </c>
      <c r="AB54" s="17" cm="1">
        <f t="array" ref="AB54">SUMPRODUCT(--(AB3:AB53=INT(AB3:AB53)),--(AB3:AB53&gt;0))</f>
        <v>2</v>
      </c>
      <c r="AC54" s="17" cm="1">
        <f t="array" ref="AC54">SUMPRODUCT(--(AC3:AC53=INT(AC3:AC53)),--(AC3:AC53&gt;0))</f>
        <v>3</v>
      </c>
      <c r="AD54" s="17" cm="1">
        <f t="array" ref="AD54">SUMPRODUCT(--(AD3:AD53=INT(AD3:AD53)),--(AD3:AD53&gt;0))</f>
        <v>2</v>
      </c>
      <c r="AE54" s="17" cm="1">
        <f t="array" ref="AE54">SUMPRODUCT(--(AE3:AE53=INT(AE3:AE53)),--(AE3:AE53&gt;0))</f>
        <v>5</v>
      </c>
      <c r="AF54" s="17" cm="1">
        <f t="array" ref="AF54">SUMPRODUCT(--(AF3:AF53=INT(AF3:AF53)),--(AF3:AF53&gt;0))</f>
        <v>7</v>
      </c>
      <c r="AG54" s="17" cm="1">
        <f t="array" ref="AG54">SUMPRODUCT(--(AG3:AG53=INT(AG3:AG53)),--(AG3:AG53&gt;0))</f>
        <v>1</v>
      </c>
      <c r="AH54" s="17" cm="1">
        <f t="array" ref="AH54">SUMPRODUCT(--(AH3:AH53=INT(AH3:AH53)),--(AH3:AH53&gt;0))</f>
        <v>0</v>
      </c>
      <c r="AI54" s="17" cm="1">
        <f t="array" ref="AI54">SUMPRODUCT(--(AI3:AI53=INT(AI3:AI53)),--(AI3:AI53&gt;0))</f>
        <v>0</v>
      </c>
      <c r="AJ54" s="17" cm="1">
        <f t="array" ref="AJ54">SUMPRODUCT(--(AJ3:AJ53=INT(AJ3:AJ53)),--(AJ3:AJ53&gt;0))</f>
        <v>18</v>
      </c>
      <c r="AK54" s="17" cm="1">
        <f t="array" ref="AK54">SUMPRODUCT(--(AK3:AK53=INT(AK3:AK53)),--(AK3:AK53&gt;0))</f>
        <v>6</v>
      </c>
      <c r="AL54" s="17" cm="1">
        <f t="array" ref="AL54">SUMPRODUCT(--(AL3:AL53=INT(AL3:AL53)),--(AL3:AL53&gt;0))</f>
        <v>2</v>
      </c>
      <c r="AM54" s="17" cm="1">
        <f t="array" ref="AM54">SUMPRODUCT(--(AM3:AM53=INT(AM3:AM53)),--(AM3:AM53&gt;0))</f>
        <v>3</v>
      </c>
      <c r="AN54" s="17" cm="1">
        <f t="array" ref="AN54">SUMPRODUCT(--(AN3:AN53=INT(AN3:AN53)),--(AN3:AN53&gt;0))</f>
        <v>9</v>
      </c>
      <c r="AO54" s="17" cm="1">
        <f t="array" ref="AO54">SUMPRODUCT(--(AO3:AO53=INT(AO3:AO53)),--(AO3:AO53&gt;0))</f>
        <v>8</v>
      </c>
      <c r="AP54" s="17" cm="1">
        <f t="array" ref="AP54">SUMPRODUCT(--(AP3:AP53=INT(AP3:AP53)),--(AP3:AP53&gt;0))</f>
        <v>2</v>
      </c>
      <c r="AQ54" s="17" cm="1">
        <f t="array" ref="AQ54">SUMPRODUCT(--(AQ3:AQ53=INT(AQ3:AQ53)),--(AQ3:AQ53&gt;0))</f>
        <v>6</v>
      </c>
      <c r="AR54" s="17" cm="1">
        <f t="array" ref="AR54">SUMPRODUCT(--(AR3:AR53=INT(AR3:AR53)),--(AR3:AR53&gt;0))</f>
        <v>15</v>
      </c>
      <c r="AS54" s="17" cm="1">
        <f t="array" ref="AS54">SUMPRODUCT(--(AS3:AS53=INT(AS3:AS53)),--(AS3:AS53&gt;0))</f>
        <v>10</v>
      </c>
      <c r="AT54" s="17" cm="1">
        <f t="array" ref="AT54">SUMPRODUCT(--(AT3:AT53=INT(AT3:AT53)),--(AT3:AT53&gt;0))</f>
        <v>9</v>
      </c>
      <c r="AU54" s="17" cm="1">
        <f t="array" ref="AU54">SUMPRODUCT(--(AU3:AU53=INT(AU3:AU53)),--(AU3:AU53&gt;0))</f>
        <v>15</v>
      </c>
      <c r="AV54" s="17" cm="1">
        <f t="array" ref="AV54">SUMPRODUCT(--(AV3:AV53=INT(AV3:AV53)),--(AV3:AV53&gt;0))</f>
        <v>8</v>
      </c>
      <c r="AW54" s="17" cm="1">
        <f t="array" ref="AW54">SUMPRODUCT(--(AW3:AW53=INT(AW3:AW53)),--(AW3:AW53&gt;0))</f>
        <v>4</v>
      </c>
      <c r="AX54" s="17" cm="1">
        <f t="array" ref="AX54">SUMPRODUCT(--(AX3:AX53=INT(AX3:AX53)),--(AX3:AX53&gt;0))</f>
        <v>10</v>
      </c>
      <c r="AY54" s="17" cm="1">
        <f t="array" ref="AY54">SUMPRODUCT(--(AY3:AY53=INT(AY3:AY53)),--(AY3:AY53&gt;0))</f>
        <v>17</v>
      </c>
      <c r="AZ54" s="17" cm="1">
        <f t="array" ref="AZ54">SUMPRODUCT(--(AZ3:AZ53=INT(AZ3:AZ53)),--(AZ3:AZ53&gt;0))</f>
        <v>14</v>
      </c>
      <c r="BA54" s="17" cm="1">
        <f t="array" ref="BA54">SUMPRODUCT(--(BA3:BA53=INT(BA3:BA53)),--(BA3:BA53&gt;0))</f>
        <v>17</v>
      </c>
      <c r="BB54" s="17" cm="1">
        <f t="array" ref="BB54">SUMPRODUCT(--(BB3:BB53=INT(BB3:BB53)),--(BB3:BB53&gt;0))</f>
        <v>10</v>
      </c>
      <c r="BC54" s="17" cm="1">
        <f t="array" ref="BC54">SUMPRODUCT(--(BC3:BC53=INT(BC3:BC53)),--(BC3:BC53&gt;0))</f>
        <v>0</v>
      </c>
      <c r="BD54" s="17" cm="1">
        <f t="array" ref="BD54">SUMPRODUCT(--(BD3:BD53=INT(BD3:BD53)),--(BD3:BD53&gt;0))</f>
        <v>0</v>
      </c>
      <c r="BE54" s="17" cm="1">
        <f t="array" ref="BE54">SUMPRODUCT(--(BE3:BE53=INT(BE3:BE53)),--(BE3:BE53&gt;0))</f>
        <v>0</v>
      </c>
      <c r="BF54" s="17" cm="1">
        <f t="array" ref="BF54">SUMPRODUCT(--(BF3:BF53=INT(BF3:BF53)),--(BF3:BF53&gt;0))</f>
        <v>0</v>
      </c>
      <c r="BG54" s="17" cm="1">
        <f t="array" ref="BG54">SUMPRODUCT(--(BG3:BG53=INT(BG3:BG53)),--(BG3:BG53&gt;0))</f>
        <v>0</v>
      </c>
      <c r="BH54" s="17" cm="1">
        <f t="array" ref="BH54">SUMPRODUCT(--(BH3:BH53=INT(BH3:BH53)),--(BH3:BH53&gt;0))</f>
        <v>0</v>
      </c>
      <c r="BI54" s="195" t="s">
        <v>345</v>
      </c>
      <c r="BJ54" s="196"/>
      <c r="BK54" s="196"/>
      <c r="BL54" s="196"/>
      <c r="BM54" s="196"/>
      <c r="BN54" s="196"/>
      <c r="BO54" s="197"/>
    </row>
    <row r="55" s="175" customFormat="1" ht="28" spans="1:67">
      <c r="A55" s="194" t="s">
        <v>346</v>
      </c>
      <c r="B55" s="17">
        <f>SUM(B3:B53)</f>
        <v>11</v>
      </c>
      <c r="C55" s="17">
        <f t="shared" ref="C55:AH55" si="4">SUM(C3:C53)</f>
        <v>9</v>
      </c>
      <c r="D55" s="17">
        <f t="shared" si="4"/>
        <v>12</v>
      </c>
      <c r="E55" s="17">
        <f t="shared" si="4"/>
        <v>6</v>
      </c>
      <c r="F55" s="17">
        <f t="shared" si="4"/>
        <v>2</v>
      </c>
      <c r="G55" s="17">
        <f t="shared" si="4"/>
        <v>7</v>
      </c>
      <c r="H55" s="17">
        <f t="shared" si="4"/>
        <v>12</v>
      </c>
      <c r="I55" s="17">
        <f t="shared" si="4"/>
        <v>16</v>
      </c>
      <c r="J55" s="17">
        <f t="shared" si="4"/>
        <v>14</v>
      </c>
      <c r="K55" s="17">
        <f t="shared" si="4"/>
        <v>6</v>
      </c>
      <c r="L55" s="17">
        <f t="shared" si="4"/>
        <v>12</v>
      </c>
      <c r="M55" s="17">
        <f t="shared" si="4"/>
        <v>7</v>
      </c>
      <c r="N55" s="17">
        <f t="shared" si="4"/>
        <v>10</v>
      </c>
      <c r="O55" s="17">
        <f t="shared" si="4"/>
        <v>0</v>
      </c>
      <c r="P55" s="17">
        <f t="shared" si="4"/>
        <v>1</v>
      </c>
      <c r="Q55" s="17">
        <f t="shared" si="4"/>
        <v>13</v>
      </c>
      <c r="R55" s="17">
        <f t="shared" si="4"/>
        <v>13</v>
      </c>
      <c r="S55" s="17">
        <f t="shared" si="4"/>
        <v>15</v>
      </c>
      <c r="T55" s="17">
        <f t="shared" si="4"/>
        <v>28</v>
      </c>
      <c r="U55" s="17">
        <f t="shared" si="4"/>
        <v>5</v>
      </c>
      <c r="V55" s="17">
        <f t="shared" si="4"/>
        <v>13</v>
      </c>
      <c r="W55" s="17">
        <f t="shared" si="4"/>
        <v>3</v>
      </c>
      <c r="X55" s="17">
        <f t="shared" si="4"/>
        <v>2</v>
      </c>
      <c r="Y55" s="17">
        <f t="shared" si="4"/>
        <v>31</v>
      </c>
      <c r="Z55" s="17">
        <f t="shared" si="4"/>
        <v>3</v>
      </c>
      <c r="AA55" s="17">
        <f t="shared" si="4"/>
        <v>4</v>
      </c>
      <c r="AB55" s="17">
        <f t="shared" si="4"/>
        <v>2</v>
      </c>
      <c r="AC55" s="17">
        <f t="shared" si="4"/>
        <v>3</v>
      </c>
      <c r="AD55" s="17">
        <f t="shared" si="4"/>
        <v>2</v>
      </c>
      <c r="AE55" s="17">
        <f t="shared" si="4"/>
        <v>5</v>
      </c>
      <c r="AF55" s="17">
        <f t="shared" si="4"/>
        <v>9</v>
      </c>
      <c r="AG55" s="17">
        <f t="shared" si="4"/>
        <v>1</v>
      </c>
      <c r="AH55" s="17">
        <f t="shared" si="4"/>
        <v>0</v>
      </c>
      <c r="AI55" s="17">
        <f t="shared" ref="AI55:BH55" si="5">SUM(AI3:AI53)</f>
        <v>0</v>
      </c>
      <c r="AJ55" s="17">
        <f t="shared" si="5"/>
        <v>20</v>
      </c>
      <c r="AK55" s="17">
        <f t="shared" si="5"/>
        <v>7</v>
      </c>
      <c r="AL55" s="17">
        <f t="shared" si="5"/>
        <v>2</v>
      </c>
      <c r="AM55" s="17">
        <f t="shared" si="5"/>
        <v>3</v>
      </c>
      <c r="AN55" s="17">
        <f t="shared" si="5"/>
        <v>11</v>
      </c>
      <c r="AO55" s="17">
        <f t="shared" si="5"/>
        <v>9</v>
      </c>
      <c r="AP55" s="17">
        <f t="shared" si="5"/>
        <v>2</v>
      </c>
      <c r="AQ55" s="17">
        <f t="shared" si="5"/>
        <v>6</v>
      </c>
      <c r="AR55" s="17">
        <f t="shared" si="5"/>
        <v>18</v>
      </c>
      <c r="AS55" s="17">
        <f t="shared" si="5"/>
        <v>10</v>
      </c>
      <c r="AT55" s="17">
        <f t="shared" si="5"/>
        <v>9</v>
      </c>
      <c r="AU55" s="17">
        <f t="shared" si="5"/>
        <v>23</v>
      </c>
      <c r="AV55" s="17">
        <f t="shared" si="5"/>
        <v>8</v>
      </c>
      <c r="AW55" s="17">
        <f t="shared" si="5"/>
        <v>4</v>
      </c>
      <c r="AX55" s="17">
        <f t="shared" si="5"/>
        <v>14</v>
      </c>
      <c r="AY55" s="17">
        <f t="shared" si="5"/>
        <v>17</v>
      </c>
      <c r="AZ55" s="17">
        <f t="shared" si="5"/>
        <v>15</v>
      </c>
      <c r="BA55" s="17">
        <f t="shared" si="5"/>
        <v>20</v>
      </c>
      <c r="BB55" s="17">
        <f t="shared" si="5"/>
        <v>12</v>
      </c>
      <c r="BC55" s="17">
        <f t="shared" si="5"/>
        <v>0</v>
      </c>
      <c r="BD55" s="17">
        <f t="shared" si="5"/>
        <v>0</v>
      </c>
      <c r="BE55" s="17">
        <f t="shared" si="5"/>
        <v>0</v>
      </c>
      <c r="BF55" s="17">
        <f t="shared" si="5"/>
        <v>0</v>
      </c>
      <c r="BG55" s="17">
        <f t="shared" si="5"/>
        <v>0</v>
      </c>
      <c r="BH55" s="17">
        <f t="shared" si="5"/>
        <v>0</v>
      </c>
      <c r="BI55" s="198"/>
      <c r="BJ55" s="199"/>
      <c r="BK55" s="199"/>
      <c r="BL55" s="199"/>
      <c r="BM55" s="199"/>
      <c r="BN55" s="199"/>
      <c r="BO55" s="200"/>
    </row>
  </sheetData>
  <mergeCells count="7">
    <mergeCell ref="B1:S1"/>
    <mergeCell ref="T1:AI1"/>
    <mergeCell ref="AJ1:AL1"/>
    <mergeCell ref="AM1:BH1"/>
    <mergeCell ref="BI1:BO1"/>
    <mergeCell ref="A1:A2"/>
    <mergeCell ref="BI54:BO55"/>
  </mergeCells>
  <conditionalFormatting sqref="B54:BH54">
    <cfRule type="colorScale" priority="63">
      <colorScale>
        <cfvo type="min"/>
        <cfvo type="max"/>
        <color theme="6" tint="0.8"/>
        <color theme="6" tint="-0.25"/>
      </colorScale>
    </cfRule>
  </conditionalFormatting>
  <conditionalFormatting sqref="B55:BH55">
    <cfRule type="colorScale" priority="62">
      <colorScale>
        <cfvo type="min"/>
        <cfvo type="max"/>
        <color theme="6" tint="0.8"/>
        <color theme="6" tint="-0.25"/>
      </colorScale>
    </cfRule>
  </conditionalFormatting>
  <conditionalFormatting sqref="T3:T53">
    <cfRule type="colorScale" priority="192">
      <colorScale>
        <cfvo type="min"/>
        <cfvo type="max"/>
        <color theme="4" tint="0.8"/>
        <color theme="4" tint="-0.25"/>
      </colorScale>
    </cfRule>
    <cfRule type="colorScale" priority="193">
      <colorScale>
        <cfvo type="min"/>
        <cfvo type="max"/>
        <color theme="4" tint="-0.25"/>
        <color theme="4" tint="0.8"/>
      </colorScale>
    </cfRule>
  </conditionalFormatting>
  <conditionalFormatting sqref="U3:U53">
    <cfRule type="colorScale" priority="179">
      <colorScale>
        <cfvo type="min"/>
        <cfvo type="max"/>
        <color theme="4" tint="0.8"/>
        <color theme="4" tint="-0.25"/>
      </colorScale>
    </cfRule>
    <cfRule type="colorScale" priority="191">
      <colorScale>
        <cfvo type="min"/>
        <cfvo type="max"/>
        <color theme="4" tint="-0.25"/>
        <color theme="4" tint="0.8"/>
      </colorScale>
    </cfRule>
  </conditionalFormatting>
  <conditionalFormatting sqref="V3:V53">
    <cfRule type="colorScale" priority="178">
      <colorScale>
        <cfvo type="min"/>
        <cfvo type="max"/>
        <color theme="4" tint="0.8"/>
        <color theme="4" tint="-0.25"/>
      </colorScale>
    </cfRule>
    <cfRule type="colorScale" priority="190">
      <colorScale>
        <cfvo type="min"/>
        <cfvo type="max"/>
        <color theme="4" tint="-0.25"/>
        <color theme="4" tint="0.8"/>
      </colorScale>
    </cfRule>
  </conditionalFormatting>
  <conditionalFormatting sqref="W3:W53">
    <cfRule type="colorScale" priority="177">
      <colorScale>
        <cfvo type="min"/>
        <cfvo type="max"/>
        <color theme="4" tint="0.8"/>
        <color theme="4" tint="-0.25"/>
      </colorScale>
    </cfRule>
    <cfRule type="colorScale" priority="189">
      <colorScale>
        <cfvo type="min"/>
        <cfvo type="max"/>
        <color theme="4" tint="-0.25"/>
        <color theme="4" tint="0.8"/>
      </colorScale>
    </cfRule>
  </conditionalFormatting>
  <conditionalFormatting sqref="X3:X53">
    <cfRule type="colorScale" priority="176">
      <colorScale>
        <cfvo type="min"/>
        <cfvo type="max"/>
        <color theme="4" tint="0.8"/>
        <color theme="4" tint="-0.25"/>
      </colorScale>
    </cfRule>
    <cfRule type="colorScale" priority="188">
      <colorScale>
        <cfvo type="min"/>
        <cfvo type="max"/>
        <color theme="4" tint="-0.25"/>
        <color theme="4" tint="0.8"/>
      </colorScale>
    </cfRule>
  </conditionalFormatting>
  <conditionalFormatting sqref="Y3:Y53">
    <cfRule type="colorScale" priority="175">
      <colorScale>
        <cfvo type="min"/>
        <cfvo type="max"/>
        <color theme="4" tint="0.8"/>
        <color theme="4" tint="-0.25"/>
      </colorScale>
    </cfRule>
    <cfRule type="colorScale" priority="187">
      <colorScale>
        <cfvo type="min"/>
        <cfvo type="max"/>
        <color theme="4" tint="-0.25"/>
        <color theme="4" tint="0.8"/>
      </colorScale>
    </cfRule>
  </conditionalFormatting>
  <conditionalFormatting sqref="Z3:Z53">
    <cfRule type="colorScale" priority="174">
      <colorScale>
        <cfvo type="min"/>
        <cfvo type="max"/>
        <color theme="4" tint="0.8"/>
        <color theme="4" tint="-0.25"/>
      </colorScale>
    </cfRule>
    <cfRule type="colorScale" priority="186">
      <colorScale>
        <cfvo type="min"/>
        <cfvo type="max"/>
        <color theme="4" tint="-0.25"/>
        <color theme="4" tint="0.8"/>
      </colorScale>
    </cfRule>
  </conditionalFormatting>
  <conditionalFormatting sqref="AA3:AA53">
    <cfRule type="colorScale" priority="173">
      <colorScale>
        <cfvo type="min"/>
        <cfvo type="max"/>
        <color theme="4" tint="0.8"/>
        <color theme="4" tint="-0.25"/>
      </colorScale>
    </cfRule>
    <cfRule type="colorScale" priority="185">
      <colorScale>
        <cfvo type="min"/>
        <cfvo type="max"/>
        <color theme="4" tint="-0.25"/>
        <color theme="4" tint="0.8"/>
      </colorScale>
    </cfRule>
  </conditionalFormatting>
  <conditionalFormatting sqref="AB3:AB53">
    <cfRule type="colorScale" priority="172">
      <colorScale>
        <cfvo type="min"/>
        <cfvo type="max"/>
        <color theme="4" tint="0.8"/>
        <color theme="4" tint="-0.25"/>
      </colorScale>
    </cfRule>
    <cfRule type="colorScale" priority="184">
      <colorScale>
        <cfvo type="min"/>
        <cfvo type="max"/>
        <color theme="4" tint="-0.25"/>
        <color theme="4" tint="0.8"/>
      </colorScale>
    </cfRule>
  </conditionalFormatting>
  <conditionalFormatting sqref="AC3:AC53">
    <cfRule type="colorScale" priority="171">
      <colorScale>
        <cfvo type="min"/>
        <cfvo type="max"/>
        <color theme="4" tint="0.8"/>
        <color theme="4" tint="-0.25"/>
      </colorScale>
    </cfRule>
    <cfRule type="colorScale" priority="183">
      <colorScale>
        <cfvo type="min"/>
        <cfvo type="max"/>
        <color theme="4" tint="-0.25"/>
        <color theme="4" tint="0.8"/>
      </colorScale>
    </cfRule>
  </conditionalFormatting>
  <conditionalFormatting sqref="AD3:AD53">
    <cfRule type="colorScale" priority="170">
      <colorScale>
        <cfvo type="min"/>
        <cfvo type="max"/>
        <color theme="4" tint="0.8"/>
        <color theme="4" tint="-0.25"/>
      </colorScale>
    </cfRule>
    <cfRule type="colorScale" priority="182">
      <colorScale>
        <cfvo type="min"/>
        <cfvo type="max"/>
        <color theme="4" tint="-0.25"/>
        <color theme="4" tint="0.8"/>
      </colorScale>
    </cfRule>
  </conditionalFormatting>
  <conditionalFormatting sqref="AE3:AE53">
    <cfRule type="colorScale" priority="169">
      <colorScale>
        <cfvo type="min"/>
        <cfvo type="max"/>
        <color theme="4" tint="0.8"/>
        <color theme="4" tint="-0.25"/>
      </colorScale>
    </cfRule>
    <cfRule type="colorScale" priority="181">
      <colorScale>
        <cfvo type="min"/>
        <cfvo type="max"/>
        <color theme="4" tint="-0.25"/>
        <color theme="4" tint="0.8"/>
      </colorScale>
    </cfRule>
  </conditionalFormatting>
  <conditionalFormatting sqref="AF3:AF53">
    <cfRule type="colorScale" priority="168">
      <colorScale>
        <cfvo type="min"/>
        <cfvo type="max"/>
        <color theme="4" tint="0.8"/>
        <color theme="4" tint="-0.25"/>
      </colorScale>
    </cfRule>
    <cfRule type="colorScale" priority="180">
      <colorScale>
        <cfvo type="min"/>
        <cfvo type="max"/>
        <color theme="4" tint="-0.25"/>
        <color theme="4" tint="0.8"/>
      </colorScale>
    </cfRule>
  </conditionalFormatting>
  <conditionalFormatting sqref="AG3:AG53">
    <cfRule type="colorScale" priority="161">
      <colorScale>
        <cfvo type="min"/>
        <cfvo type="max"/>
        <color theme="4" tint="-0.25"/>
        <color theme="4" tint="0.8"/>
      </colorScale>
    </cfRule>
    <cfRule type="colorScale" priority="157">
      <colorScale>
        <cfvo type="min"/>
        <cfvo type="max"/>
        <color theme="4" tint="0.8"/>
        <color theme="4" tint="-0.25"/>
      </colorScale>
    </cfRule>
    <cfRule type="colorScale" priority="153">
      <colorScale>
        <cfvo type="min"/>
        <cfvo type="max"/>
        <color theme="4"/>
        <color theme="4" tint="0.8"/>
      </colorScale>
    </cfRule>
    <cfRule type="colorScale" priority="149">
      <colorScale>
        <cfvo type="min"/>
        <cfvo type="max"/>
        <color theme="4" tint="0.8"/>
        <color theme="4"/>
      </colorScale>
    </cfRule>
  </conditionalFormatting>
  <conditionalFormatting sqref="AH3:AH53">
    <cfRule type="colorScale" priority="160">
      <colorScale>
        <cfvo type="min"/>
        <cfvo type="max"/>
        <color theme="4" tint="-0.25"/>
        <color theme="4" tint="0.8"/>
      </colorScale>
    </cfRule>
    <cfRule type="colorScale" priority="156">
      <colorScale>
        <cfvo type="min"/>
        <cfvo type="max"/>
        <color theme="4" tint="0.8"/>
        <color theme="4" tint="-0.25"/>
      </colorScale>
    </cfRule>
    <cfRule type="colorScale" priority="152">
      <colorScale>
        <cfvo type="min"/>
        <cfvo type="max"/>
        <color theme="4"/>
        <color theme="4" tint="0.8"/>
      </colorScale>
    </cfRule>
    <cfRule type="colorScale" priority="148">
      <colorScale>
        <cfvo type="min"/>
        <cfvo type="max"/>
        <color theme="4" tint="0.8"/>
        <color theme="4"/>
      </colorScale>
    </cfRule>
  </conditionalFormatting>
  <conditionalFormatting sqref="AI3:AI53">
    <cfRule type="colorScale" priority="147">
      <colorScale>
        <cfvo type="min"/>
        <cfvo type="max"/>
        <color theme="4" tint="0.8"/>
        <color theme="4"/>
      </colorScale>
    </cfRule>
    <cfRule type="colorScale" priority="151">
      <colorScale>
        <cfvo type="min"/>
        <cfvo type="max"/>
        <color theme="4"/>
        <color theme="4" tint="0.8"/>
      </colorScale>
    </cfRule>
    <cfRule type="colorScale" priority="155">
      <colorScale>
        <cfvo type="min"/>
        <cfvo type="max"/>
        <color theme="4" tint="0.8"/>
        <color theme="4" tint="-0.25"/>
      </colorScale>
    </cfRule>
    <cfRule type="colorScale" priority="159">
      <colorScale>
        <cfvo type="min"/>
        <cfvo type="max"/>
        <color theme="4" tint="-0.25"/>
        <color theme="4" tint="0.8"/>
      </colorScale>
    </cfRule>
  </conditionalFormatting>
  <conditionalFormatting sqref="AJ3:AJ53">
    <cfRule type="colorScale" priority="145">
      <colorScale>
        <cfvo type="min"/>
        <cfvo type="max"/>
        <color theme="4" tint="-0.25"/>
        <color theme="4" tint="0.8"/>
      </colorScale>
    </cfRule>
    <cfRule type="colorScale" priority="125">
      <colorScale>
        <cfvo type="min"/>
        <cfvo type="max"/>
        <color theme="4" tint="0.8"/>
        <color theme="4" tint="-0.25"/>
      </colorScale>
    </cfRule>
    <cfRule type="colorScale" priority="105">
      <colorScale>
        <cfvo type="min"/>
        <cfvo type="max"/>
        <color theme="4"/>
        <color theme="4" tint="0.8"/>
      </colorScale>
    </cfRule>
    <cfRule type="colorScale" priority="85">
      <colorScale>
        <cfvo type="min"/>
        <cfvo type="max"/>
        <color theme="4" tint="0.8"/>
        <color theme="4"/>
      </colorScale>
    </cfRule>
  </conditionalFormatting>
  <conditionalFormatting sqref="AK3:AK53">
    <cfRule type="colorScale" priority="144">
      <colorScale>
        <cfvo type="min"/>
        <cfvo type="max"/>
        <color theme="4" tint="-0.25"/>
        <color theme="4" tint="0.8"/>
      </colorScale>
    </cfRule>
    <cfRule type="colorScale" priority="124">
      <colorScale>
        <cfvo type="min"/>
        <cfvo type="max"/>
        <color theme="4" tint="0.8"/>
        <color theme="4" tint="-0.25"/>
      </colorScale>
    </cfRule>
    <cfRule type="colorScale" priority="104">
      <colorScale>
        <cfvo type="min"/>
        <cfvo type="max"/>
        <color theme="4"/>
        <color theme="4" tint="0.8"/>
      </colorScale>
    </cfRule>
    <cfRule type="colorScale" priority="84">
      <colorScale>
        <cfvo type="min"/>
        <cfvo type="max"/>
        <color theme="4" tint="0.8"/>
        <color theme="4"/>
      </colorScale>
    </cfRule>
  </conditionalFormatting>
  <conditionalFormatting sqref="AL3:AL53">
    <cfRule type="colorScale" priority="143">
      <colorScale>
        <cfvo type="min"/>
        <cfvo type="max"/>
        <color theme="4" tint="-0.25"/>
        <color theme="4" tint="0.8"/>
      </colorScale>
    </cfRule>
    <cfRule type="colorScale" priority="123">
      <colorScale>
        <cfvo type="min"/>
        <cfvo type="max"/>
        <color theme="4" tint="0.8"/>
        <color theme="4" tint="-0.25"/>
      </colorScale>
    </cfRule>
    <cfRule type="colorScale" priority="103">
      <colorScale>
        <cfvo type="min"/>
        <cfvo type="max"/>
        <color theme="4"/>
        <color theme="4" tint="0.8"/>
      </colorScale>
    </cfRule>
    <cfRule type="colorScale" priority="83">
      <colorScale>
        <cfvo type="min"/>
        <cfvo type="max"/>
        <color theme="4" tint="0.8"/>
        <color theme="4"/>
      </colorScale>
    </cfRule>
  </conditionalFormatting>
  <conditionalFormatting sqref="AM3:AM53">
    <cfRule type="colorScale" priority="142">
      <colorScale>
        <cfvo type="min"/>
        <cfvo type="max"/>
        <color theme="4" tint="-0.25"/>
        <color theme="4" tint="0.8"/>
      </colorScale>
    </cfRule>
    <cfRule type="colorScale" priority="122">
      <colorScale>
        <cfvo type="min"/>
        <cfvo type="max"/>
        <color theme="4" tint="0.8"/>
        <color theme="4" tint="-0.25"/>
      </colorScale>
    </cfRule>
    <cfRule type="colorScale" priority="102">
      <colorScale>
        <cfvo type="min"/>
        <cfvo type="max"/>
        <color theme="4"/>
        <color theme="4" tint="0.8"/>
      </colorScale>
    </cfRule>
    <cfRule type="colorScale" priority="82">
      <colorScale>
        <cfvo type="min"/>
        <cfvo type="max"/>
        <color theme="4" tint="0.8"/>
        <color theme="4"/>
      </colorScale>
    </cfRule>
  </conditionalFormatting>
  <conditionalFormatting sqref="AN3:AN53">
    <cfRule type="colorScale" priority="141">
      <colorScale>
        <cfvo type="min"/>
        <cfvo type="max"/>
        <color theme="4" tint="-0.25"/>
        <color theme="4" tint="0.8"/>
      </colorScale>
    </cfRule>
    <cfRule type="colorScale" priority="121">
      <colorScale>
        <cfvo type="min"/>
        <cfvo type="max"/>
        <color theme="4" tint="0.8"/>
        <color theme="4" tint="-0.25"/>
      </colorScale>
    </cfRule>
    <cfRule type="colorScale" priority="101">
      <colorScale>
        <cfvo type="min"/>
        <cfvo type="max"/>
        <color theme="4"/>
        <color theme="4" tint="0.8"/>
      </colorScale>
    </cfRule>
    <cfRule type="colorScale" priority="81">
      <colorScale>
        <cfvo type="min"/>
        <cfvo type="max"/>
        <color theme="4" tint="0.8"/>
        <color theme="4"/>
      </colorScale>
    </cfRule>
  </conditionalFormatting>
  <conditionalFormatting sqref="AO3:AO53">
    <cfRule type="colorScale" priority="140">
      <colorScale>
        <cfvo type="min"/>
        <cfvo type="max"/>
        <color theme="4" tint="-0.25"/>
        <color theme="4" tint="0.8"/>
      </colorScale>
    </cfRule>
    <cfRule type="colorScale" priority="120">
      <colorScale>
        <cfvo type="min"/>
        <cfvo type="max"/>
        <color theme="4" tint="0.8"/>
        <color theme="4" tint="-0.25"/>
      </colorScale>
    </cfRule>
    <cfRule type="colorScale" priority="100">
      <colorScale>
        <cfvo type="min"/>
        <cfvo type="max"/>
        <color theme="4"/>
        <color theme="4" tint="0.8"/>
      </colorScale>
    </cfRule>
    <cfRule type="colorScale" priority="80">
      <colorScale>
        <cfvo type="min"/>
        <cfvo type="max"/>
        <color theme="4" tint="0.8"/>
        <color theme="4"/>
      </colorScale>
    </cfRule>
  </conditionalFormatting>
  <conditionalFormatting sqref="AP3:AP53">
    <cfRule type="colorScale" priority="139">
      <colorScale>
        <cfvo type="min"/>
        <cfvo type="max"/>
        <color theme="4" tint="-0.25"/>
        <color theme="4" tint="0.8"/>
      </colorScale>
    </cfRule>
    <cfRule type="colorScale" priority="119">
      <colorScale>
        <cfvo type="min"/>
        <cfvo type="max"/>
        <color theme="4" tint="0.8"/>
        <color theme="4" tint="-0.25"/>
      </colorScale>
    </cfRule>
    <cfRule type="colorScale" priority="99">
      <colorScale>
        <cfvo type="min"/>
        <cfvo type="max"/>
        <color theme="4"/>
        <color theme="4" tint="0.8"/>
      </colorScale>
    </cfRule>
    <cfRule type="colorScale" priority="79">
      <colorScale>
        <cfvo type="min"/>
        <cfvo type="max"/>
        <color theme="4" tint="0.8"/>
        <color theme="4"/>
      </colorScale>
    </cfRule>
  </conditionalFormatting>
  <conditionalFormatting sqref="AQ3:AQ53">
    <cfRule type="colorScale" priority="138">
      <colorScale>
        <cfvo type="min"/>
        <cfvo type="max"/>
        <color theme="4" tint="-0.25"/>
        <color theme="4" tint="0.8"/>
      </colorScale>
    </cfRule>
    <cfRule type="colorScale" priority="118">
      <colorScale>
        <cfvo type="min"/>
        <cfvo type="max"/>
        <color theme="4" tint="0.8"/>
        <color theme="4" tint="-0.25"/>
      </colorScale>
    </cfRule>
    <cfRule type="colorScale" priority="98">
      <colorScale>
        <cfvo type="min"/>
        <cfvo type="max"/>
        <color theme="4"/>
        <color theme="4" tint="0.8"/>
      </colorScale>
    </cfRule>
    <cfRule type="colorScale" priority="78">
      <colorScale>
        <cfvo type="min"/>
        <cfvo type="max"/>
        <color theme="4" tint="0.8"/>
        <color theme="4"/>
      </colorScale>
    </cfRule>
  </conditionalFormatting>
  <conditionalFormatting sqref="AR3:AR53">
    <cfRule type="colorScale" priority="137">
      <colorScale>
        <cfvo type="min"/>
        <cfvo type="max"/>
        <color theme="4" tint="-0.25"/>
        <color theme="4" tint="0.8"/>
      </colorScale>
    </cfRule>
    <cfRule type="colorScale" priority="117">
      <colorScale>
        <cfvo type="min"/>
        <cfvo type="max"/>
        <color theme="4" tint="0.8"/>
        <color theme="4" tint="-0.25"/>
      </colorScale>
    </cfRule>
    <cfRule type="colorScale" priority="97">
      <colorScale>
        <cfvo type="min"/>
        <cfvo type="max"/>
        <color theme="4"/>
        <color theme="4" tint="0.8"/>
      </colorScale>
    </cfRule>
    <cfRule type="colorScale" priority="77">
      <colorScale>
        <cfvo type="min"/>
        <cfvo type="max"/>
        <color theme="4" tint="0.8"/>
        <color theme="4"/>
      </colorScale>
    </cfRule>
  </conditionalFormatting>
  <conditionalFormatting sqref="AS3:AS53">
    <cfRule type="colorScale" priority="136">
      <colorScale>
        <cfvo type="min"/>
        <cfvo type="max"/>
        <color theme="4" tint="-0.25"/>
        <color theme="4" tint="0.8"/>
      </colorScale>
    </cfRule>
    <cfRule type="colorScale" priority="116">
      <colorScale>
        <cfvo type="min"/>
        <cfvo type="max"/>
        <color theme="4" tint="0.8"/>
        <color theme="4" tint="-0.25"/>
      </colorScale>
    </cfRule>
    <cfRule type="colorScale" priority="96">
      <colorScale>
        <cfvo type="min"/>
        <cfvo type="max"/>
        <color theme="4"/>
        <color theme="4" tint="0.8"/>
      </colorScale>
    </cfRule>
    <cfRule type="colorScale" priority="76">
      <colorScale>
        <cfvo type="min"/>
        <cfvo type="max"/>
        <color theme="4" tint="0.8"/>
        <color theme="4"/>
      </colorScale>
    </cfRule>
  </conditionalFormatting>
  <conditionalFormatting sqref="AT3:AT53">
    <cfRule type="colorScale" priority="135">
      <colorScale>
        <cfvo type="min"/>
        <cfvo type="max"/>
        <color theme="4" tint="-0.25"/>
        <color theme="4" tint="0.8"/>
      </colorScale>
    </cfRule>
    <cfRule type="colorScale" priority="115">
      <colorScale>
        <cfvo type="min"/>
        <cfvo type="max"/>
        <color theme="4" tint="0.8"/>
        <color theme="4" tint="-0.25"/>
      </colorScale>
    </cfRule>
    <cfRule type="colorScale" priority="95">
      <colorScale>
        <cfvo type="min"/>
        <cfvo type="max"/>
        <color theme="4"/>
        <color theme="4" tint="0.8"/>
      </colorScale>
    </cfRule>
    <cfRule type="colorScale" priority="75">
      <colorScale>
        <cfvo type="min"/>
        <cfvo type="max"/>
        <color theme="4" tint="0.8"/>
        <color theme="4"/>
      </colorScale>
    </cfRule>
  </conditionalFormatting>
  <conditionalFormatting sqref="AU3:AU53">
    <cfRule type="colorScale" priority="134">
      <colorScale>
        <cfvo type="min"/>
        <cfvo type="max"/>
        <color theme="4" tint="-0.25"/>
        <color theme="4" tint="0.8"/>
      </colorScale>
    </cfRule>
    <cfRule type="colorScale" priority="114">
      <colorScale>
        <cfvo type="min"/>
        <cfvo type="max"/>
        <color theme="4" tint="0.8"/>
        <color theme="4" tint="-0.25"/>
      </colorScale>
    </cfRule>
    <cfRule type="colorScale" priority="94">
      <colorScale>
        <cfvo type="min"/>
        <cfvo type="max"/>
        <color theme="4"/>
        <color theme="4" tint="0.8"/>
      </colorScale>
    </cfRule>
    <cfRule type="colorScale" priority="74">
      <colorScale>
        <cfvo type="min"/>
        <cfvo type="max"/>
        <color theme="4" tint="0.8"/>
        <color theme="4"/>
      </colorScale>
    </cfRule>
  </conditionalFormatting>
  <conditionalFormatting sqref="AV3:AV53">
    <cfRule type="colorScale" priority="133">
      <colorScale>
        <cfvo type="min"/>
        <cfvo type="max"/>
        <color theme="4" tint="-0.25"/>
        <color theme="4" tint="0.8"/>
      </colorScale>
    </cfRule>
    <cfRule type="colorScale" priority="113">
      <colorScale>
        <cfvo type="min"/>
        <cfvo type="max"/>
        <color theme="4" tint="0.8"/>
        <color theme="4" tint="-0.25"/>
      </colorScale>
    </cfRule>
    <cfRule type="colorScale" priority="93">
      <colorScale>
        <cfvo type="min"/>
        <cfvo type="max"/>
        <color theme="4"/>
        <color theme="4" tint="0.8"/>
      </colorScale>
    </cfRule>
    <cfRule type="colorScale" priority="73">
      <colorScale>
        <cfvo type="min"/>
        <cfvo type="max"/>
        <color theme="4" tint="0.8"/>
        <color theme="4"/>
      </colorScale>
    </cfRule>
  </conditionalFormatting>
  <conditionalFormatting sqref="AW3:AW53">
    <cfRule type="colorScale" priority="132">
      <colorScale>
        <cfvo type="min"/>
        <cfvo type="max"/>
        <color theme="4" tint="-0.25"/>
        <color theme="4" tint="0.8"/>
      </colorScale>
    </cfRule>
    <cfRule type="colorScale" priority="112">
      <colorScale>
        <cfvo type="min"/>
        <cfvo type="max"/>
        <color theme="4" tint="0.8"/>
        <color theme="4" tint="-0.25"/>
      </colorScale>
    </cfRule>
    <cfRule type="colorScale" priority="92">
      <colorScale>
        <cfvo type="min"/>
        <cfvo type="max"/>
        <color theme="4"/>
        <color theme="4" tint="0.8"/>
      </colorScale>
    </cfRule>
    <cfRule type="colorScale" priority="72">
      <colorScale>
        <cfvo type="min"/>
        <cfvo type="max"/>
        <color theme="4" tint="0.8"/>
        <color theme="4"/>
      </colorScale>
    </cfRule>
  </conditionalFormatting>
  <conditionalFormatting sqref="AX3:AX53">
    <cfRule type="colorScale" priority="131">
      <colorScale>
        <cfvo type="min"/>
        <cfvo type="max"/>
        <color theme="4" tint="-0.25"/>
        <color theme="4" tint="0.8"/>
      </colorScale>
    </cfRule>
    <cfRule type="colorScale" priority="111">
      <colorScale>
        <cfvo type="min"/>
        <cfvo type="max"/>
        <color theme="4" tint="0.8"/>
        <color theme="4" tint="-0.25"/>
      </colorScale>
    </cfRule>
    <cfRule type="colorScale" priority="91">
      <colorScale>
        <cfvo type="min"/>
        <cfvo type="max"/>
        <color theme="4"/>
        <color theme="4" tint="0.8"/>
      </colorScale>
    </cfRule>
    <cfRule type="colorScale" priority="71">
      <colorScale>
        <cfvo type="min"/>
        <cfvo type="max"/>
        <color theme="4" tint="0.8"/>
        <color theme="4"/>
      </colorScale>
    </cfRule>
  </conditionalFormatting>
  <conditionalFormatting sqref="AY3:AY53">
    <cfRule type="colorScale" priority="130">
      <colorScale>
        <cfvo type="min"/>
        <cfvo type="max"/>
        <color theme="4" tint="-0.25"/>
        <color theme="4" tint="0.8"/>
      </colorScale>
    </cfRule>
    <cfRule type="colorScale" priority="110">
      <colorScale>
        <cfvo type="min"/>
        <cfvo type="max"/>
        <color theme="4" tint="0.8"/>
        <color theme="4" tint="-0.25"/>
      </colorScale>
    </cfRule>
    <cfRule type="colorScale" priority="90">
      <colorScale>
        <cfvo type="min"/>
        <cfvo type="max"/>
        <color theme="4"/>
        <color theme="4" tint="0.8"/>
      </colorScale>
    </cfRule>
    <cfRule type="colorScale" priority="70">
      <colorScale>
        <cfvo type="min"/>
        <cfvo type="max"/>
        <color theme="4" tint="0.8"/>
        <color theme="4"/>
      </colorScale>
    </cfRule>
  </conditionalFormatting>
  <conditionalFormatting sqref="AZ3:AZ53">
    <cfRule type="colorScale" priority="129">
      <colorScale>
        <cfvo type="min"/>
        <cfvo type="max"/>
        <color theme="4" tint="-0.25"/>
        <color theme="4" tint="0.8"/>
      </colorScale>
    </cfRule>
    <cfRule type="colorScale" priority="109">
      <colorScale>
        <cfvo type="min"/>
        <cfvo type="max"/>
        <color theme="4" tint="0.8"/>
        <color theme="4" tint="-0.25"/>
      </colorScale>
    </cfRule>
    <cfRule type="colorScale" priority="89">
      <colorScale>
        <cfvo type="min"/>
        <cfvo type="max"/>
        <color theme="4"/>
        <color theme="4" tint="0.8"/>
      </colorScale>
    </cfRule>
    <cfRule type="colorScale" priority="69">
      <colorScale>
        <cfvo type="min"/>
        <cfvo type="max"/>
        <color theme="4" tint="0.8"/>
        <color theme="4"/>
      </colorScale>
    </cfRule>
  </conditionalFormatting>
  <conditionalFormatting sqref="BA3:BA53">
    <cfRule type="colorScale" priority="128">
      <colorScale>
        <cfvo type="min"/>
        <cfvo type="max"/>
        <color theme="4" tint="-0.25"/>
        <color theme="4" tint="0.8"/>
      </colorScale>
    </cfRule>
    <cfRule type="colorScale" priority="108">
      <colorScale>
        <cfvo type="min"/>
        <cfvo type="max"/>
        <color theme="4" tint="0.8"/>
        <color theme="4" tint="-0.25"/>
      </colorScale>
    </cfRule>
    <cfRule type="colorScale" priority="88">
      <colorScale>
        <cfvo type="min"/>
        <cfvo type="max"/>
        <color theme="4"/>
        <color theme="4" tint="0.8"/>
      </colorScale>
    </cfRule>
    <cfRule type="colorScale" priority="68">
      <colorScale>
        <cfvo type="min"/>
        <cfvo type="max"/>
        <color theme="4" tint="0.8"/>
        <color theme="4"/>
      </colorScale>
    </cfRule>
  </conditionalFormatting>
  <conditionalFormatting sqref="BB3:BB53">
    <cfRule type="colorScale" priority="127">
      <colorScale>
        <cfvo type="min"/>
        <cfvo type="max"/>
        <color theme="4" tint="-0.25"/>
        <color theme="4" tint="0.8"/>
      </colorScale>
    </cfRule>
    <cfRule type="colorScale" priority="107">
      <colorScale>
        <cfvo type="min"/>
        <cfvo type="max"/>
        <color theme="4" tint="0.8"/>
        <color theme="4" tint="-0.25"/>
      </colorScale>
    </cfRule>
    <cfRule type="colorScale" priority="87">
      <colorScale>
        <cfvo type="min"/>
        <cfvo type="max"/>
        <color theme="4"/>
        <color theme="4" tint="0.8"/>
      </colorScale>
    </cfRule>
    <cfRule type="colorScale" priority="67">
      <colorScale>
        <cfvo type="min"/>
        <cfvo type="max"/>
        <color theme="4" tint="0.8"/>
        <color theme="4"/>
      </colorScale>
    </cfRule>
  </conditionalFormatting>
  <conditionalFormatting sqref="BC3:BC53">
    <cfRule type="colorScale" priority="66">
      <colorScale>
        <cfvo type="min"/>
        <cfvo type="max"/>
        <color theme="4" tint="0.8"/>
        <color theme="4"/>
      </colorScale>
    </cfRule>
    <cfRule type="colorScale" priority="86">
      <colorScale>
        <cfvo type="min"/>
        <cfvo type="max"/>
        <color theme="4"/>
        <color theme="4" tint="0.8"/>
      </colorScale>
    </cfRule>
    <cfRule type="colorScale" priority="106">
      <colorScale>
        <cfvo type="min"/>
        <cfvo type="max"/>
        <color theme="4" tint="0.8"/>
        <color theme="4" tint="-0.25"/>
      </colorScale>
    </cfRule>
    <cfRule type="colorScale" priority="126">
      <colorScale>
        <cfvo type="min"/>
        <cfvo type="max"/>
        <color theme="4" tint="-0.25"/>
        <color theme="4" tint="0.8"/>
      </colorScale>
    </cfRule>
  </conditionalFormatting>
  <conditionalFormatting sqref="BD3:BD53">
    <cfRule type="colorScale" priority="61">
      <colorScale>
        <cfvo type="min"/>
        <cfvo type="max"/>
        <color theme="4" tint="-0.25"/>
        <color theme="4" tint="0.8"/>
      </colorScale>
    </cfRule>
    <cfRule type="colorScale" priority="51">
      <colorScale>
        <cfvo type="min"/>
        <cfvo type="max"/>
        <color theme="4" tint="0.8"/>
        <color theme="4" tint="-0.25"/>
      </colorScale>
    </cfRule>
    <cfRule type="colorScale" priority="41">
      <colorScale>
        <cfvo type="min"/>
        <cfvo type="max"/>
        <color theme="4"/>
        <color theme="4" tint="0.8"/>
      </colorScale>
    </cfRule>
    <cfRule type="colorScale" priority="31">
      <colorScale>
        <cfvo type="min"/>
        <cfvo type="max"/>
        <color theme="4" tint="0.8"/>
        <color theme="4"/>
      </colorScale>
    </cfRule>
  </conditionalFormatting>
  <conditionalFormatting sqref="BE3:BE53">
    <cfRule type="colorScale" priority="56">
      <colorScale>
        <cfvo type="min"/>
        <cfvo type="max"/>
        <color theme="4" tint="-0.25"/>
        <color theme="4" tint="0.8"/>
      </colorScale>
    </cfRule>
    <cfRule type="colorScale" priority="46">
      <colorScale>
        <cfvo type="min"/>
        <cfvo type="max"/>
        <color theme="4" tint="0.8"/>
        <color theme="4" tint="-0.25"/>
      </colorScale>
    </cfRule>
    <cfRule type="colorScale" priority="36">
      <colorScale>
        <cfvo type="min"/>
        <cfvo type="max"/>
        <color theme="4"/>
        <color theme="4" tint="0.8"/>
      </colorScale>
    </cfRule>
    <cfRule type="colorScale" priority="26">
      <colorScale>
        <cfvo type="min"/>
        <cfvo type="max"/>
        <color theme="4" tint="0.8"/>
        <color theme="4"/>
      </colorScale>
    </cfRule>
  </conditionalFormatting>
  <conditionalFormatting sqref="BF3:BF53">
    <cfRule type="colorScale" priority="60">
      <colorScale>
        <cfvo type="min"/>
        <cfvo type="max"/>
        <color theme="4" tint="-0.25"/>
        <color theme="4" tint="0.8"/>
      </colorScale>
    </cfRule>
    <cfRule type="colorScale" priority="50">
      <colorScale>
        <cfvo type="min"/>
        <cfvo type="max"/>
        <color theme="4" tint="0.8"/>
        <color theme="4" tint="-0.25"/>
      </colorScale>
    </cfRule>
    <cfRule type="colorScale" priority="40">
      <colorScale>
        <cfvo type="min"/>
        <cfvo type="max"/>
        <color theme="4"/>
        <color theme="4" tint="0.8"/>
      </colorScale>
    </cfRule>
    <cfRule type="colorScale" priority="30">
      <colorScale>
        <cfvo type="min"/>
        <cfvo type="max"/>
        <color theme="4" tint="0.8"/>
        <color theme="4"/>
      </colorScale>
    </cfRule>
  </conditionalFormatting>
  <conditionalFormatting sqref="BG3:BG53">
    <cfRule type="colorScale" priority="55">
      <colorScale>
        <cfvo type="min"/>
        <cfvo type="max"/>
        <color theme="4" tint="-0.25"/>
        <color theme="4" tint="0.8"/>
      </colorScale>
    </cfRule>
    <cfRule type="colorScale" priority="45">
      <colorScale>
        <cfvo type="min"/>
        <cfvo type="max"/>
        <color theme="4" tint="0.8"/>
        <color theme="4" tint="-0.25"/>
      </colorScale>
    </cfRule>
    <cfRule type="colorScale" priority="35">
      <colorScale>
        <cfvo type="min"/>
        <cfvo type="max"/>
        <color theme="4"/>
        <color theme="4" tint="0.8"/>
      </colorScale>
    </cfRule>
    <cfRule type="colorScale" priority="25">
      <colorScale>
        <cfvo type="min"/>
        <cfvo type="max"/>
        <color theme="4" tint="0.8"/>
        <color theme="4"/>
      </colorScale>
    </cfRule>
  </conditionalFormatting>
  <conditionalFormatting sqref="BH3:BH53">
    <cfRule type="colorScale" priority="59">
      <colorScale>
        <cfvo type="min"/>
        <cfvo type="max"/>
        <color theme="4" tint="-0.25"/>
        <color theme="4" tint="0.8"/>
      </colorScale>
    </cfRule>
    <cfRule type="colorScale" priority="49">
      <colorScale>
        <cfvo type="min"/>
        <cfvo type="max"/>
        <color theme="4" tint="0.8"/>
        <color theme="4" tint="-0.25"/>
      </colorScale>
    </cfRule>
    <cfRule type="colorScale" priority="39">
      <colorScale>
        <cfvo type="min"/>
        <cfvo type="max"/>
        <color theme="4"/>
        <color theme="4" tint="0.8"/>
      </colorScale>
    </cfRule>
    <cfRule type="colorScale" priority="29">
      <colorScale>
        <cfvo type="min"/>
        <cfvo type="max"/>
        <color theme="4" tint="0.8"/>
        <color theme="4"/>
      </colorScale>
    </cfRule>
    <cfRule type="colorScale" priority="14">
      <colorScale>
        <cfvo type="num" val="1"/>
        <cfvo type="num" val="3"/>
        <color theme="4" tint="0.8"/>
        <color theme="4" tint="-0.25"/>
      </colorScale>
    </cfRule>
  </conditionalFormatting>
  <conditionalFormatting sqref="BH26:BH53">
    <cfRule type="colorScale" priority="19">
      <colorScale>
        <cfvo type="min"/>
        <cfvo type="max"/>
        <color theme="4" tint="0.8"/>
        <color theme="4"/>
      </colorScale>
    </cfRule>
  </conditionalFormatting>
  <conditionalFormatting sqref="BM3:BM53">
    <cfRule type="colorScale" priority="166">
      <colorScale>
        <cfvo type="min"/>
        <cfvo type="max"/>
        <color theme="9" tint="-0.5"/>
        <color theme="9" tint="0.8"/>
      </colorScale>
    </cfRule>
    <cfRule type="colorScale" priority="167">
      <colorScale>
        <cfvo type="min"/>
        <cfvo type="max"/>
        <color rgb="FFFF7128"/>
        <color rgb="FFFFEF9C"/>
      </colorScale>
    </cfRule>
  </conditionalFormatting>
  <conditionalFormatting sqref="BN3:BN53">
    <cfRule type="colorScale" priority="165">
      <colorScale>
        <cfvo type="min"/>
        <cfvo type="max"/>
        <color theme="9" tint="-0.5"/>
        <color theme="9" tint="0.8"/>
      </colorScale>
    </cfRule>
  </conditionalFormatting>
  <conditionalFormatting sqref="BO3:BO53">
    <cfRule type="colorScale" priority="164">
      <colorScale>
        <cfvo type="min"/>
        <cfvo type="max"/>
        <color theme="9" tint="-0.5"/>
        <color theme="9" tint="0.8"/>
      </colorScale>
    </cfRule>
  </conditionalFormatting>
  <conditionalFormatting sqref="B3:S53">
    <cfRule type="colorScale" priority="194">
      <colorScale>
        <cfvo type="min"/>
        <cfvo type="max"/>
        <color theme="4" tint="0.8"/>
        <color theme="4" tint="-0.25"/>
      </colorScale>
    </cfRule>
    <cfRule type="colorScale" priority="195">
      <colorScale>
        <cfvo type="min"/>
        <cfvo type="max"/>
        <color theme="4" tint="-0.25"/>
        <color theme="4" tint="0.8"/>
      </colorScale>
    </cfRule>
  </conditionalFormatting>
  <conditionalFormatting sqref="B3:AF53">
    <cfRule type="colorScale" priority="162">
      <colorScale>
        <cfvo type="min"/>
        <cfvo type="max"/>
        <color theme="4" tint="0.8"/>
        <color theme="4"/>
      </colorScale>
    </cfRule>
    <cfRule type="colorScale" priority="163">
      <colorScale>
        <cfvo type="min"/>
        <cfvo type="max"/>
        <color theme="4"/>
        <color theme="4" tint="0.8"/>
      </colorScale>
    </cfRule>
  </conditionalFormatting>
  <conditionalFormatting sqref="B3:BC53">
    <cfRule type="colorScale" priority="64">
      <colorScale>
        <cfvo type="num" val="1"/>
        <cfvo type="num" val="3"/>
        <color theme="4" tint="0.8"/>
        <color theme="4" tint="-0.25"/>
      </colorScale>
    </cfRule>
  </conditionalFormatting>
  <conditionalFormatting sqref="B3:BH53">
    <cfRule type="colorScale" priority="1">
      <colorScale>
        <cfvo type="min"/>
        <cfvo type="max"/>
        <color theme="4" tint="0.8"/>
        <color theme="4"/>
      </colorScale>
    </cfRule>
  </conditionalFormatting>
  <conditionalFormatting sqref="BD3:BE53">
    <cfRule type="colorScale" priority="16">
      <colorScale>
        <cfvo type="num" val="1"/>
        <cfvo type="num" val="3"/>
        <color theme="4" tint="0.8"/>
        <color theme="4" tint="-0.25"/>
      </colorScale>
    </cfRule>
  </conditionalFormatting>
  <conditionalFormatting sqref="BF3:BG53">
    <cfRule type="colorScale" priority="15">
      <colorScale>
        <cfvo type="num" val="1"/>
        <cfvo type="num" val="3"/>
        <color theme="4" tint="0.8"/>
        <color theme="4" tint="-0.25"/>
      </colorScale>
    </cfRule>
  </conditionalFormatting>
  <conditionalFormatting sqref="B26:BC53">
    <cfRule type="colorScale" priority="65">
      <colorScale>
        <cfvo type="min"/>
        <cfvo type="max"/>
        <color theme="4" tint="0.8"/>
        <color theme="4"/>
      </colorScale>
    </cfRule>
  </conditionalFormatting>
  <conditionalFormatting sqref="BD26:BE53">
    <cfRule type="colorScale" priority="21">
      <colorScale>
        <cfvo type="min"/>
        <cfvo type="max"/>
        <color theme="4" tint="0.8"/>
        <color theme="4"/>
      </colorScale>
    </cfRule>
  </conditionalFormatting>
  <conditionalFormatting sqref="BF26:BG53">
    <cfRule type="colorScale" priority="20">
      <colorScale>
        <cfvo type="min"/>
        <cfvo type="max"/>
        <color theme="4" tint="0.8"/>
        <color theme="4"/>
      </colorScale>
    </cfRule>
  </conditionalFormatting>
  <pageMargins left="0.75" right="0.75" top="0" bottom="0" header="0.5" footer="0.5"/>
  <pageSetup paperSize="9" scale="80" orientation="landscape"/>
  <headerFooter/>
  <ignoredErrors>
    <ignoredError sqref="A55:BO55 BJ54:BO54 A54:BH54 BC51:BO51 BC46:BO46 BC30:BO30 BC33:BO33 BC40:BO40 BC24:BL24 BC21:BO21 AG52:BO53 A30:BA30 A33:BA33 A48:BO48 Y49:BO49 A50:BO50 AG47:BO47 A42:Y42 AF42:BO42 A43:BO45 A29:Y29 AG29:BO29 A31:BO31 Y32:BO32 A34:BO37 Y38:BO38 A39:BO39 A25:BL25 AG26:BL27 A28:BL28 A5:BL6 A8:BL8 A9:BO20 Y22:BO22 A23:BO23 A41:W41 AG51:BA51 Y46:BA46 B52:Z52 Y4 A40:AB40 AE40:BA40 AG7:BA7 AG21:BA21 Y24:BA24" formulaRange="1"/>
    <ignoredError sqref="A49:X49 A50:AD50 AF50 Z49:AF49 AE48 Z48:AB48 A47:AF47 Z42:AE42 A42:X42 A43:AF43 A44:W44 Z44:AD44 AF44 A45:AF45 Z29:AF29 A32:X32 A38:X38 Z38:AB38 AD38:AF38 A39:AF39 BM38:BO39 A34:AF35 A36:X36 Z36:AF36 BN35:BO35 A37:AF37 A26:AF27 A28:X28 A25:X25 Z25:AF25 BM5:BO6 A5:AF6 BM7:BO8 BM8:BO8 AD9:AF9 Z9:AB9 X8:AF8 A8:V8 A11:Z11 AB11:AC11 AE11 A16:AF16 A17:X18 Z17:AF18 A19:AF20 AB15:AE15 Z15 Z14:AF14 AB13:AF13 Z13 Z12:AF12 BN9:BO9 Z10:AF10 A9:X10 BM11:BO14 A12:X15 A22:X22 AA22:AD22 AF22 A23:AF23 X41 Z41:AE41 A51:AF51 A46:X46 AA46 AC46:AD46 AF46 AA46 AC46:AD46 AF46 A53:AF53 A52 P52 V52 Y52 P52 V52 Y52 AA52:AF52 Z4:AE4 A3:X4 AC40:AD40 A40:V40 A40:V40 A7:AF7 A21:AF21 BM4:BO4 A24:X24 Z24:AF24 Z24:AF24 BM24:BO28" formulaRange="1" unlockedFormula="1"/>
    <ignoredError sqref="BN3 Z3:AF3 A1 C1:S1 U1:AF1 BI1:BO2 A2:AF2 Z41:AE41 A24:X24 Z24:AF24 BM4:BO4 BM7:BO8 A7:AF7 A21:AF21" unlocked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G25" sqref="G25"/>
    </sheetView>
  </sheetViews>
  <sheetFormatPr defaultColWidth="9" defaultRowHeight="14"/>
  <cols>
    <col min="2" max="2" width="7.72727272727273" customWidth="1"/>
    <col min="3" max="3" width="12.881818181818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48"/>
      <c r="B1" s="149" t="s">
        <v>1</v>
      </c>
      <c r="C1" s="149"/>
      <c r="D1" s="150" t="s">
        <v>2</v>
      </c>
      <c r="E1" s="151"/>
      <c r="F1" s="152"/>
      <c r="G1" s="149" t="s">
        <v>3</v>
      </c>
      <c r="H1" s="149" t="s">
        <v>4</v>
      </c>
      <c r="I1" s="149" t="s">
        <v>5</v>
      </c>
      <c r="J1" s="149" t="s">
        <v>6</v>
      </c>
    </row>
    <row r="2" ht="16.5" spans="1:10">
      <c r="A2" s="149" t="s">
        <v>347</v>
      </c>
      <c r="B2" s="153" t="s">
        <v>348</v>
      </c>
      <c r="C2" s="154" t="s">
        <v>349</v>
      </c>
      <c r="D2" s="155"/>
      <c r="E2" s="153" t="s">
        <v>348</v>
      </c>
      <c r="F2" s="153"/>
      <c r="G2" s="156" t="s">
        <v>350</v>
      </c>
      <c r="H2" s="148"/>
      <c r="I2" s="148"/>
      <c r="J2" s="157"/>
    </row>
    <row r="3" ht="16.5" spans="1:10">
      <c r="A3" s="149" t="s">
        <v>351</v>
      </c>
      <c r="B3" s="158" t="s">
        <v>352</v>
      </c>
      <c r="C3" s="158"/>
      <c r="D3" s="158"/>
      <c r="E3" s="158"/>
      <c r="F3" s="158"/>
      <c r="G3" s="158"/>
      <c r="H3" s="148"/>
      <c r="I3" s="148"/>
      <c r="J3" s="157"/>
    </row>
    <row r="4" ht="16.5" spans="1:10">
      <c r="A4" s="149" t="s">
        <v>353</v>
      </c>
      <c r="B4" s="159" t="s">
        <v>255</v>
      </c>
      <c r="C4" s="159"/>
      <c r="D4" s="159"/>
      <c r="E4" s="159"/>
      <c r="F4" s="159"/>
      <c r="G4" s="159"/>
      <c r="H4" s="148"/>
      <c r="I4" s="148"/>
      <c r="J4" s="157"/>
    </row>
    <row r="5" ht="16.5" spans="1:10">
      <c r="A5" s="149" t="s">
        <v>354</v>
      </c>
      <c r="B5" s="160">
        <v>1</v>
      </c>
      <c r="C5" s="160"/>
      <c r="D5" s="161">
        <v>2</v>
      </c>
      <c r="E5" s="161"/>
      <c r="F5" s="161"/>
      <c r="G5" s="160">
        <v>3</v>
      </c>
      <c r="H5" s="148"/>
      <c r="I5" s="148"/>
      <c r="J5" s="157"/>
    </row>
    <row r="6" ht="16.5" spans="1:10">
      <c r="A6" s="149" t="s">
        <v>355</v>
      </c>
      <c r="B6" s="162">
        <v>1</v>
      </c>
      <c r="C6" s="162"/>
      <c r="D6" s="162"/>
      <c r="E6" s="162"/>
      <c r="F6" s="162"/>
      <c r="G6" s="163" t="s">
        <v>356</v>
      </c>
      <c r="H6" s="148"/>
      <c r="I6" s="148"/>
      <c r="J6" s="157"/>
    </row>
    <row r="7" ht="16.5" spans="1:10">
      <c r="A7" s="149" t="s">
        <v>357</v>
      </c>
      <c r="B7" s="164" t="s">
        <v>358</v>
      </c>
      <c r="C7" s="164"/>
      <c r="D7" s="164"/>
      <c r="E7" s="164"/>
      <c r="F7" s="164"/>
      <c r="G7" s="165">
        <v>2</v>
      </c>
      <c r="H7" s="148"/>
      <c r="I7" s="148"/>
      <c r="J7" s="157"/>
    </row>
    <row r="8" ht="16.5" spans="1:10">
      <c r="A8" s="149" t="s">
        <v>359</v>
      </c>
      <c r="B8" s="166">
        <v>1</v>
      </c>
      <c r="C8" s="166"/>
      <c r="D8" s="167" t="s">
        <v>360</v>
      </c>
      <c r="E8" s="167"/>
      <c r="F8" s="167"/>
      <c r="G8" s="166"/>
      <c r="H8" s="148"/>
      <c r="I8" s="148"/>
      <c r="J8" s="157"/>
    </row>
    <row r="9" ht="16.5" spans="1:10">
      <c r="A9" s="149" t="s">
        <v>361</v>
      </c>
      <c r="B9" s="153" t="s">
        <v>362</v>
      </c>
      <c r="C9" s="153"/>
      <c r="D9" s="153"/>
      <c r="E9" s="153"/>
      <c r="F9" s="153"/>
      <c r="G9" s="153"/>
      <c r="H9" s="148"/>
      <c r="I9" s="148"/>
      <c r="J9" s="157"/>
    </row>
    <row r="10" ht="16.5" spans="1:10">
      <c r="A10" s="149" t="s">
        <v>363</v>
      </c>
      <c r="B10" s="158">
        <v>1</v>
      </c>
      <c r="C10" s="158"/>
      <c r="D10" s="168" t="s">
        <v>364</v>
      </c>
      <c r="E10" s="158">
        <v>1</v>
      </c>
      <c r="F10" s="168" t="s">
        <v>364</v>
      </c>
      <c r="G10" s="148" t="s">
        <v>365</v>
      </c>
      <c r="H10" s="148"/>
      <c r="I10" s="148"/>
      <c r="J10" s="157"/>
    </row>
    <row r="11" ht="16.5" spans="1:10">
      <c r="A11" s="149" t="s">
        <v>366</v>
      </c>
      <c r="B11" s="159">
        <v>1</v>
      </c>
      <c r="C11" s="159"/>
      <c r="D11" s="159"/>
      <c r="E11" s="159"/>
      <c r="F11" s="159"/>
      <c r="G11" s="159"/>
      <c r="H11" s="148"/>
      <c r="I11" s="148"/>
      <c r="J11" s="157"/>
    </row>
    <row r="12" ht="16.5" spans="1:10">
      <c r="A12" s="149" t="s">
        <v>367</v>
      </c>
      <c r="B12" s="160">
        <v>1</v>
      </c>
      <c r="C12" s="160"/>
      <c r="D12" s="160"/>
      <c r="E12" s="160"/>
      <c r="F12" s="160"/>
      <c r="G12" s="161">
        <v>2</v>
      </c>
      <c r="H12" s="148"/>
      <c r="I12" s="148"/>
      <c r="J12" s="157"/>
    </row>
    <row r="13" s="1" customFormat="1" ht="16.5" spans="1:10">
      <c r="A13" s="149" t="s">
        <v>368</v>
      </c>
      <c r="B13" s="2" t="s">
        <v>365</v>
      </c>
      <c r="C13" s="2"/>
      <c r="D13" s="2"/>
      <c r="E13" s="2"/>
      <c r="F13" s="2"/>
      <c r="G13" s="169" t="s">
        <v>369</v>
      </c>
      <c r="H13" s="1"/>
      <c r="I13" s="1"/>
      <c r="J13" s="170"/>
    </row>
    <row r="14" s="1" customFormat="1" ht="16.5" spans="1:10">
      <c r="A14" s="149" t="s">
        <v>370</v>
      </c>
      <c r="B14" s="171" t="s">
        <v>365</v>
      </c>
      <c r="C14" s="171"/>
      <c r="D14" s="171"/>
      <c r="E14" s="171"/>
      <c r="F14" s="171"/>
      <c r="G14" s="171"/>
      <c r="H14" s="171"/>
      <c r="I14" s="172"/>
      <c r="J14" s="173"/>
    </row>
  </sheetData>
  <mergeCells count="18">
    <mergeCell ref="B1:C1"/>
    <mergeCell ref="D1:F1"/>
    <mergeCell ref="C2:D2"/>
    <mergeCell ref="E2:F2"/>
    <mergeCell ref="B3:G3"/>
    <mergeCell ref="B4:G4"/>
    <mergeCell ref="B5:C5"/>
    <mergeCell ref="D5:F5"/>
    <mergeCell ref="B6:F6"/>
    <mergeCell ref="B7:F7"/>
    <mergeCell ref="B8:C8"/>
    <mergeCell ref="D8:F8"/>
    <mergeCell ref="B9:G9"/>
    <mergeCell ref="B10:C10"/>
    <mergeCell ref="B11:G11"/>
    <mergeCell ref="B12:F12"/>
    <mergeCell ref="B13:F13"/>
    <mergeCell ref="B14:H14"/>
  </mergeCells>
  <conditionalFormatting sqref="C2 B3:B4 B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">
      <colorScale>
        <cfvo type="min"/>
        <cfvo type="max"/>
        <color rgb="FFFF7128"/>
        <color rgb="FFFFEF9C"/>
      </colorScale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I22"/>
  <sheetViews>
    <sheetView workbookViewId="0">
      <selection activeCell="C35" sqref="C35"/>
    </sheetView>
  </sheetViews>
  <sheetFormatPr defaultColWidth="8.72727272727273" defaultRowHeight="14"/>
  <cols>
    <col min="1" max="1" width="6.58181818181818" style="120" customWidth="1"/>
    <col min="2" max="2" width="12.4545454545455" style="120" customWidth="1"/>
    <col min="3" max="4" width="8.72727272727273" style="120"/>
    <col min="5" max="5" width="2.06363636363636" style="120" customWidth="1"/>
    <col min="6" max="6" width="6.32727272727273" style="120" customWidth="1"/>
    <col min="7" max="16384" width="8.72727272727273" style="120"/>
  </cols>
  <sheetData>
    <row r="1" s="117" customFormat="1" spans="1:9">
      <c r="A1" s="121" t="s">
        <v>371</v>
      </c>
      <c r="B1" s="122"/>
      <c r="C1" s="117" t="s">
        <v>1</v>
      </c>
      <c r="D1" s="117" t="s">
        <v>2</v>
      </c>
      <c r="E1" s="123" t="s">
        <v>3</v>
      </c>
      <c r="F1" s="124"/>
      <c r="G1" s="117" t="s">
        <v>4</v>
      </c>
      <c r="H1" s="117" t="s">
        <v>5</v>
      </c>
      <c r="I1" s="117" t="s">
        <v>6</v>
      </c>
    </row>
    <row r="2" s="118" customFormat="1" spans="1:9">
      <c r="A2" s="125" t="s">
        <v>372</v>
      </c>
      <c r="B2" s="126" t="s">
        <v>373</v>
      </c>
      <c r="C2" s="127" t="s">
        <v>7</v>
      </c>
      <c r="D2" s="128"/>
      <c r="E2" s="128"/>
      <c r="F2" s="128"/>
      <c r="G2" s="129"/>
    </row>
    <row r="3" s="118" customFormat="1" spans="1:9">
      <c r="A3" s="130"/>
      <c r="B3" s="126" t="s">
        <v>374</v>
      </c>
      <c r="C3" s="127" t="s">
        <v>30</v>
      </c>
      <c r="D3" s="128"/>
      <c r="E3" s="128"/>
      <c r="F3" s="128"/>
      <c r="G3" s="129"/>
    </row>
    <row r="4" s="118" customFormat="1" spans="1:9">
      <c r="A4" s="130"/>
      <c r="B4" s="126"/>
      <c r="C4" s="127" t="s">
        <v>24</v>
      </c>
      <c r="D4" s="128"/>
      <c r="E4" s="128"/>
      <c r="F4" s="128"/>
      <c r="G4" s="129"/>
    </row>
    <row r="5" s="118" customFormat="1" spans="1:9">
      <c r="A5" s="130"/>
      <c r="B5" s="126" t="s">
        <v>375</v>
      </c>
      <c r="C5" s="127" t="s">
        <v>33</v>
      </c>
      <c r="D5" s="128"/>
      <c r="E5" s="128"/>
      <c r="F5" s="128"/>
      <c r="G5" s="129"/>
    </row>
    <row r="6" s="118" customFormat="1" spans="1:9">
      <c r="A6" s="130"/>
      <c r="B6" s="126" t="s">
        <v>376</v>
      </c>
      <c r="C6" s="15" t="s">
        <v>20</v>
      </c>
      <c r="D6" s="131" t="s">
        <v>104</v>
      </c>
      <c r="E6" s="132"/>
      <c r="F6" s="132"/>
      <c r="G6" s="133"/>
    </row>
    <row r="7" s="118" customFormat="1" spans="1:9">
      <c r="A7" s="130"/>
      <c r="B7" s="126"/>
      <c r="C7" s="15" t="s">
        <v>52</v>
      </c>
      <c r="D7" s="118" t="s">
        <v>79</v>
      </c>
      <c r="E7" s="131" t="s">
        <v>91</v>
      </c>
      <c r="F7" s="132"/>
      <c r="G7" s="133"/>
    </row>
    <row r="8" s="118" customFormat="1" spans="1:9">
      <c r="A8" s="130"/>
      <c r="B8" s="126" t="s">
        <v>377</v>
      </c>
      <c r="C8" s="15" t="s">
        <v>15</v>
      </c>
      <c r="D8" s="131" t="s">
        <v>84</v>
      </c>
      <c r="E8" s="132"/>
      <c r="F8" s="132"/>
      <c r="G8" s="133"/>
    </row>
    <row r="9" s="118" customFormat="1" spans="1:9">
      <c r="A9" s="130"/>
      <c r="B9" s="126" t="s">
        <v>378</v>
      </c>
      <c r="C9" s="127" t="s">
        <v>26</v>
      </c>
      <c r="D9" s="128"/>
      <c r="E9" s="128"/>
      <c r="F9" s="128"/>
      <c r="G9" s="129"/>
    </row>
    <row r="10" s="118" customFormat="1" spans="1:9">
      <c r="A10" s="130"/>
      <c r="B10" s="126" t="s">
        <v>379</v>
      </c>
      <c r="C10" s="127" t="s">
        <v>36</v>
      </c>
      <c r="D10" s="128"/>
      <c r="E10" s="128"/>
      <c r="F10" s="128"/>
      <c r="G10" s="129"/>
    </row>
    <row r="11" s="118" customFormat="1" spans="1:9">
      <c r="A11" s="134"/>
      <c r="B11" s="126" t="s">
        <v>380</v>
      </c>
      <c r="C11" s="127" t="s">
        <v>72</v>
      </c>
      <c r="D11" s="128"/>
      <c r="E11" s="128"/>
      <c r="F11" s="128"/>
      <c r="G11" s="129"/>
    </row>
    <row r="12" s="119" customFormat="1" spans="1:9">
      <c r="A12" s="135" t="s">
        <v>381</v>
      </c>
      <c r="B12" s="136" t="s">
        <v>382</v>
      </c>
      <c r="C12" s="137" t="s">
        <v>91</v>
      </c>
      <c r="D12" s="138"/>
      <c r="E12" s="139" t="s">
        <v>20</v>
      </c>
      <c r="F12" s="140"/>
      <c r="G12" s="141"/>
    </row>
    <row r="13" s="119" customFormat="1" spans="1:9">
      <c r="A13" s="142"/>
      <c r="B13" s="136"/>
      <c r="C13" s="137" t="s">
        <v>40</v>
      </c>
      <c r="D13" s="143"/>
      <c r="E13" s="143"/>
      <c r="F13" s="143"/>
      <c r="G13" s="138"/>
    </row>
    <row r="14" s="119" customFormat="1" spans="1:9">
      <c r="A14" s="142"/>
      <c r="B14" s="136" t="s">
        <v>383</v>
      </c>
      <c r="C14" s="137" t="s">
        <v>384</v>
      </c>
      <c r="D14" s="143"/>
      <c r="E14" s="138"/>
      <c r="F14" s="140" t="s">
        <v>36</v>
      </c>
      <c r="G14" s="141"/>
    </row>
    <row r="15" s="119" customFormat="1" spans="1:9">
      <c r="A15" s="142"/>
      <c r="B15" s="136" t="s">
        <v>385</v>
      </c>
      <c r="C15" s="137" t="s">
        <v>10</v>
      </c>
      <c r="D15" s="143"/>
      <c r="E15" s="143"/>
      <c r="F15" s="143"/>
      <c r="G15" s="138"/>
    </row>
    <row r="16" s="119" customFormat="1" spans="1:9">
      <c r="A16" s="142"/>
      <c r="B16" s="136"/>
      <c r="C16" s="137" t="s">
        <v>13</v>
      </c>
      <c r="D16" s="143"/>
      <c r="E16" s="143"/>
      <c r="F16" s="143"/>
      <c r="G16" s="138"/>
    </row>
    <row r="17" s="119" customFormat="1" spans="1:7">
      <c r="A17" s="142"/>
      <c r="B17" s="136" t="s">
        <v>386</v>
      </c>
      <c r="C17" s="137" t="s">
        <v>29</v>
      </c>
      <c r="D17" s="143"/>
      <c r="E17" s="143"/>
      <c r="F17" s="143"/>
      <c r="G17" s="138"/>
    </row>
    <row r="18" s="119" customFormat="1" spans="1:7">
      <c r="A18" s="142"/>
      <c r="B18" s="136" t="s">
        <v>387</v>
      </c>
      <c r="C18" s="137" t="s">
        <v>44</v>
      </c>
      <c r="D18" s="143"/>
      <c r="E18" s="143"/>
      <c r="F18" s="143"/>
      <c r="G18" s="138"/>
    </row>
    <row r="19" s="119" customFormat="1" spans="1:7">
      <c r="A19" s="142"/>
      <c r="B19" s="136" t="s">
        <v>388</v>
      </c>
      <c r="C19" s="137" t="s">
        <v>84</v>
      </c>
      <c r="D19" s="143"/>
      <c r="E19" s="143"/>
      <c r="F19" s="143"/>
      <c r="G19" s="138"/>
    </row>
    <row r="20" s="119" customFormat="1" spans="1:7">
      <c r="A20" s="142"/>
      <c r="B20" s="136" t="s">
        <v>389</v>
      </c>
      <c r="C20" s="137" t="s">
        <v>87</v>
      </c>
      <c r="D20" s="143"/>
      <c r="E20" s="143"/>
      <c r="F20" s="143"/>
      <c r="G20" s="138"/>
    </row>
    <row r="21" s="119" customFormat="1" spans="1:7">
      <c r="A21" s="142"/>
      <c r="B21" s="136" t="s">
        <v>390</v>
      </c>
      <c r="C21" s="144"/>
      <c r="D21" s="145"/>
      <c r="E21" s="139" t="s">
        <v>27</v>
      </c>
      <c r="F21" s="140"/>
      <c r="G21" s="141"/>
    </row>
    <row r="22" s="119" customFormat="1" spans="1:7">
      <c r="A22" s="146"/>
      <c r="B22" s="136" t="s">
        <v>391</v>
      </c>
      <c r="C22" s="144"/>
      <c r="D22" s="147"/>
      <c r="E22" s="147"/>
      <c r="F22" s="147"/>
      <c r="G22" s="145"/>
    </row>
  </sheetData>
  <mergeCells count="32">
    <mergeCell ref="A1:B1"/>
    <mergeCell ref="E1:F1"/>
    <mergeCell ref="C2:G2"/>
    <mergeCell ref="C3:G3"/>
    <mergeCell ref="C4:G4"/>
    <mergeCell ref="C5:G5"/>
    <mergeCell ref="D6:G6"/>
    <mergeCell ref="E7:G7"/>
    <mergeCell ref="D8:G8"/>
    <mergeCell ref="C9:G9"/>
    <mergeCell ref="C10:G10"/>
    <mergeCell ref="C11:G11"/>
    <mergeCell ref="C12:D12"/>
    <mergeCell ref="E12:G12"/>
    <mergeCell ref="C13:G13"/>
    <mergeCell ref="C14:E14"/>
    <mergeCell ref="F14:G14"/>
    <mergeCell ref="C15:G15"/>
    <mergeCell ref="C16:G16"/>
    <mergeCell ref="C17:G17"/>
    <mergeCell ref="C18:G18"/>
    <mergeCell ref="C19:G19"/>
    <mergeCell ref="C20:G20"/>
    <mergeCell ref="C21:D21"/>
    <mergeCell ref="E21:G21"/>
    <mergeCell ref="C22:G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05"/>
  </sheetPr>
  <dimension ref="A1:XFD42"/>
  <sheetViews>
    <sheetView workbookViewId="0">
      <selection activeCell="L40" sqref="L40"/>
    </sheetView>
  </sheetViews>
  <sheetFormatPr defaultColWidth="8.72727272727273" defaultRowHeight="19" customHeight="1"/>
  <cols>
    <col min="1" max="1" width="8.72727272727273" style="93"/>
    <col min="2" max="9" width="10.3272727272727" style="93" customWidth="1"/>
    <col min="10" max="16384" width="8.72727272727273" style="93"/>
  </cols>
  <sheetData>
    <row r="1" s="91" customFormat="1" customHeight="1" spans="1:16">
      <c r="A1" s="94" t="s">
        <v>392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</row>
    <row r="2" s="92" customFormat="1" customHeight="1" spans="1:16">
      <c r="A2" s="96"/>
      <c r="B2" s="97"/>
      <c r="C2" s="98"/>
      <c r="D2" s="97"/>
      <c r="E2" s="99"/>
      <c r="F2" s="97"/>
      <c r="G2" s="99"/>
      <c r="H2" s="97"/>
      <c r="I2" s="99"/>
    </row>
    <row r="3" s="93" customFormat="1" customHeight="1" spans="1:16">
      <c r="A3" s="100" t="s">
        <v>393</v>
      </c>
      <c r="B3" s="101"/>
      <c r="C3" s="102"/>
      <c r="D3" s="103" t="s">
        <v>44</v>
      </c>
      <c r="E3" s="103" t="s">
        <v>107</v>
      </c>
      <c r="F3" s="104"/>
      <c r="G3" s="104"/>
      <c r="H3" s="105"/>
      <c r="I3" s="105"/>
    </row>
    <row r="4" s="93" customFormat="1" customHeight="1" spans="1:16">
      <c r="A4" s="106"/>
      <c r="B4" s="102" t="s">
        <v>35</v>
      </c>
      <c r="C4" s="102" t="s">
        <v>44</v>
      </c>
      <c r="D4" s="103" t="s">
        <v>29</v>
      </c>
      <c r="E4" s="103" t="s">
        <v>7</v>
      </c>
      <c r="F4" s="104" t="s">
        <v>68</v>
      </c>
      <c r="G4" s="104" t="s">
        <v>79</v>
      </c>
      <c r="H4" s="105" t="s">
        <v>107</v>
      </c>
      <c r="I4" s="105" t="s">
        <v>91</v>
      </c>
    </row>
    <row r="5" s="93" customFormat="1" customHeight="1" spans="1:16">
      <c r="A5" s="106"/>
      <c r="B5" s="102" t="s">
        <v>40</v>
      </c>
      <c r="C5" s="102" t="s">
        <v>38</v>
      </c>
      <c r="D5" s="103" t="s">
        <v>116</v>
      </c>
      <c r="E5" s="103" t="s">
        <v>82</v>
      </c>
      <c r="F5" s="104" t="s">
        <v>20</v>
      </c>
      <c r="G5" s="104" t="s">
        <v>59</v>
      </c>
      <c r="H5" s="105" t="s">
        <v>51</v>
      </c>
      <c r="I5" s="105" t="s">
        <v>31</v>
      </c>
    </row>
    <row r="6" s="93" customFormat="1" customHeight="1" spans="1:16">
      <c r="A6" s="106"/>
      <c r="B6" s="102" t="s">
        <v>73</v>
      </c>
      <c r="C6" s="102" t="s">
        <v>30</v>
      </c>
      <c r="D6" s="103" t="s">
        <v>42</v>
      </c>
      <c r="E6" s="103" t="s">
        <v>76</v>
      </c>
      <c r="F6" s="104" t="s">
        <v>72</v>
      </c>
      <c r="G6" s="104" t="s">
        <v>27</v>
      </c>
      <c r="H6" s="105" t="s">
        <v>36</v>
      </c>
      <c r="I6" s="105" t="s">
        <v>108</v>
      </c>
    </row>
    <row r="7" s="93" customFormat="1" customHeight="1" spans="1:16">
      <c r="A7" s="106"/>
      <c r="B7" s="102" t="s">
        <v>24</v>
      </c>
      <c r="C7" s="102" t="s">
        <v>75</v>
      </c>
      <c r="D7" s="103" t="s">
        <v>10</v>
      </c>
      <c r="E7" s="103" t="s">
        <v>74</v>
      </c>
      <c r="F7" s="104" t="s">
        <v>87</v>
      </c>
      <c r="G7" s="104" t="s">
        <v>114</v>
      </c>
      <c r="H7" s="105" t="s">
        <v>63</v>
      </c>
      <c r="I7" s="105" t="s">
        <v>18</v>
      </c>
    </row>
    <row r="8" s="93" customFormat="1" customHeight="1" spans="1:16">
      <c r="A8" s="106"/>
      <c r="B8" s="102" t="s">
        <v>102</v>
      </c>
      <c r="C8" s="102" t="s">
        <v>33</v>
      </c>
      <c r="D8" s="103" t="s">
        <v>60</v>
      </c>
      <c r="E8" s="103" t="s">
        <v>13</v>
      </c>
      <c r="F8" s="104" t="s">
        <v>98</v>
      </c>
      <c r="G8" s="104" t="s">
        <v>52</v>
      </c>
      <c r="H8" s="105" t="s">
        <v>77</v>
      </c>
      <c r="I8" s="105" t="s">
        <v>99</v>
      </c>
    </row>
    <row r="9" s="93" customFormat="1" customHeight="1" spans="1:16">
      <c r="A9" s="106"/>
      <c r="B9" s="102" t="s">
        <v>113</v>
      </c>
      <c r="C9" s="102" t="s">
        <v>58</v>
      </c>
      <c r="D9" s="103" t="s">
        <v>69</v>
      </c>
      <c r="E9" s="103" t="s">
        <v>104</v>
      </c>
      <c r="F9" s="104" t="s">
        <v>47</v>
      </c>
      <c r="G9" s="104" t="s">
        <v>110</v>
      </c>
      <c r="H9" s="105" t="s">
        <v>54</v>
      </c>
      <c r="I9" s="105" t="s">
        <v>84</v>
      </c>
    </row>
    <row r="10" s="93" customFormat="1" customHeight="1" spans="1:16">
      <c r="A10" s="107"/>
      <c r="B10" s="108"/>
      <c r="C10" s="109"/>
      <c r="D10" s="110" t="s">
        <v>117</v>
      </c>
      <c r="E10" s="111"/>
      <c r="F10" s="112"/>
      <c r="G10" s="112"/>
      <c r="H10" s="112"/>
      <c r="I10" s="113"/>
    </row>
    <row r="11" s="93" customFormat="1" customHeight="1" spans="1:16">
      <c r="A11" s="100" t="s">
        <v>394</v>
      </c>
      <c r="B11" s="101"/>
      <c r="C11" s="102"/>
      <c r="D11" s="103" t="s">
        <v>44</v>
      </c>
      <c r="E11" s="103" t="s">
        <v>107</v>
      </c>
      <c r="F11" s="104"/>
      <c r="G11" s="104"/>
      <c r="H11" s="105"/>
      <c r="I11" s="105"/>
    </row>
    <row r="12" s="93" customFormat="1" customHeight="1" spans="1:16">
      <c r="A12" s="106"/>
      <c r="B12" s="102" t="s">
        <v>51</v>
      </c>
      <c r="C12" s="102" t="s">
        <v>91</v>
      </c>
      <c r="D12" s="103" t="s">
        <v>59</v>
      </c>
      <c r="E12" s="103" t="s">
        <v>116</v>
      </c>
      <c r="F12" s="104" t="s">
        <v>15</v>
      </c>
      <c r="G12" s="104" t="s">
        <v>79</v>
      </c>
      <c r="H12" s="105" t="s">
        <v>35</v>
      </c>
      <c r="I12" s="105" t="s">
        <v>26</v>
      </c>
    </row>
    <row r="13" s="93" customFormat="1" customHeight="1" spans="1:16">
      <c r="A13" s="106"/>
      <c r="B13" s="102" t="s">
        <v>82</v>
      </c>
      <c r="C13" s="102" t="s">
        <v>31</v>
      </c>
      <c r="D13" s="103" t="s">
        <v>7</v>
      </c>
      <c r="E13" s="103" t="s">
        <v>29</v>
      </c>
      <c r="F13" s="104" t="s">
        <v>20</v>
      </c>
      <c r="G13" s="104" t="s">
        <v>68</v>
      </c>
      <c r="H13" s="105" t="s">
        <v>40</v>
      </c>
      <c r="I13" s="105" t="s">
        <v>38</v>
      </c>
    </row>
    <row r="14" s="93" customFormat="1" customHeight="1" spans="1:16">
      <c r="A14" s="106"/>
      <c r="B14" s="102" t="s">
        <v>73</v>
      </c>
      <c r="C14" s="102" t="s">
        <v>42</v>
      </c>
      <c r="D14" s="103" t="s">
        <v>36</v>
      </c>
      <c r="E14" s="103" t="s">
        <v>108</v>
      </c>
      <c r="F14" s="104" t="s">
        <v>114</v>
      </c>
      <c r="G14" s="104" t="s">
        <v>74</v>
      </c>
      <c r="H14" s="105" t="s">
        <v>76</v>
      </c>
      <c r="I14" s="105" t="s">
        <v>30</v>
      </c>
    </row>
    <row r="15" s="93" customFormat="1" customHeight="1" spans="1:16">
      <c r="A15" s="106"/>
      <c r="B15" s="102" t="s">
        <v>24</v>
      </c>
      <c r="C15" s="102" t="s">
        <v>75</v>
      </c>
      <c r="D15" s="103" t="s">
        <v>10</v>
      </c>
      <c r="E15" s="103" t="s">
        <v>63</v>
      </c>
      <c r="F15" s="104" t="s">
        <v>27</v>
      </c>
      <c r="G15" s="104" t="s">
        <v>72</v>
      </c>
      <c r="H15" s="105" t="s">
        <v>18</v>
      </c>
      <c r="I15" s="105" t="s">
        <v>87</v>
      </c>
    </row>
    <row r="16" s="93" customFormat="1" customHeight="1" spans="1:16">
      <c r="A16" s="106"/>
      <c r="B16" s="102" t="s">
        <v>33</v>
      </c>
      <c r="C16" s="102" t="s">
        <v>102</v>
      </c>
      <c r="D16" s="103" t="s">
        <v>99</v>
      </c>
      <c r="E16" s="103" t="s">
        <v>98</v>
      </c>
      <c r="F16" s="104" t="s">
        <v>13</v>
      </c>
      <c r="G16" s="104" t="s">
        <v>52</v>
      </c>
      <c r="H16" s="105" t="s">
        <v>77</v>
      </c>
      <c r="I16" s="105" t="s">
        <v>60</v>
      </c>
    </row>
    <row r="17" s="93" customFormat="1" customHeight="1" spans="1:9">
      <c r="A17" s="106"/>
      <c r="B17" s="102" t="s">
        <v>113</v>
      </c>
      <c r="C17" s="102" t="s">
        <v>58</v>
      </c>
      <c r="D17" s="103" t="s">
        <v>110</v>
      </c>
      <c r="E17" s="103" t="s">
        <v>104</v>
      </c>
      <c r="F17" s="104" t="s">
        <v>47</v>
      </c>
      <c r="G17" s="104" t="s">
        <v>69</v>
      </c>
      <c r="H17" s="105" t="s">
        <v>117</v>
      </c>
      <c r="I17" s="105" t="s">
        <v>84</v>
      </c>
    </row>
    <row r="18" s="93" customFormat="1" customHeight="1" spans="1:9">
      <c r="A18" s="107"/>
      <c r="B18" s="108"/>
      <c r="C18" s="109"/>
      <c r="D18" s="110" t="s">
        <v>54</v>
      </c>
      <c r="E18" s="111"/>
      <c r="F18" s="112"/>
      <c r="G18" s="112"/>
      <c r="H18" s="112"/>
      <c r="I18" s="113"/>
    </row>
    <row r="19" s="93" customFormat="1" customHeight="1" spans="1:9">
      <c r="A19" s="100" t="s">
        <v>395</v>
      </c>
      <c r="B19" s="101"/>
      <c r="C19" s="102"/>
      <c r="D19" s="103" t="s">
        <v>44</v>
      </c>
      <c r="E19" s="103"/>
      <c r="F19" s="104" t="s">
        <v>107</v>
      </c>
      <c r="G19" s="104"/>
      <c r="H19" s="105"/>
      <c r="I19" s="105"/>
    </row>
    <row r="20" s="93" customFormat="1" customHeight="1" spans="1:9">
      <c r="A20" s="106"/>
      <c r="B20" s="114" t="s">
        <v>26</v>
      </c>
      <c r="C20" s="102" t="s">
        <v>35</v>
      </c>
      <c r="D20" s="103" t="s">
        <v>116</v>
      </c>
      <c r="E20" s="103" t="s">
        <v>79</v>
      </c>
      <c r="F20" s="104" t="s">
        <v>51</v>
      </c>
      <c r="G20" s="104" t="s">
        <v>91</v>
      </c>
      <c r="H20" s="105" t="s">
        <v>15</v>
      </c>
      <c r="I20" s="105" t="s">
        <v>59</v>
      </c>
    </row>
    <row r="21" s="93" customFormat="1" customHeight="1" spans="1:9">
      <c r="A21" s="106"/>
      <c r="B21" s="102" t="s">
        <v>68</v>
      </c>
      <c r="C21" s="102" t="s">
        <v>29</v>
      </c>
      <c r="D21" s="103" t="s">
        <v>82</v>
      </c>
      <c r="E21" s="103" t="s">
        <v>31</v>
      </c>
      <c r="F21" s="104" t="s">
        <v>38</v>
      </c>
      <c r="G21" s="104" t="s">
        <v>42</v>
      </c>
      <c r="H21" s="105" t="s">
        <v>40</v>
      </c>
      <c r="I21" s="105" t="s">
        <v>7</v>
      </c>
    </row>
    <row r="22" s="93" customFormat="1" customHeight="1" spans="1:9">
      <c r="A22" s="106"/>
      <c r="B22" s="102" t="s">
        <v>76</v>
      </c>
      <c r="C22" s="102" t="s">
        <v>73</v>
      </c>
      <c r="D22" s="103" t="s">
        <v>72</v>
      </c>
      <c r="E22" s="103" t="s">
        <v>36</v>
      </c>
      <c r="F22" s="104" t="s">
        <v>27</v>
      </c>
      <c r="G22" s="104" t="s">
        <v>20</v>
      </c>
      <c r="H22" s="105" t="s">
        <v>77</v>
      </c>
      <c r="I22" s="105" t="s">
        <v>30</v>
      </c>
    </row>
    <row r="23" s="93" customFormat="1" customHeight="1" spans="1:9">
      <c r="A23" s="106"/>
      <c r="B23" s="102" t="s">
        <v>24</v>
      </c>
      <c r="C23" s="102" t="s">
        <v>87</v>
      </c>
      <c r="D23" s="103" t="s">
        <v>74</v>
      </c>
      <c r="E23" s="103" t="s">
        <v>63</v>
      </c>
      <c r="F23" s="104" t="s">
        <v>114</v>
      </c>
      <c r="G23" s="104" t="s">
        <v>98</v>
      </c>
      <c r="H23" s="105" t="s">
        <v>18</v>
      </c>
      <c r="I23" s="105" t="s">
        <v>13</v>
      </c>
    </row>
    <row r="24" s="93" customFormat="1" customHeight="1" spans="1:9">
      <c r="A24" s="106"/>
      <c r="B24" s="102" t="s">
        <v>60</v>
      </c>
      <c r="C24" s="102" t="s">
        <v>102</v>
      </c>
      <c r="D24" s="103" t="s">
        <v>75</v>
      </c>
      <c r="E24" s="103" t="s">
        <v>33</v>
      </c>
      <c r="F24" s="104" t="s">
        <v>104</v>
      </c>
      <c r="G24" s="104" t="s">
        <v>10</v>
      </c>
      <c r="H24" s="105" t="s">
        <v>52</v>
      </c>
      <c r="I24" s="105" t="s">
        <v>47</v>
      </c>
    </row>
    <row r="25" s="93" customFormat="1" customHeight="1" spans="1:9">
      <c r="A25" s="106"/>
      <c r="B25" s="102" t="s">
        <v>110</v>
      </c>
      <c r="C25" s="102" t="s">
        <v>84</v>
      </c>
      <c r="D25" s="103" t="s">
        <v>69</v>
      </c>
      <c r="E25" s="103" t="s">
        <v>58</v>
      </c>
      <c r="F25" s="104" t="s">
        <v>75</v>
      </c>
      <c r="G25" s="104" t="s">
        <v>99</v>
      </c>
      <c r="H25" s="105" t="s">
        <v>113</v>
      </c>
      <c r="I25" s="105" t="s">
        <v>47</v>
      </c>
    </row>
    <row r="26" s="93" customFormat="1" customHeight="1" spans="1:9">
      <c r="A26" s="107"/>
      <c r="B26" s="115"/>
      <c r="C26" s="116"/>
      <c r="D26" s="110" t="s">
        <v>117</v>
      </c>
      <c r="E26" s="111"/>
      <c r="F26" s="112"/>
      <c r="G26" s="112"/>
      <c r="H26" s="112"/>
      <c r="I26" s="113"/>
    </row>
    <row r="27" customHeight="1" spans="1:9">
      <c r="A27" s="100" t="s">
        <v>396</v>
      </c>
      <c r="B27" s="101"/>
      <c r="C27" s="102"/>
      <c r="D27" s="103"/>
      <c r="E27" s="103"/>
      <c r="F27" s="104"/>
      <c r="G27" s="104"/>
      <c r="H27" s="105"/>
      <c r="I27" s="105"/>
    </row>
    <row r="28" customHeight="1" spans="1:9">
      <c r="A28" s="106"/>
      <c r="B28" s="114"/>
      <c r="C28" s="102"/>
      <c r="D28" s="103"/>
      <c r="E28" s="103"/>
      <c r="F28" s="104"/>
      <c r="G28" s="104"/>
      <c r="H28" s="105"/>
      <c r="I28" s="105"/>
    </row>
    <row r="29" customHeight="1" spans="1:9">
      <c r="A29" s="106"/>
      <c r="B29" s="102"/>
      <c r="C29" s="102"/>
      <c r="D29" s="103"/>
      <c r="E29" s="103"/>
      <c r="F29" s="104"/>
      <c r="G29" s="104"/>
      <c r="H29" s="105"/>
      <c r="I29" s="105"/>
    </row>
    <row r="30" customHeight="1" spans="1:9">
      <c r="A30" s="106"/>
      <c r="B30" s="102"/>
      <c r="C30" s="102"/>
      <c r="D30" s="103"/>
      <c r="E30" s="103"/>
      <c r="F30" s="104"/>
      <c r="G30" s="104"/>
      <c r="H30" s="105"/>
      <c r="I30" s="105"/>
    </row>
    <row r="31" customHeight="1" spans="1:9">
      <c r="A31" s="106"/>
      <c r="B31" s="102"/>
      <c r="C31" s="102"/>
      <c r="D31" s="103"/>
      <c r="E31" s="103"/>
      <c r="F31" s="104"/>
      <c r="G31" s="104"/>
      <c r="H31" s="105"/>
      <c r="I31" s="105"/>
    </row>
    <row r="32" customHeight="1" spans="1:9">
      <c r="A32" s="106"/>
      <c r="B32" s="102"/>
      <c r="C32" s="102"/>
      <c r="D32" s="103"/>
      <c r="E32" s="103"/>
      <c r="F32" s="104"/>
      <c r="G32" s="104"/>
      <c r="H32" s="105"/>
      <c r="I32" s="105"/>
    </row>
    <row r="33" customHeight="1" spans="1:9">
      <c r="A33" s="106"/>
      <c r="B33" s="102"/>
      <c r="C33" s="102"/>
      <c r="D33" s="103"/>
      <c r="E33" s="103"/>
      <c r="F33" s="104"/>
      <c r="G33" s="104"/>
      <c r="H33" s="105"/>
      <c r="I33" s="105"/>
    </row>
    <row r="34" customHeight="1" spans="1:9">
      <c r="A34" s="107"/>
      <c r="B34" s="115"/>
      <c r="C34" s="116"/>
      <c r="D34" s="110"/>
      <c r="E34" s="111"/>
      <c r="F34" s="112"/>
      <c r="G34" s="112"/>
      <c r="H34" s="112"/>
      <c r="I34" s="113"/>
    </row>
    <row r="35" customHeight="1" spans="1:9">
      <c r="A35" s="100" t="s">
        <v>397</v>
      </c>
      <c r="B35" s="101"/>
      <c r="C35" s="102"/>
      <c r="D35" s="103"/>
      <c r="E35" s="103"/>
      <c r="F35" s="104"/>
      <c r="G35" s="104"/>
      <c r="H35" s="105"/>
      <c r="I35" s="105"/>
    </row>
    <row r="36" customHeight="1" spans="1:9">
      <c r="A36" s="106"/>
      <c r="B36" s="114"/>
      <c r="C36" s="102"/>
      <c r="D36" s="103"/>
      <c r="E36" s="103"/>
      <c r="F36" s="104"/>
      <c r="G36" s="104"/>
      <c r="H36" s="105"/>
      <c r="I36" s="105"/>
    </row>
    <row r="37" customHeight="1" spans="1:9">
      <c r="A37" s="106"/>
      <c r="B37" s="102"/>
      <c r="C37" s="102"/>
      <c r="D37" s="103"/>
      <c r="E37" s="103"/>
      <c r="F37" s="104"/>
      <c r="G37" s="104"/>
      <c r="H37" s="105"/>
      <c r="I37" s="105"/>
    </row>
    <row r="38" customHeight="1" spans="1:9">
      <c r="A38" s="106"/>
      <c r="B38" s="102"/>
      <c r="C38" s="102"/>
      <c r="D38" s="103"/>
      <c r="E38" s="103"/>
      <c r="F38" s="104"/>
      <c r="G38" s="104"/>
      <c r="H38" s="105"/>
      <c r="I38" s="105"/>
    </row>
    <row r="39" customHeight="1" spans="1:9">
      <c r="A39" s="106"/>
      <c r="B39" s="102"/>
      <c r="C39" s="102"/>
      <c r="D39" s="103"/>
      <c r="E39" s="103"/>
      <c r="F39" s="104"/>
      <c r="G39" s="104"/>
      <c r="H39" s="105"/>
      <c r="I39" s="105"/>
    </row>
    <row r="40" customHeight="1" spans="1:9">
      <c r="A40" s="106"/>
      <c r="B40" s="102"/>
      <c r="C40" s="102"/>
      <c r="D40" s="103"/>
      <c r="E40" s="103"/>
      <c r="F40" s="104"/>
      <c r="G40" s="104"/>
      <c r="H40" s="105"/>
      <c r="I40" s="105"/>
    </row>
    <row r="41" customHeight="1" spans="1:9">
      <c r="A41" s="106"/>
      <c r="B41" s="102"/>
      <c r="C41" s="102"/>
      <c r="D41" s="103"/>
      <c r="E41" s="103"/>
      <c r="F41" s="104"/>
      <c r="G41" s="104"/>
      <c r="H41" s="105"/>
      <c r="I41" s="105"/>
    </row>
    <row r="42" customHeight="1" spans="1:9">
      <c r="A42" s="107"/>
      <c r="B42" s="115"/>
      <c r="C42" s="116"/>
      <c r="D42" s="110"/>
      <c r="E42" s="111"/>
      <c r="F42" s="112"/>
      <c r="G42" s="112"/>
      <c r="H42" s="112"/>
      <c r="I42" s="113"/>
    </row>
  </sheetData>
  <mergeCells count="20">
    <mergeCell ref="A1:XFD1"/>
    <mergeCell ref="B2:C2"/>
    <mergeCell ref="D2:E2"/>
    <mergeCell ref="F2:G2"/>
    <mergeCell ref="H2:I2"/>
    <mergeCell ref="B10:C10"/>
    <mergeCell ref="E10:I10"/>
    <mergeCell ref="B18:C18"/>
    <mergeCell ref="E18:I18"/>
    <mergeCell ref="B26:C26"/>
    <mergeCell ref="E26:I26"/>
    <mergeCell ref="B34:C34"/>
    <mergeCell ref="E34:I34"/>
    <mergeCell ref="B42:C42"/>
    <mergeCell ref="E42:I42"/>
    <mergeCell ref="A3:A10"/>
    <mergeCell ref="A11:A18"/>
    <mergeCell ref="A19:A26"/>
    <mergeCell ref="A27:A34"/>
    <mergeCell ref="A35:A42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workbookViewId="0">
      <selection activeCell="A1" sqref="$A1:$XFD1048576"/>
    </sheetView>
  </sheetViews>
  <sheetFormatPr defaultColWidth="8.72727272727273" defaultRowHeight="14" outlineLevelCol="2"/>
  <cols>
    <col min="1" max="1" width="5.16363636363636" style="79" customWidth="1"/>
    <col min="2" max="2" width="20.5545454545455" style="80" customWidth="1"/>
    <col min="3" max="3" width="61.9" style="81" customWidth="1"/>
  </cols>
  <sheetData>
    <row r="1" spans="1:3">
      <c r="A1" s="82" t="s">
        <v>398</v>
      </c>
      <c r="B1" s="83" t="s">
        <v>399</v>
      </c>
      <c r="C1" s="84" t="s">
        <v>204</v>
      </c>
    </row>
    <row r="2" spans="1:3">
      <c r="A2" s="85" t="s">
        <v>1</v>
      </c>
      <c r="B2" s="80" t="s">
        <v>400</v>
      </c>
      <c r="C2" s="81" t="s">
        <v>401</v>
      </c>
    </row>
    <row r="3" spans="1:3">
      <c r="A3" s="85"/>
      <c r="B3" s="80" t="s">
        <v>402</v>
      </c>
      <c r="C3" s="81" t="s">
        <v>403</v>
      </c>
    </row>
    <row r="4" spans="1:3">
      <c r="A4" s="85"/>
      <c r="B4" s="80" t="s">
        <v>404</v>
      </c>
      <c r="C4" s="81" t="s">
        <v>405</v>
      </c>
    </row>
    <row r="5" spans="1:3">
      <c r="A5" s="85"/>
      <c r="B5" s="80" t="s">
        <v>406</v>
      </c>
      <c r="C5" s="81" t="s">
        <v>407</v>
      </c>
    </row>
    <row r="6" spans="1:3">
      <c r="A6" s="85"/>
      <c r="B6" s="80" t="s">
        <v>408</v>
      </c>
      <c r="C6" s="81" t="s">
        <v>409</v>
      </c>
    </row>
    <row r="7" spans="1:3">
      <c r="A7" s="85"/>
      <c r="B7" s="80" t="s">
        <v>410</v>
      </c>
      <c r="C7" s="81" t="s">
        <v>411</v>
      </c>
    </row>
    <row r="8" spans="1:3">
      <c r="A8" s="85"/>
      <c r="B8" s="80" t="s">
        <v>412</v>
      </c>
      <c r="C8" s="81" t="s">
        <v>413</v>
      </c>
    </row>
    <row r="9" spans="1:3">
      <c r="A9" s="85"/>
      <c r="B9" s="80" t="s">
        <v>414</v>
      </c>
      <c r="C9" s="81" t="s">
        <v>415</v>
      </c>
    </row>
    <row r="10" spans="1:3">
      <c r="A10" s="85"/>
      <c r="B10" s="80" t="s">
        <v>416</v>
      </c>
      <c r="C10" s="81" t="s">
        <v>417</v>
      </c>
    </row>
    <row r="11" spans="1:3">
      <c r="A11" s="85"/>
      <c r="B11" s="80" t="s">
        <v>418</v>
      </c>
      <c r="C11" s="81" t="s">
        <v>419</v>
      </c>
    </row>
    <row r="12" spans="1:3">
      <c r="A12" s="85"/>
      <c r="B12" s="80" t="s">
        <v>420</v>
      </c>
      <c r="C12" s="81" t="s">
        <v>421</v>
      </c>
    </row>
    <row r="13" spans="1:3">
      <c r="A13" s="85"/>
      <c r="B13" s="80" t="s">
        <v>422</v>
      </c>
      <c r="C13" s="81" t="s">
        <v>423</v>
      </c>
    </row>
    <row r="14" spans="1:3">
      <c r="A14" s="85"/>
      <c r="B14" s="80" t="s">
        <v>424</v>
      </c>
      <c r="C14" s="81" t="s">
        <v>425</v>
      </c>
    </row>
    <row r="15" spans="1:3">
      <c r="A15" s="85"/>
      <c r="B15" s="80" t="s">
        <v>426</v>
      </c>
      <c r="C15" s="81" t="s">
        <v>427</v>
      </c>
    </row>
    <row r="16" spans="1:3">
      <c r="A16" s="85"/>
      <c r="B16" s="80" t="s">
        <v>428</v>
      </c>
      <c r="C16" s="81" t="s">
        <v>429</v>
      </c>
    </row>
    <row r="17" spans="1:3">
      <c r="A17" s="85"/>
      <c r="B17" s="80" t="s">
        <v>430</v>
      </c>
      <c r="C17" s="81" t="s">
        <v>431</v>
      </c>
    </row>
    <row r="18" spans="1:3">
      <c r="A18" s="85"/>
      <c r="B18" s="80" t="s">
        <v>432</v>
      </c>
      <c r="C18" s="81" t="s">
        <v>433</v>
      </c>
    </row>
    <row r="19" spans="1:3">
      <c r="A19" s="85"/>
      <c r="B19" s="80" t="s">
        <v>434</v>
      </c>
      <c r="C19" s="81" t="s">
        <v>435</v>
      </c>
    </row>
    <row r="20" spans="1:3">
      <c r="A20" s="85"/>
      <c r="B20" s="80" t="s">
        <v>436</v>
      </c>
      <c r="C20" s="81" t="s">
        <v>437</v>
      </c>
    </row>
    <row r="21" spans="1:3">
      <c r="A21" s="85"/>
      <c r="B21" s="80" t="s">
        <v>436</v>
      </c>
      <c r="C21" s="81" t="s">
        <v>438</v>
      </c>
    </row>
    <row r="22" spans="1:3">
      <c r="A22" s="85"/>
      <c r="B22" s="80" t="s">
        <v>439</v>
      </c>
      <c r="C22" s="81" t="s">
        <v>440</v>
      </c>
    </row>
    <row r="23" spans="1:3">
      <c r="A23" s="85"/>
      <c r="B23" s="80" t="s">
        <v>441</v>
      </c>
      <c r="C23" s="81" t="s">
        <v>442</v>
      </c>
    </row>
    <row r="24" spans="1:3">
      <c r="A24" s="85"/>
      <c r="B24" s="80" t="s">
        <v>443</v>
      </c>
      <c r="C24" s="81" t="s">
        <v>444</v>
      </c>
    </row>
    <row r="25" spans="1:3">
      <c r="A25" s="86" t="s">
        <v>2</v>
      </c>
      <c r="B25" s="80" t="s">
        <v>445</v>
      </c>
      <c r="C25" s="81" t="s">
        <v>446</v>
      </c>
    </row>
    <row r="26" spans="1:3">
      <c r="A26" s="86"/>
      <c r="B26" s="80" t="s">
        <v>447</v>
      </c>
      <c r="C26" s="81" t="s">
        <v>448</v>
      </c>
    </row>
    <row r="27" spans="1:3">
      <c r="A27" s="86"/>
      <c r="B27" s="80" t="s">
        <v>449</v>
      </c>
      <c r="C27" s="81" t="s">
        <v>450</v>
      </c>
    </row>
    <row r="28" spans="1:3">
      <c r="A28" s="86"/>
      <c r="B28" s="80" t="s">
        <v>451</v>
      </c>
      <c r="C28" s="81" t="s">
        <v>452</v>
      </c>
    </row>
    <row r="29" spans="1:3">
      <c r="A29" s="86"/>
      <c r="B29" s="80" t="s">
        <v>453</v>
      </c>
      <c r="C29" s="81" t="s">
        <v>454</v>
      </c>
    </row>
    <row r="30" spans="1:3">
      <c r="A30" s="86"/>
      <c r="B30" s="80" t="s">
        <v>455</v>
      </c>
      <c r="C30" s="81" t="s">
        <v>456</v>
      </c>
    </row>
    <row r="31" spans="1:3">
      <c r="A31" s="86"/>
      <c r="B31" s="80" t="s">
        <v>457</v>
      </c>
      <c r="C31" s="81" t="s">
        <v>458</v>
      </c>
    </row>
    <row r="32" spans="1:3">
      <c r="A32" s="86"/>
      <c r="B32" s="80" t="s">
        <v>459</v>
      </c>
      <c r="C32" s="81" t="s">
        <v>460</v>
      </c>
    </row>
    <row r="33" spans="1:3">
      <c r="A33" s="86"/>
      <c r="B33" s="80" t="s">
        <v>461</v>
      </c>
      <c r="C33" s="81" t="s">
        <v>462</v>
      </c>
    </row>
    <row r="34" spans="1:3">
      <c r="A34" s="86"/>
      <c r="B34" s="80" t="s">
        <v>463</v>
      </c>
      <c r="C34" s="81" t="s">
        <v>464</v>
      </c>
    </row>
    <row r="35" spans="1:3">
      <c r="A35" s="86"/>
      <c r="B35" s="80" t="s">
        <v>465</v>
      </c>
      <c r="C35" s="81" t="s">
        <v>466</v>
      </c>
    </row>
    <row r="36" spans="1:3">
      <c r="A36" s="86"/>
      <c r="B36" s="80" t="s">
        <v>467</v>
      </c>
      <c r="C36" s="81" t="s">
        <v>468</v>
      </c>
    </row>
    <row r="37" spans="1:3">
      <c r="A37" s="87"/>
      <c r="B37" s="80" t="s">
        <v>469</v>
      </c>
      <c r="C37" s="81" t="s">
        <v>470</v>
      </c>
    </row>
    <row r="38" spans="1:3">
      <c r="A38" s="88" t="s">
        <v>3</v>
      </c>
      <c r="B38" s="80" t="s">
        <v>471</v>
      </c>
      <c r="C38" s="81" t="s">
        <v>472</v>
      </c>
    </row>
    <row r="39" spans="1:3">
      <c r="A39" s="89"/>
      <c r="B39" s="80" t="s">
        <v>473</v>
      </c>
      <c r="C39" s="81" t="s">
        <v>474</v>
      </c>
    </row>
    <row r="40" spans="1:3">
      <c r="A40" s="89"/>
      <c r="B40" s="80" t="s">
        <v>475</v>
      </c>
      <c r="C40" s="81" t="s">
        <v>476</v>
      </c>
    </row>
    <row r="41" spans="1:3">
      <c r="A41" s="89"/>
      <c r="B41" s="80" t="s">
        <v>477</v>
      </c>
      <c r="C41" s="81" t="s">
        <v>409</v>
      </c>
    </row>
    <row r="42" spans="1:3">
      <c r="A42" s="89"/>
      <c r="B42" s="80" t="s">
        <v>478</v>
      </c>
      <c r="C42" s="81" t="s">
        <v>479</v>
      </c>
    </row>
    <row r="43" spans="1:3">
      <c r="A43" s="89"/>
      <c r="B43" s="80" t="s">
        <v>480</v>
      </c>
      <c r="C43" s="81" t="s">
        <v>481</v>
      </c>
    </row>
    <row r="44" spans="1:3">
      <c r="A44" s="89"/>
      <c r="B44" s="80" t="s">
        <v>482</v>
      </c>
      <c r="C44" s="81" t="s">
        <v>483</v>
      </c>
    </row>
    <row r="45" spans="1:3">
      <c r="A45" s="89"/>
      <c r="B45" s="80" t="s">
        <v>484</v>
      </c>
      <c r="C45" s="81" t="s">
        <v>485</v>
      </c>
    </row>
    <row r="46" spans="1:3">
      <c r="A46" s="89"/>
      <c r="B46" s="80" t="s">
        <v>486</v>
      </c>
      <c r="C46" s="81" t="s">
        <v>487</v>
      </c>
    </row>
    <row r="47" spans="1:3">
      <c r="A47" s="89"/>
      <c r="B47" s="80" t="s">
        <v>488</v>
      </c>
      <c r="C47" s="81" t="s">
        <v>489</v>
      </c>
    </row>
    <row r="48" spans="1:3">
      <c r="A48" s="89"/>
      <c r="B48" s="80" t="s">
        <v>490</v>
      </c>
      <c r="C48" s="81" t="s">
        <v>491</v>
      </c>
    </row>
    <row r="49" spans="1:3">
      <c r="A49" s="89"/>
      <c r="B49" s="80" t="s">
        <v>492</v>
      </c>
      <c r="C49" s="81" t="s">
        <v>493</v>
      </c>
    </row>
    <row r="50" spans="1:3">
      <c r="A50" s="90"/>
      <c r="B50" s="80" t="s">
        <v>494</v>
      </c>
      <c r="C50" s="81" t="s">
        <v>495</v>
      </c>
    </row>
    <row r="51" customFormat="1" spans="1:3">
      <c r="A51" s="79"/>
      <c r="B51" s="80" t="s">
        <v>496</v>
      </c>
      <c r="C51" s="81"/>
    </row>
    <row r="52" customFormat="1" spans="1:3">
      <c r="A52" s="79"/>
      <c r="B52" s="80" t="s">
        <v>496</v>
      </c>
      <c r="C52" s="81"/>
    </row>
    <row r="53" customFormat="1" spans="1:3">
      <c r="A53" s="79"/>
      <c r="B53" s="80" t="s">
        <v>496</v>
      </c>
      <c r="C53" s="8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topLeftCell="A28" workbookViewId="0">
      <selection activeCell="G18" sqref="G18"/>
    </sheetView>
  </sheetViews>
  <sheetFormatPr defaultColWidth="8.72727272727273" defaultRowHeight="14" outlineLevelCol="4"/>
  <cols>
    <col min="1" max="1" width="4" style="63" customWidth="1"/>
    <col min="2" max="2" width="7.21818181818182" style="64" customWidth="1"/>
    <col min="3" max="3" width="9.21818181818182" style="65" customWidth="1"/>
    <col min="4" max="4" width="51.9090909090909" style="66" customWidth="1"/>
  </cols>
  <sheetData>
    <row r="1" spans="1:4">
      <c r="A1" s="67" t="s">
        <v>331</v>
      </c>
      <c r="B1" s="68" t="s">
        <v>0</v>
      </c>
      <c r="C1" s="69" t="s">
        <v>497</v>
      </c>
      <c r="D1" s="70" t="s">
        <v>498</v>
      </c>
    </row>
    <row r="2" spans="1:4">
      <c r="A2" s="71">
        <v>1</v>
      </c>
      <c r="B2" s="72" t="s">
        <v>7</v>
      </c>
      <c r="C2" s="73">
        <v>20111216</v>
      </c>
      <c r="D2" s="66" t="s">
        <v>499</v>
      </c>
    </row>
    <row r="3" spans="1:4">
      <c r="A3" s="71">
        <v>2</v>
      </c>
      <c r="B3" s="72" t="s">
        <v>10</v>
      </c>
      <c r="C3" s="74">
        <v>20111227</v>
      </c>
      <c r="D3" s="66" t="s">
        <v>500</v>
      </c>
    </row>
    <row r="4" spans="1:4">
      <c r="A4" s="71">
        <v>3</v>
      </c>
      <c r="B4" s="72" t="s">
        <v>13</v>
      </c>
      <c r="C4" s="74">
        <v>20120518</v>
      </c>
      <c r="D4" s="66" t="s">
        <v>501</v>
      </c>
    </row>
    <row r="5" customFormat="1" spans="1:4">
      <c r="A5" s="71">
        <v>4</v>
      </c>
      <c r="B5" s="72" t="s">
        <v>15</v>
      </c>
      <c r="C5" s="74">
        <v>20120714</v>
      </c>
      <c r="D5" s="66" t="s">
        <v>17</v>
      </c>
    </row>
    <row r="6" spans="1:4">
      <c r="A6" s="71">
        <v>5</v>
      </c>
      <c r="B6" s="72" t="s">
        <v>18</v>
      </c>
      <c r="C6" s="74">
        <v>20120504</v>
      </c>
      <c r="D6" s="66" t="s">
        <v>348</v>
      </c>
    </row>
    <row r="7" spans="1:4">
      <c r="A7" s="71">
        <v>6</v>
      </c>
      <c r="B7" s="72" t="s">
        <v>20</v>
      </c>
      <c r="C7" s="74">
        <v>20120809</v>
      </c>
      <c r="D7" s="66" t="s">
        <v>502</v>
      </c>
    </row>
    <row r="8" spans="1:4">
      <c r="A8" s="71">
        <v>7</v>
      </c>
      <c r="B8" s="72" t="s">
        <v>24</v>
      </c>
      <c r="C8" s="74">
        <v>20120227</v>
      </c>
      <c r="D8" s="66" t="s">
        <v>503</v>
      </c>
    </row>
    <row r="9" spans="1:4">
      <c r="A9" s="71">
        <v>8</v>
      </c>
      <c r="B9" s="72" t="s">
        <v>26</v>
      </c>
      <c r="C9" s="74">
        <v>20120127</v>
      </c>
      <c r="D9" s="66" t="s">
        <v>504</v>
      </c>
    </row>
    <row r="10" spans="1:4">
      <c r="A10" s="71">
        <v>9</v>
      </c>
      <c r="B10" s="72" t="s">
        <v>27</v>
      </c>
      <c r="C10" s="74">
        <v>20111202</v>
      </c>
      <c r="D10" s="66" t="s">
        <v>505</v>
      </c>
    </row>
    <row r="11" customFormat="1" spans="1:4">
      <c r="A11" s="71">
        <v>10</v>
      </c>
      <c r="B11" s="72" t="s">
        <v>29</v>
      </c>
      <c r="C11" s="74">
        <v>20120623</v>
      </c>
      <c r="D11" s="66"/>
    </row>
    <row r="12" spans="1:4">
      <c r="A12" s="71">
        <v>11</v>
      </c>
      <c r="B12" s="72" t="s">
        <v>30</v>
      </c>
      <c r="C12" s="74">
        <v>20111024</v>
      </c>
      <c r="D12" s="66" t="s">
        <v>506</v>
      </c>
    </row>
    <row r="13" spans="1:4">
      <c r="A13" s="71">
        <v>12</v>
      </c>
      <c r="B13" s="72" t="s">
        <v>31</v>
      </c>
      <c r="C13" s="74">
        <v>20110908</v>
      </c>
      <c r="D13" s="66" t="s">
        <v>507</v>
      </c>
    </row>
    <row r="14" spans="1:4">
      <c r="A14" s="71">
        <v>13</v>
      </c>
      <c r="B14" s="72" t="s">
        <v>33</v>
      </c>
      <c r="C14" s="74">
        <v>20120228</v>
      </c>
      <c r="D14" s="66" t="s">
        <v>508</v>
      </c>
    </row>
    <row r="15" customFormat="1" spans="1:4">
      <c r="A15" s="71">
        <v>14</v>
      </c>
      <c r="B15" s="72" t="s">
        <v>35</v>
      </c>
      <c r="C15" s="74">
        <v>20110904</v>
      </c>
      <c r="D15" s="66"/>
    </row>
    <row r="16" spans="1:4">
      <c r="A16" s="71">
        <v>15</v>
      </c>
      <c r="B16" s="72" t="s">
        <v>36</v>
      </c>
      <c r="C16" s="73">
        <v>20111201</v>
      </c>
      <c r="D16" s="66" t="s">
        <v>509</v>
      </c>
    </row>
    <row r="17" spans="1:4">
      <c r="A17" s="71">
        <v>16</v>
      </c>
      <c r="B17" s="72" t="s">
        <v>38</v>
      </c>
      <c r="C17" s="74">
        <v>20120722</v>
      </c>
      <c r="D17" s="66" t="s">
        <v>510</v>
      </c>
    </row>
    <row r="18" customFormat="1" spans="1:4">
      <c r="A18" s="71">
        <v>17</v>
      </c>
      <c r="B18" s="72" t="s">
        <v>40</v>
      </c>
      <c r="C18" s="74">
        <v>20111215</v>
      </c>
      <c r="D18" s="66"/>
    </row>
    <row r="19" customFormat="1" spans="1:4">
      <c r="A19" s="71">
        <v>18</v>
      </c>
      <c r="B19" s="72" t="s">
        <v>42</v>
      </c>
      <c r="C19" s="74">
        <v>20120509</v>
      </c>
      <c r="D19" s="66"/>
    </row>
    <row r="20" spans="1:4">
      <c r="A20" s="71">
        <v>19</v>
      </c>
      <c r="B20" s="72" t="s">
        <v>44</v>
      </c>
      <c r="C20" s="74">
        <v>20120530</v>
      </c>
      <c r="D20" s="66" t="s">
        <v>511</v>
      </c>
    </row>
    <row r="21" spans="1:4">
      <c r="A21" s="71">
        <v>20</v>
      </c>
      <c r="B21" s="72" t="s">
        <v>47</v>
      </c>
      <c r="C21" s="74">
        <v>20120827</v>
      </c>
      <c r="D21" s="66" t="s">
        <v>512</v>
      </c>
    </row>
    <row r="22" customFormat="1" spans="1:4">
      <c r="A22" s="71">
        <v>21</v>
      </c>
      <c r="B22" s="72" t="s">
        <v>51</v>
      </c>
      <c r="C22" s="74">
        <v>20120816</v>
      </c>
      <c r="D22" s="66"/>
    </row>
    <row r="23" spans="1:4">
      <c r="A23" s="71">
        <v>22</v>
      </c>
      <c r="B23" s="72" t="s">
        <v>52</v>
      </c>
      <c r="C23" s="74">
        <v>20120518</v>
      </c>
      <c r="D23" s="66" t="s">
        <v>513</v>
      </c>
    </row>
    <row r="24" spans="1:4">
      <c r="A24" s="71">
        <v>23</v>
      </c>
      <c r="B24" s="72" t="s">
        <v>54</v>
      </c>
      <c r="C24" s="74">
        <v>20120413</v>
      </c>
      <c r="D24" s="66" t="s">
        <v>514</v>
      </c>
    </row>
    <row r="25" spans="1:4">
      <c r="A25" s="71">
        <v>24</v>
      </c>
      <c r="B25" s="72" t="s">
        <v>58</v>
      </c>
      <c r="C25" s="74">
        <v>20120629</v>
      </c>
      <c r="D25" s="66" t="s">
        <v>515</v>
      </c>
    </row>
    <row r="26" spans="1:4">
      <c r="A26" s="71">
        <v>25</v>
      </c>
      <c r="B26" s="72" t="s">
        <v>59</v>
      </c>
      <c r="C26" s="74">
        <v>20111105</v>
      </c>
      <c r="D26" s="66" t="s">
        <v>516</v>
      </c>
    </row>
    <row r="27" spans="1:4">
      <c r="A27" s="71">
        <v>26</v>
      </c>
      <c r="B27" s="72" t="s">
        <v>60</v>
      </c>
      <c r="C27" s="74">
        <v>20120112</v>
      </c>
      <c r="D27" s="66" t="s">
        <v>517</v>
      </c>
    </row>
    <row r="28" spans="1:4">
      <c r="A28" s="71">
        <v>27</v>
      </c>
      <c r="B28" s="72" t="s">
        <v>63</v>
      </c>
      <c r="C28" s="74">
        <v>20111119</v>
      </c>
      <c r="D28" s="66" t="s">
        <v>518</v>
      </c>
    </row>
    <row r="29" customFormat="1" spans="1:4">
      <c r="A29" s="71">
        <v>28</v>
      </c>
      <c r="B29" s="72" t="s">
        <v>68</v>
      </c>
      <c r="C29" s="74">
        <v>20120110</v>
      </c>
      <c r="D29" s="66"/>
    </row>
    <row r="30" spans="1:4">
      <c r="A30" s="71">
        <v>29</v>
      </c>
      <c r="B30" s="72" t="s">
        <v>69</v>
      </c>
      <c r="C30" s="74">
        <v>20120331</v>
      </c>
      <c r="D30" s="66" t="s">
        <v>519</v>
      </c>
    </row>
    <row r="31" spans="1:4">
      <c r="A31" s="71">
        <v>30</v>
      </c>
      <c r="B31" s="72" t="s">
        <v>72</v>
      </c>
      <c r="C31" s="74">
        <v>20111109</v>
      </c>
      <c r="D31" s="66" t="s">
        <v>520</v>
      </c>
    </row>
    <row r="32" spans="1:4">
      <c r="A32" s="71">
        <v>31</v>
      </c>
      <c r="B32" s="72" t="s">
        <v>73</v>
      </c>
      <c r="C32" s="74">
        <v>20120824</v>
      </c>
      <c r="D32" s="66" t="s">
        <v>521</v>
      </c>
    </row>
    <row r="33" customFormat="1" spans="1:5">
      <c r="A33" s="71">
        <v>32</v>
      </c>
      <c r="B33" s="72" t="s">
        <v>74</v>
      </c>
      <c r="C33" s="74">
        <v>20120425</v>
      </c>
      <c r="D33" s="66"/>
    </row>
    <row r="34" spans="1:5">
      <c r="A34" s="71">
        <v>33</v>
      </c>
      <c r="B34" s="72" t="s">
        <v>75</v>
      </c>
      <c r="C34" s="74">
        <v>20120624</v>
      </c>
      <c r="D34" s="66" t="s">
        <v>522</v>
      </c>
    </row>
    <row r="35" customFormat="1" spans="1:5">
      <c r="A35" s="71">
        <v>34</v>
      </c>
      <c r="B35" s="72" t="s">
        <v>76</v>
      </c>
      <c r="C35" s="74">
        <v>20120507</v>
      </c>
      <c r="D35" s="66"/>
    </row>
    <row r="36" spans="1:5">
      <c r="A36" s="71">
        <v>35</v>
      </c>
      <c r="B36" s="72" t="s">
        <v>77</v>
      </c>
      <c r="C36" s="74">
        <v>20120603</v>
      </c>
      <c r="D36" s="66" t="s">
        <v>523</v>
      </c>
    </row>
    <row r="37" spans="1:5">
      <c r="A37" s="71">
        <v>36</v>
      </c>
      <c r="B37" s="72" t="s">
        <v>79</v>
      </c>
      <c r="C37" s="73">
        <v>20120326</v>
      </c>
      <c r="D37" s="66" t="s">
        <v>524</v>
      </c>
    </row>
    <row r="38" spans="1:5">
      <c r="A38" s="75">
        <v>37</v>
      </c>
      <c r="B38" s="75" t="s">
        <v>82</v>
      </c>
      <c r="C38" s="76">
        <v>20111106</v>
      </c>
      <c r="D38" s="77" t="s">
        <v>525</v>
      </c>
      <c r="E38" t="s">
        <v>526</v>
      </c>
    </row>
    <row r="39" spans="1:5">
      <c r="A39" s="71">
        <v>38</v>
      </c>
      <c r="B39" s="72" t="s">
        <v>84</v>
      </c>
      <c r="C39" s="74">
        <v>20120811</v>
      </c>
      <c r="D39" s="78" t="s">
        <v>527</v>
      </c>
    </row>
    <row r="40" spans="1:5">
      <c r="A40" s="71">
        <v>39</v>
      </c>
      <c r="B40" s="72" t="s">
        <v>87</v>
      </c>
      <c r="C40" s="74">
        <v>20111217</v>
      </c>
      <c r="D40" s="78" t="s">
        <v>528</v>
      </c>
    </row>
    <row r="41" spans="1:5">
      <c r="A41" s="71">
        <v>40</v>
      </c>
      <c r="B41" s="72" t="s">
        <v>91</v>
      </c>
      <c r="C41" s="74">
        <v>20111013</v>
      </c>
      <c r="D41" s="66" t="s">
        <v>529</v>
      </c>
      <c r="E41" t="s">
        <v>526</v>
      </c>
    </row>
    <row r="42" customFormat="1" spans="1:5">
      <c r="A42" s="71">
        <v>41</v>
      </c>
      <c r="B42" s="72" t="s">
        <v>98</v>
      </c>
      <c r="C42" s="74">
        <v>20111027</v>
      </c>
      <c r="D42" s="66"/>
    </row>
    <row r="43" spans="1:5">
      <c r="A43" s="71">
        <v>42</v>
      </c>
      <c r="B43" s="72" t="s">
        <v>99</v>
      </c>
      <c r="C43" s="74">
        <v>20120207</v>
      </c>
      <c r="D43" s="66" t="s">
        <v>530</v>
      </c>
    </row>
    <row r="44" customFormat="1" spans="1:5">
      <c r="A44" s="71">
        <v>43</v>
      </c>
      <c r="B44" s="72" t="s">
        <v>102</v>
      </c>
      <c r="C44" s="73">
        <v>20120508</v>
      </c>
      <c r="D44" s="66"/>
    </row>
    <row r="45" spans="1:5">
      <c r="A45" s="71">
        <v>44</v>
      </c>
      <c r="B45" s="72" t="s">
        <v>104</v>
      </c>
      <c r="C45" s="74">
        <v>20110929</v>
      </c>
      <c r="D45" s="66" t="s">
        <v>531</v>
      </c>
    </row>
    <row r="46" customFormat="1" spans="1:5">
      <c r="A46" s="71">
        <v>45</v>
      </c>
      <c r="B46" s="72" t="s">
        <v>107</v>
      </c>
      <c r="C46" s="74">
        <v>20111205</v>
      </c>
      <c r="D46" s="66"/>
    </row>
    <row r="47" spans="1:5">
      <c r="A47" s="71">
        <v>46</v>
      </c>
      <c r="B47" s="72" t="s">
        <v>108</v>
      </c>
      <c r="C47" s="74">
        <v>20120108</v>
      </c>
      <c r="D47" s="66" t="s">
        <v>532</v>
      </c>
      <c r="E47" t="s">
        <v>526</v>
      </c>
    </row>
    <row r="48" spans="1:5">
      <c r="A48" s="71">
        <v>47</v>
      </c>
      <c r="B48" s="72" t="s">
        <v>110</v>
      </c>
      <c r="C48" s="74">
        <v>20120311</v>
      </c>
      <c r="D48" s="66" t="s">
        <v>533</v>
      </c>
    </row>
    <row r="49" customFormat="1" spans="1:4">
      <c r="A49" s="71">
        <v>48</v>
      </c>
      <c r="B49" s="72" t="s">
        <v>113</v>
      </c>
      <c r="C49" s="74">
        <v>20110902</v>
      </c>
      <c r="D49" s="66"/>
    </row>
    <row r="50" spans="1:4">
      <c r="A50" s="71">
        <v>49</v>
      </c>
      <c r="B50" s="72" t="s">
        <v>114</v>
      </c>
      <c r="C50" s="74">
        <v>20120723</v>
      </c>
      <c r="D50" s="66" t="s">
        <v>534</v>
      </c>
    </row>
    <row r="51" customFormat="1" spans="1:4">
      <c r="A51" s="71">
        <v>50</v>
      </c>
      <c r="B51" s="72" t="s">
        <v>116</v>
      </c>
      <c r="C51" s="74">
        <v>20120101</v>
      </c>
      <c r="D51" s="66"/>
    </row>
    <row r="52" spans="1:4">
      <c r="A52" s="71">
        <v>51</v>
      </c>
      <c r="B52" s="72" t="s">
        <v>117</v>
      </c>
      <c r="C52" s="74">
        <v>20111220</v>
      </c>
      <c r="D52" s="66" t="s">
        <v>535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6" workbookViewId="0">
      <selection activeCell="F2" sqref="F2"/>
    </sheetView>
  </sheetViews>
  <sheetFormatPr defaultColWidth="8.72727272727273" defaultRowHeight="14" outlineLevelCol="4"/>
  <cols>
    <col min="1" max="1" width="5.17272727272727" style="29" customWidth="1"/>
    <col min="2" max="2" width="8.72727272727273" style="30"/>
    <col min="3" max="3" width="7.55454545454545" style="31" customWidth="1"/>
    <col min="4" max="4" width="8.72727272727273" style="32"/>
    <col min="5" max="5" width="77.2727272727273" style="33" customWidth="1"/>
    <col min="6" max="16384" width="8.72727272727273" style="28"/>
  </cols>
  <sheetData>
    <row r="1" s="27" customFormat="1" spans="1:5">
      <c r="A1" s="34" t="s">
        <v>536</v>
      </c>
      <c r="B1" s="35" t="s">
        <v>537</v>
      </c>
      <c r="C1" s="36" t="s">
        <v>538</v>
      </c>
      <c r="D1" s="37"/>
      <c r="E1" s="38" t="s">
        <v>539</v>
      </c>
    </row>
    <row r="2" s="28" customFormat="1" ht="409" customHeight="1" spans="1:5">
      <c r="A2" s="39" t="s">
        <v>353</v>
      </c>
      <c r="B2" s="40" t="s">
        <v>255</v>
      </c>
      <c r="C2" s="41" t="s">
        <v>540</v>
      </c>
      <c r="D2" s="32" t="s">
        <v>541</v>
      </c>
      <c r="E2" s="33" t="s">
        <v>542</v>
      </c>
    </row>
    <row r="3" s="28" customFormat="1" ht="56" spans="1:5">
      <c r="A3" s="42"/>
      <c r="B3" s="43"/>
      <c r="C3" s="44"/>
      <c r="D3" s="32" t="s">
        <v>543</v>
      </c>
      <c r="E3" s="33" t="s">
        <v>544</v>
      </c>
    </row>
    <row r="4" s="28" customFormat="1" spans="1:5">
      <c r="A4" s="42"/>
      <c r="B4" s="43"/>
      <c r="C4" s="44"/>
      <c r="D4" s="32" t="s">
        <v>545</v>
      </c>
      <c r="E4" s="33" t="s">
        <v>546</v>
      </c>
    </row>
    <row r="5" s="28" customFormat="1" ht="56" spans="1:5">
      <c r="A5" s="42"/>
      <c r="B5" s="43"/>
      <c r="C5" s="44"/>
      <c r="D5" s="32" t="s">
        <v>547</v>
      </c>
      <c r="E5" s="33" t="s">
        <v>548</v>
      </c>
    </row>
    <row r="6" s="28" customFormat="1" ht="238" spans="1:5">
      <c r="A6" s="42"/>
      <c r="B6" s="43"/>
      <c r="C6" s="44"/>
      <c r="D6" s="32" t="s">
        <v>549</v>
      </c>
      <c r="E6" s="33" t="s">
        <v>550</v>
      </c>
    </row>
    <row r="7" s="28" customFormat="1" ht="238" spans="1:5">
      <c r="A7" s="42"/>
      <c r="B7" s="43"/>
      <c r="C7" s="41" t="s">
        <v>551</v>
      </c>
      <c r="D7" s="32" t="s">
        <v>552</v>
      </c>
      <c r="E7" s="33" t="s">
        <v>553</v>
      </c>
    </row>
    <row r="8" s="28" customFormat="1" ht="56" spans="1:5">
      <c r="A8" s="42"/>
      <c r="B8" s="43"/>
      <c r="C8" s="44"/>
      <c r="D8" s="32" t="s">
        <v>554</v>
      </c>
      <c r="E8" s="33" t="s">
        <v>555</v>
      </c>
    </row>
    <row r="9" s="28" customFormat="1" ht="84" spans="1:5">
      <c r="A9" s="42"/>
      <c r="B9" s="43"/>
      <c r="C9" s="44"/>
      <c r="D9" s="32" t="s">
        <v>556</v>
      </c>
      <c r="E9" s="33" t="s">
        <v>557</v>
      </c>
    </row>
    <row r="10" s="28" customFormat="1" ht="28" spans="1:5">
      <c r="A10" s="42"/>
      <c r="B10" s="43"/>
      <c r="C10" s="44"/>
      <c r="D10" s="32" t="s">
        <v>558</v>
      </c>
      <c r="E10" s="33" t="s">
        <v>559</v>
      </c>
    </row>
    <row r="11" s="28" customFormat="1" spans="1:5">
      <c r="A11" s="42"/>
      <c r="B11" s="43"/>
      <c r="C11" s="45"/>
      <c r="D11" s="32" t="s">
        <v>560</v>
      </c>
      <c r="E11" s="33" t="s">
        <v>561</v>
      </c>
    </row>
    <row r="12" s="28" customFormat="1" ht="154" spans="1:5">
      <c r="A12" s="42"/>
      <c r="B12" s="43"/>
      <c r="C12" s="31"/>
      <c r="D12" s="32" t="s">
        <v>562</v>
      </c>
      <c r="E12" s="33" t="s">
        <v>563</v>
      </c>
    </row>
    <row r="13" s="28" customFormat="1" ht="56" spans="1:5">
      <c r="A13" s="42"/>
      <c r="B13" s="43"/>
      <c r="C13" s="46" t="s">
        <v>564</v>
      </c>
      <c r="D13" s="37"/>
      <c r="E13" s="33" t="s">
        <v>565</v>
      </c>
    </row>
    <row r="14" s="28" customFormat="1" ht="84" spans="1:5">
      <c r="A14" s="42"/>
      <c r="B14" s="43"/>
      <c r="C14" s="46" t="s">
        <v>566</v>
      </c>
      <c r="D14" s="37"/>
      <c r="E14" s="33" t="s">
        <v>567</v>
      </c>
    </row>
    <row r="15" s="28" customFormat="1" ht="28" spans="1:5">
      <c r="A15" s="42"/>
      <c r="B15" s="43"/>
      <c r="C15" s="46" t="s">
        <v>568</v>
      </c>
      <c r="D15" s="37"/>
      <c r="E15" s="33" t="s">
        <v>569</v>
      </c>
    </row>
    <row r="16" s="28" customFormat="1" spans="1:5">
      <c r="A16" s="42"/>
      <c r="B16" s="43"/>
      <c r="C16" s="46" t="s">
        <v>570</v>
      </c>
      <c r="D16" s="37"/>
      <c r="E16" s="33"/>
    </row>
    <row r="17" s="28" customFormat="1" spans="1:5">
      <c r="A17" s="42"/>
      <c r="B17" s="43"/>
      <c r="C17" s="46" t="s">
        <v>571</v>
      </c>
      <c r="D17" s="37"/>
      <c r="E17" s="33" t="s">
        <v>572</v>
      </c>
    </row>
    <row r="18" s="28" customFormat="1" spans="1:5">
      <c r="A18" s="42"/>
      <c r="B18" s="43"/>
      <c r="C18" s="41" t="s">
        <v>573</v>
      </c>
      <c r="D18" s="32" t="s">
        <v>574</v>
      </c>
      <c r="E18" s="33" t="s">
        <v>575</v>
      </c>
    </row>
    <row r="19" s="28" customFormat="1" spans="1:5">
      <c r="A19" s="42"/>
      <c r="B19" s="43"/>
      <c r="C19" s="45"/>
      <c r="D19" s="32" t="s">
        <v>576</v>
      </c>
      <c r="E19" s="33" t="s">
        <v>577</v>
      </c>
    </row>
    <row r="20" s="28" customFormat="1" spans="1:5">
      <c r="A20" s="42"/>
      <c r="B20" s="43"/>
      <c r="C20" s="46" t="s">
        <v>578</v>
      </c>
      <c r="D20" s="37"/>
      <c r="E20" s="33"/>
    </row>
    <row r="21" s="28" customFormat="1" spans="1:5">
      <c r="A21" s="42"/>
      <c r="B21" s="43"/>
      <c r="C21" s="46" t="s">
        <v>579</v>
      </c>
      <c r="D21" s="37"/>
      <c r="E21" s="33" t="s">
        <v>580</v>
      </c>
    </row>
    <row r="22" s="28" customFormat="1" ht="28" spans="1:5">
      <c r="A22" s="42"/>
      <c r="B22" s="43"/>
      <c r="C22" s="46" t="s">
        <v>581</v>
      </c>
      <c r="D22" s="47"/>
      <c r="E22" s="33" t="s">
        <v>582</v>
      </c>
    </row>
    <row r="23" s="28" customFormat="1" spans="1:5">
      <c r="A23" s="42"/>
      <c r="B23" s="43"/>
      <c r="C23" s="31" t="s">
        <v>313</v>
      </c>
      <c r="D23" s="31"/>
      <c r="E23" s="33" t="s">
        <v>583</v>
      </c>
    </row>
    <row r="24" s="28" customFormat="1" spans="1:5">
      <c r="A24" s="42"/>
      <c r="B24" s="43"/>
      <c r="C24" s="31" t="s">
        <v>584</v>
      </c>
      <c r="D24" s="31"/>
      <c r="E24" s="33" t="s">
        <v>585</v>
      </c>
    </row>
    <row r="25" s="28" customFormat="1" ht="28" spans="1:5">
      <c r="A25" s="39" t="s">
        <v>351</v>
      </c>
      <c r="B25" s="40" t="s">
        <v>352</v>
      </c>
      <c r="C25" s="44" t="s">
        <v>540</v>
      </c>
      <c r="D25" s="48" t="s">
        <v>586</v>
      </c>
      <c r="E25" s="33" t="s">
        <v>587</v>
      </c>
    </row>
    <row r="26" s="28" customFormat="1" spans="1:5">
      <c r="A26" s="42"/>
      <c r="B26" s="43"/>
      <c r="C26" s="44"/>
      <c r="D26" s="32" t="s">
        <v>588</v>
      </c>
      <c r="E26" s="33" t="s">
        <v>589</v>
      </c>
    </row>
    <row r="27" s="28" customFormat="1" ht="28" spans="1:5">
      <c r="A27" s="42"/>
      <c r="B27" s="43"/>
      <c r="C27" s="44"/>
      <c r="D27" s="32" t="s">
        <v>590</v>
      </c>
      <c r="E27" s="33" t="s">
        <v>591</v>
      </c>
    </row>
    <row r="28" s="28" customFormat="1" ht="42" spans="1:5">
      <c r="A28" s="42"/>
      <c r="B28" s="43"/>
      <c r="C28" s="44"/>
      <c r="D28" s="32" t="s">
        <v>592</v>
      </c>
      <c r="E28" s="33" t="s">
        <v>593</v>
      </c>
    </row>
    <row r="29" s="28" customFormat="1" ht="42" spans="1:5">
      <c r="A29" s="39" t="s">
        <v>347</v>
      </c>
      <c r="B29" s="40" t="s">
        <v>348</v>
      </c>
      <c r="C29" s="41" t="s">
        <v>540</v>
      </c>
      <c r="D29" s="32" t="s">
        <v>541</v>
      </c>
      <c r="E29" s="33" t="s">
        <v>594</v>
      </c>
    </row>
    <row r="30" s="28" customFormat="1" ht="70" spans="1:5">
      <c r="A30" s="42"/>
      <c r="B30" s="43"/>
      <c r="C30" s="44"/>
      <c r="D30" s="32" t="s">
        <v>595</v>
      </c>
      <c r="E30" s="33" t="s">
        <v>596</v>
      </c>
    </row>
    <row r="31" s="28" customFormat="1" spans="1:5">
      <c r="A31" s="42"/>
      <c r="B31" s="43"/>
      <c r="C31" s="44"/>
      <c r="D31" s="32" t="s">
        <v>586</v>
      </c>
      <c r="E31" s="33" t="s">
        <v>597</v>
      </c>
    </row>
    <row r="32" s="28" customFormat="1" ht="28" spans="1:5">
      <c r="A32" s="42"/>
      <c r="B32" s="43"/>
      <c r="C32" s="45"/>
      <c r="D32" s="32" t="s">
        <v>598</v>
      </c>
      <c r="E32" s="33" t="s">
        <v>599</v>
      </c>
    </row>
    <row r="33" s="28" customFormat="1" ht="42" spans="1:5">
      <c r="A33" s="42"/>
      <c r="B33" s="49"/>
      <c r="C33" s="46" t="s">
        <v>551</v>
      </c>
      <c r="D33" s="47"/>
      <c r="E33" s="33" t="s">
        <v>600</v>
      </c>
    </row>
    <row r="34" s="28" customFormat="1" ht="42" spans="1:5">
      <c r="A34" s="42"/>
      <c r="B34" s="50" t="s">
        <v>601</v>
      </c>
      <c r="C34" s="36" t="s">
        <v>551</v>
      </c>
      <c r="D34" s="51"/>
      <c r="E34" s="52" t="s">
        <v>602</v>
      </c>
    </row>
    <row r="35" s="28" customFormat="1" ht="42" spans="1:5">
      <c r="A35" s="53"/>
      <c r="B35" s="54"/>
      <c r="C35" s="36" t="s">
        <v>540</v>
      </c>
      <c r="D35" s="51"/>
      <c r="E35" s="52" t="s">
        <v>603</v>
      </c>
    </row>
    <row r="36" s="28" customFormat="1" spans="1:5">
      <c r="A36" s="39" t="s">
        <v>354</v>
      </c>
      <c r="B36" s="55" t="s">
        <v>604</v>
      </c>
      <c r="C36" s="56"/>
      <c r="D36" s="57"/>
      <c r="E36" s="52" t="s">
        <v>136</v>
      </c>
    </row>
    <row r="37" s="28" customFormat="1" spans="1:5">
      <c r="A37" s="53"/>
      <c r="B37" s="58" t="s">
        <v>605</v>
      </c>
      <c r="C37" s="59"/>
      <c r="D37" s="60"/>
      <c r="E37" s="33" t="s">
        <v>606</v>
      </c>
    </row>
    <row r="38" s="28" customFormat="1" spans="1:5">
      <c r="A38" s="29" t="s">
        <v>355</v>
      </c>
      <c r="B38" s="58" t="s">
        <v>607</v>
      </c>
      <c r="C38" s="59"/>
      <c r="D38" s="60"/>
      <c r="E38" s="33" t="s">
        <v>608</v>
      </c>
    </row>
    <row r="39" s="28" customFormat="1" spans="1:5">
      <c r="A39" s="39" t="s">
        <v>357</v>
      </c>
      <c r="B39" s="40" t="s">
        <v>609</v>
      </c>
      <c r="C39" s="41" t="s">
        <v>540</v>
      </c>
      <c r="D39" s="32" t="s">
        <v>610</v>
      </c>
      <c r="E39" s="33" t="s">
        <v>611</v>
      </c>
    </row>
    <row r="40" s="28" customFormat="1" spans="1:5">
      <c r="A40" s="42"/>
      <c r="B40" s="43"/>
      <c r="C40" s="45"/>
      <c r="D40" s="32" t="s">
        <v>612</v>
      </c>
      <c r="E40" s="33" t="s">
        <v>613</v>
      </c>
    </row>
    <row r="41" s="28" customFormat="1" spans="1:5">
      <c r="A41" s="42"/>
      <c r="B41" s="43"/>
      <c r="C41" s="46" t="s">
        <v>614</v>
      </c>
      <c r="D41" s="47"/>
      <c r="E41" s="33" t="s">
        <v>615</v>
      </c>
    </row>
    <row r="42" s="28" customFormat="1" spans="1:5">
      <c r="A42" s="53"/>
      <c r="B42" s="49"/>
      <c r="C42" s="46" t="s">
        <v>551</v>
      </c>
      <c r="D42" s="47"/>
      <c r="E42" s="33" t="s">
        <v>616</v>
      </c>
    </row>
    <row r="43" s="28" customFormat="1" spans="1:5">
      <c r="A43" s="39" t="s">
        <v>359</v>
      </c>
      <c r="B43" s="50" t="s">
        <v>607</v>
      </c>
      <c r="C43" s="61" t="s">
        <v>617</v>
      </c>
      <c r="D43" s="62"/>
      <c r="E43" s="52" t="s">
        <v>618</v>
      </c>
    </row>
    <row r="44" s="28" customFormat="1" ht="28" spans="1:5">
      <c r="A44" s="42"/>
      <c r="B44" s="54"/>
      <c r="C44" s="61" t="s">
        <v>592</v>
      </c>
      <c r="D44" s="62"/>
      <c r="E44" s="52" t="s">
        <v>619</v>
      </c>
    </row>
    <row r="45" s="28" customFormat="1" spans="1:5">
      <c r="A45" s="53"/>
      <c r="B45" s="58" t="s">
        <v>620</v>
      </c>
      <c r="C45" s="59"/>
      <c r="D45" s="60"/>
      <c r="E45" s="33" t="s">
        <v>155</v>
      </c>
    </row>
    <row r="46" s="28" customFormat="1" spans="1:5">
      <c r="A46" s="39" t="s">
        <v>367</v>
      </c>
      <c r="B46" s="40" t="s">
        <v>621</v>
      </c>
      <c r="C46" s="41" t="s">
        <v>540</v>
      </c>
      <c r="D46" s="32" t="s">
        <v>622</v>
      </c>
      <c r="E46" s="33"/>
    </row>
    <row r="47" s="28" customFormat="1" spans="1:5">
      <c r="A47" s="42"/>
      <c r="B47" s="43"/>
      <c r="C47" s="44"/>
      <c r="D47" s="32" t="s">
        <v>623</v>
      </c>
      <c r="E47" s="33"/>
    </row>
    <row r="48" s="28" customFormat="1" spans="1:5">
      <c r="A48" s="53"/>
      <c r="B48" s="49"/>
      <c r="C48" s="45"/>
      <c r="D48" s="32" t="s">
        <v>592</v>
      </c>
      <c r="E48" s="33" t="s">
        <v>624</v>
      </c>
    </row>
    <row r="49" s="28" customFormat="1" spans="1:5">
      <c r="A49" s="29" t="s">
        <v>361</v>
      </c>
      <c r="B49" s="58" t="s">
        <v>362</v>
      </c>
      <c r="C49" s="59"/>
      <c r="D49" s="60"/>
      <c r="E49" s="33" t="s">
        <v>625</v>
      </c>
    </row>
    <row r="50" s="28" customFormat="1" spans="1:5">
      <c r="A50" s="39" t="s">
        <v>363</v>
      </c>
      <c r="B50" s="58" t="s">
        <v>607</v>
      </c>
      <c r="C50" s="59"/>
      <c r="D50" s="60"/>
      <c r="E50" s="33" t="s">
        <v>626</v>
      </c>
    </row>
    <row r="51" s="28" customFormat="1" spans="1:5">
      <c r="A51" s="53"/>
      <c r="B51" s="58" t="s">
        <v>607</v>
      </c>
      <c r="C51" s="59"/>
      <c r="D51" s="60"/>
      <c r="E51" s="33" t="s">
        <v>168</v>
      </c>
    </row>
    <row r="52" s="28" customFormat="1" spans="1:5">
      <c r="A52" s="29" t="s">
        <v>366</v>
      </c>
      <c r="B52" s="58" t="s">
        <v>607</v>
      </c>
      <c r="C52" s="59"/>
      <c r="D52" s="60"/>
      <c r="E52" s="33"/>
    </row>
    <row r="53" s="28" customFormat="1" spans="1:5">
      <c r="A53" s="39" t="s">
        <v>627</v>
      </c>
      <c r="B53" s="58" t="s">
        <v>607</v>
      </c>
      <c r="C53" s="59"/>
      <c r="D53" s="60"/>
      <c r="E53" s="33"/>
    </row>
    <row r="54" s="28" customFormat="1" ht="28" spans="1:5">
      <c r="A54" s="53"/>
      <c r="B54" s="58"/>
      <c r="C54" s="59"/>
      <c r="D54" s="60"/>
      <c r="E54" s="33" t="s">
        <v>628</v>
      </c>
    </row>
    <row r="55" s="28" customFormat="1" spans="1:5">
      <c r="A55" s="29" t="s">
        <v>368</v>
      </c>
      <c r="B55" s="30"/>
      <c r="C55" s="31"/>
      <c r="D55" s="32"/>
      <c r="E55" s="33" t="s">
        <v>629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workbookViewId="0">
      <selection activeCell="B21" sqref="B21"/>
    </sheetView>
  </sheetViews>
  <sheetFormatPr defaultColWidth="8.72727272727273" defaultRowHeight="14" outlineLevelCol="6"/>
  <cols>
    <col min="1" max="1" width="8.72727272727273" style="7"/>
    <col min="2" max="2" width="61.8090909090909" style="8" customWidth="1"/>
    <col min="3" max="3" width="61.8090909090909" style="9" customWidth="1"/>
    <col min="4" max="4" width="61.8090909090909" style="10" customWidth="1"/>
    <col min="5" max="5" width="61.8090909090909" style="11" customWidth="1"/>
    <col min="6" max="6" width="61.8090909090909" style="12" customWidth="1"/>
    <col min="7" max="7" width="61.8090909090909" style="13" customWidth="1"/>
    <col min="8" max="16384" width="8.72727272727273" style="6"/>
  </cols>
  <sheetData>
    <row r="1" s="5" customFormat="1" spans="1:7">
      <c r="A1" s="14" t="s">
        <v>0</v>
      </c>
      <c r="B1" s="15" t="s">
        <v>1</v>
      </c>
      <c r="C1" s="16" t="s">
        <v>2</v>
      </c>
      <c r="D1" s="17" t="s">
        <v>3</v>
      </c>
      <c r="E1" s="18" t="s">
        <v>4</v>
      </c>
      <c r="F1" s="19" t="s">
        <v>5</v>
      </c>
      <c r="G1" s="20" t="s">
        <v>6</v>
      </c>
    </row>
    <row r="2" s="6" customFormat="1" ht="56" spans="1:7">
      <c r="A2" s="14" t="s">
        <v>7</v>
      </c>
      <c r="B2" s="21" t="s">
        <v>630</v>
      </c>
      <c r="C2" s="9"/>
      <c r="D2" s="10"/>
      <c r="E2" s="11"/>
      <c r="F2" s="12"/>
      <c r="G2" s="13"/>
    </row>
    <row r="3" s="6" customFormat="1" ht="28" spans="1:7">
      <c r="A3" s="14" t="s">
        <v>10</v>
      </c>
      <c r="B3" s="8"/>
      <c r="C3" s="9" t="s">
        <v>631</v>
      </c>
      <c r="D3" s="10"/>
      <c r="E3" s="11"/>
      <c r="F3" s="12"/>
      <c r="G3" s="13"/>
    </row>
    <row r="4" s="6" customFormat="1" spans="1:7">
      <c r="A4" s="14" t="s">
        <v>13</v>
      </c>
      <c r="B4" s="8"/>
      <c r="C4" s="9"/>
      <c r="D4" s="10"/>
      <c r="E4" s="11"/>
      <c r="F4" s="12"/>
      <c r="G4" s="13"/>
    </row>
    <row r="5" s="6" customFormat="1" ht="28" spans="1:7">
      <c r="A5" s="14" t="s">
        <v>15</v>
      </c>
      <c r="B5" s="8"/>
      <c r="C5" s="9" t="s">
        <v>632</v>
      </c>
      <c r="D5" s="10"/>
      <c r="E5" s="11"/>
      <c r="F5" s="12"/>
      <c r="G5" s="13"/>
    </row>
    <row r="6" s="6" customFormat="1" spans="1:7">
      <c r="A6" s="14" t="s">
        <v>18</v>
      </c>
      <c r="B6" s="8"/>
      <c r="C6" s="22" t="s">
        <v>633</v>
      </c>
      <c r="D6" s="10"/>
      <c r="E6" s="11"/>
      <c r="F6" s="12"/>
      <c r="G6" s="13"/>
    </row>
    <row r="7" s="6" customFormat="1" ht="42" spans="1:7">
      <c r="A7" s="14" t="s">
        <v>20</v>
      </c>
      <c r="B7" s="8"/>
      <c r="C7" s="9" t="s">
        <v>634</v>
      </c>
      <c r="D7" s="10"/>
      <c r="E7" s="11"/>
      <c r="F7" s="12"/>
      <c r="G7" s="13"/>
    </row>
    <row r="8" s="6" customFormat="1" spans="1:7">
      <c r="A8" s="14" t="s">
        <v>24</v>
      </c>
      <c r="B8" s="8"/>
      <c r="C8" s="9"/>
      <c r="D8" s="10"/>
      <c r="E8" s="11"/>
      <c r="F8" s="12"/>
      <c r="G8" s="13"/>
    </row>
    <row r="9" s="6" customFormat="1" spans="1:7">
      <c r="A9" s="14" t="s">
        <v>26</v>
      </c>
      <c r="B9" s="8"/>
      <c r="C9" s="9"/>
      <c r="D9" s="10"/>
      <c r="E9" s="11"/>
      <c r="F9" s="12"/>
      <c r="G9" s="13"/>
    </row>
    <row r="10" s="6" customFormat="1" ht="28" spans="1:7">
      <c r="A10" s="14" t="s">
        <v>27</v>
      </c>
      <c r="B10" s="23" t="s">
        <v>635</v>
      </c>
      <c r="C10" s="9"/>
      <c r="D10" s="10"/>
      <c r="E10" s="11"/>
      <c r="F10" s="12"/>
      <c r="G10" s="13"/>
    </row>
    <row r="11" s="6" customFormat="1" spans="1:7">
      <c r="A11" s="14" t="s">
        <v>29</v>
      </c>
      <c r="B11" s="8"/>
      <c r="C11" s="9"/>
      <c r="D11" s="10"/>
      <c r="E11" s="11"/>
      <c r="F11" s="12"/>
      <c r="G11" s="13"/>
    </row>
    <row r="12" s="6" customFormat="1" spans="1:7">
      <c r="A12" s="14" t="s">
        <v>30</v>
      </c>
      <c r="B12" s="8"/>
      <c r="C12" s="9"/>
      <c r="D12" s="10"/>
      <c r="E12" s="11"/>
      <c r="F12" s="12"/>
      <c r="G12" s="13"/>
    </row>
    <row r="13" s="6" customFormat="1" spans="1:7">
      <c r="A13" s="14" t="s">
        <v>31</v>
      </c>
      <c r="B13" s="8"/>
      <c r="C13" s="9"/>
      <c r="D13" s="10"/>
      <c r="E13" s="11"/>
      <c r="F13" s="12"/>
      <c r="G13" s="13"/>
    </row>
    <row r="14" s="6" customFormat="1" ht="28" spans="1:7">
      <c r="A14" s="14" t="s">
        <v>33</v>
      </c>
      <c r="B14" s="23" t="s">
        <v>636</v>
      </c>
      <c r="C14" s="9"/>
      <c r="D14" s="10"/>
      <c r="E14" s="11"/>
      <c r="F14" s="12"/>
      <c r="G14" s="13"/>
    </row>
    <row r="15" s="6" customFormat="1" spans="1:7">
      <c r="A15" s="14" t="s">
        <v>35</v>
      </c>
      <c r="B15" s="8"/>
      <c r="C15" s="9"/>
      <c r="D15" s="10"/>
      <c r="E15" s="11"/>
      <c r="F15" s="12"/>
      <c r="G15" s="13"/>
    </row>
    <row r="16" s="6" customFormat="1" spans="1:7">
      <c r="A16" s="14" t="s">
        <v>36</v>
      </c>
      <c r="B16" s="8"/>
      <c r="C16" s="9"/>
      <c r="D16" s="10"/>
      <c r="E16" s="11"/>
      <c r="F16" s="12"/>
      <c r="G16" s="13"/>
    </row>
    <row r="17" s="6" customFormat="1" ht="28" spans="1:7">
      <c r="A17" s="14" t="s">
        <v>38</v>
      </c>
      <c r="B17" s="8"/>
      <c r="C17" s="22" t="s">
        <v>637</v>
      </c>
      <c r="D17" s="10"/>
      <c r="E17" s="11"/>
      <c r="F17" s="12"/>
      <c r="G17" s="13"/>
    </row>
    <row r="18" s="6" customFormat="1" spans="1:7">
      <c r="A18" s="14" t="s">
        <v>40</v>
      </c>
      <c r="B18" s="8"/>
      <c r="C18" s="9"/>
      <c r="D18" s="10"/>
      <c r="E18" s="11"/>
      <c r="F18" s="12"/>
      <c r="G18" s="13"/>
    </row>
    <row r="19" s="6" customFormat="1" spans="1:7">
      <c r="A19" s="14" t="s">
        <v>42</v>
      </c>
      <c r="B19" s="8"/>
      <c r="C19" s="9"/>
      <c r="D19" s="10"/>
      <c r="E19" s="11"/>
      <c r="F19" s="12"/>
      <c r="G19" s="13"/>
    </row>
    <row r="20" s="6" customFormat="1" ht="42" spans="1:7">
      <c r="A20" s="14" t="s">
        <v>44</v>
      </c>
      <c r="B20" s="23" t="s">
        <v>638</v>
      </c>
      <c r="C20" s="9" t="s">
        <v>639</v>
      </c>
      <c r="D20" s="10"/>
      <c r="E20" s="11"/>
      <c r="F20" s="12"/>
      <c r="G20" s="13"/>
    </row>
    <row r="21" s="6" customFormat="1" ht="280" spans="1:7">
      <c r="A21" s="14" t="s">
        <v>47</v>
      </c>
      <c r="B21" s="8" t="s">
        <v>640</v>
      </c>
      <c r="C21" s="9" t="s">
        <v>641</v>
      </c>
      <c r="D21" s="10"/>
      <c r="E21" s="11"/>
      <c r="F21" s="12"/>
      <c r="G21" s="13"/>
    </row>
    <row r="22" s="6" customFormat="1" spans="1:7">
      <c r="A22" s="14" t="s">
        <v>51</v>
      </c>
      <c r="B22" s="8"/>
      <c r="C22" s="9"/>
      <c r="D22" s="10"/>
      <c r="E22" s="11"/>
      <c r="F22" s="12"/>
      <c r="G22" s="13"/>
    </row>
    <row r="23" s="6" customFormat="1" ht="56" spans="1:7">
      <c r="A23" s="14" t="s">
        <v>52</v>
      </c>
      <c r="B23" s="23" t="s">
        <v>642</v>
      </c>
      <c r="C23" s="9"/>
      <c r="D23" s="10"/>
      <c r="E23" s="11"/>
      <c r="F23" s="12"/>
      <c r="G23" s="13"/>
    </row>
    <row r="24" s="6" customFormat="1" ht="70" spans="1:7">
      <c r="A24" s="14" t="s">
        <v>54</v>
      </c>
      <c r="B24" s="23" t="s">
        <v>643</v>
      </c>
      <c r="C24" s="22" t="s">
        <v>644</v>
      </c>
      <c r="D24" s="10"/>
      <c r="E24" s="11"/>
      <c r="F24" s="12"/>
      <c r="G24" s="13"/>
    </row>
    <row r="25" s="6" customFormat="1" spans="1:7">
      <c r="A25" s="14" t="s">
        <v>58</v>
      </c>
      <c r="B25" s="8"/>
      <c r="C25" s="9"/>
      <c r="D25" s="10"/>
      <c r="E25" s="11"/>
      <c r="F25" s="12"/>
      <c r="G25" s="13"/>
    </row>
    <row r="26" s="6" customFormat="1" spans="1:7">
      <c r="A26" s="14" t="s">
        <v>59</v>
      </c>
      <c r="B26" s="8"/>
      <c r="C26" s="9"/>
      <c r="D26" s="10"/>
      <c r="E26" s="11"/>
      <c r="F26" s="12"/>
      <c r="G26" s="13"/>
    </row>
    <row r="27" s="6" customFormat="1" ht="112" spans="1:7">
      <c r="A27" s="14" t="s">
        <v>60</v>
      </c>
      <c r="B27" s="8" t="s">
        <v>645</v>
      </c>
      <c r="C27" s="22" t="s">
        <v>646</v>
      </c>
      <c r="D27" s="10"/>
      <c r="E27" s="11"/>
      <c r="F27" s="12"/>
      <c r="G27" s="13"/>
    </row>
    <row r="28" s="6" customFormat="1" ht="409" customHeight="1" spans="1:7">
      <c r="A28" s="14" t="s">
        <v>63</v>
      </c>
      <c r="B28" s="8" t="s">
        <v>647</v>
      </c>
      <c r="C28" s="22" t="s">
        <v>648</v>
      </c>
      <c r="D28" s="10"/>
      <c r="E28" s="11"/>
      <c r="F28" s="12"/>
      <c r="G28" s="13"/>
    </row>
    <row r="29" s="6" customFormat="1" spans="1:7">
      <c r="A29" s="14" t="s">
        <v>68</v>
      </c>
      <c r="B29" s="8"/>
      <c r="C29" s="9"/>
      <c r="D29" s="10"/>
      <c r="E29" s="11"/>
      <c r="F29" s="12"/>
      <c r="G29" s="13"/>
    </row>
    <row r="30" s="6" customFormat="1" ht="28" spans="1:7">
      <c r="A30" s="14" t="s">
        <v>69</v>
      </c>
      <c r="B30" s="8"/>
      <c r="C30" s="22" t="s">
        <v>649</v>
      </c>
      <c r="D30" s="10"/>
      <c r="E30" s="11"/>
      <c r="F30" s="12"/>
      <c r="G30" s="13"/>
    </row>
    <row r="31" s="6" customFormat="1" spans="1:7">
      <c r="A31" s="14" t="s">
        <v>72</v>
      </c>
      <c r="B31" s="8"/>
      <c r="C31" s="9"/>
      <c r="D31" s="10"/>
      <c r="E31" s="11"/>
      <c r="F31" s="12"/>
      <c r="G31" s="13"/>
    </row>
    <row r="32" s="6" customFormat="1" spans="1:7">
      <c r="A32" s="14" t="s">
        <v>73</v>
      </c>
      <c r="B32" s="8"/>
      <c r="C32" s="9"/>
      <c r="D32" s="10"/>
      <c r="E32" s="11"/>
      <c r="F32" s="12"/>
      <c r="G32" s="13"/>
    </row>
    <row r="33" s="6" customFormat="1" spans="1:7">
      <c r="A33" s="14" t="s">
        <v>74</v>
      </c>
      <c r="B33" s="8"/>
      <c r="C33" s="9"/>
      <c r="D33" s="10"/>
      <c r="E33" s="11"/>
      <c r="F33" s="12"/>
      <c r="G33" s="13"/>
    </row>
    <row r="34" s="6" customFormat="1" spans="1:7">
      <c r="A34" s="14" t="s">
        <v>75</v>
      </c>
      <c r="B34" s="8"/>
      <c r="C34" s="9"/>
      <c r="D34" s="10"/>
      <c r="E34" s="11"/>
      <c r="F34" s="12"/>
      <c r="G34" s="13"/>
    </row>
    <row r="35" s="6" customFormat="1" spans="1:7">
      <c r="A35" s="14" t="s">
        <v>76</v>
      </c>
      <c r="B35" s="8"/>
      <c r="C35" s="9"/>
      <c r="D35" s="10"/>
      <c r="E35" s="11"/>
      <c r="F35" s="12"/>
      <c r="G35" s="13"/>
    </row>
    <row r="36" s="6" customFormat="1" ht="42" spans="1:7">
      <c r="A36" s="14" t="s">
        <v>77</v>
      </c>
      <c r="B36" s="23" t="s">
        <v>650</v>
      </c>
      <c r="C36" s="9"/>
      <c r="D36" s="10"/>
      <c r="E36" s="11"/>
      <c r="F36" s="12"/>
      <c r="G36" s="13"/>
    </row>
    <row r="37" s="6" customFormat="1" ht="126" spans="1:7">
      <c r="A37" s="14" t="s">
        <v>79</v>
      </c>
      <c r="B37" s="8"/>
      <c r="C37" s="22" t="s">
        <v>651</v>
      </c>
      <c r="D37" s="10"/>
      <c r="E37" s="11"/>
      <c r="F37" s="12"/>
      <c r="G37" s="13"/>
    </row>
    <row r="38" s="6" customFormat="1" ht="28" spans="1:7">
      <c r="A38" s="14" t="s">
        <v>82</v>
      </c>
      <c r="B38" s="24" t="s">
        <v>652</v>
      </c>
      <c r="C38" s="25"/>
      <c r="D38" s="26"/>
      <c r="E38" s="26"/>
      <c r="F38" s="26"/>
      <c r="G38" s="26"/>
    </row>
    <row r="39" s="6" customFormat="1" ht="42" spans="1:7">
      <c r="A39" s="14" t="s">
        <v>84</v>
      </c>
      <c r="B39" s="8"/>
      <c r="C39" s="22" t="s">
        <v>653</v>
      </c>
      <c r="D39" s="10"/>
      <c r="E39" s="11"/>
      <c r="F39" s="12"/>
      <c r="G39" s="13"/>
    </row>
    <row r="40" s="6" customFormat="1" spans="1:7">
      <c r="A40" s="14" t="s">
        <v>87</v>
      </c>
      <c r="B40" s="23" t="s">
        <v>654</v>
      </c>
      <c r="C40" s="22" t="s">
        <v>655</v>
      </c>
      <c r="D40" s="10"/>
      <c r="E40" s="11"/>
      <c r="F40" s="12"/>
      <c r="G40" s="13"/>
    </row>
    <row r="41" s="6" customFormat="1" ht="126" spans="1:7">
      <c r="A41" s="14" t="s">
        <v>91</v>
      </c>
      <c r="B41" s="8"/>
      <c r="C41" s="22" t="s">
        <v>656</v>
      </c>
      <c r="D41" s="10"/>
      <c r="E41" s="11"/>
      <c r="F41" s="12"/>
      <c r="G41" s="13"/>
    </row>
    <row r="42" s="6" customFormat="1" spans="1:7">
      <c r="A42" s="14" t="s">
        <v>98</v>
      </c>
      <c r="B42" s="8"/>
      <c r="C42" s="9"/>
      <c r="D42" s="10"/>
      <c r="E42" s="11"/>
      <c r="F42" s="12"/>
      <c r="G42" s="13"/>
    </row>
    <row r="43" s="6" customFormat="1" spans="1:7">
      <c r="A43" s="14" t="s">
        <v>99</v>
      </c>
      <c r="B43" s="23" t="s">
        <v>657</v>
      </c>
      <c r="C43" s="9"/>
      <c r="D43" s="10"/>
      <c r="E43" s="11"/>
      <c r="F43" s="12"/>
      <c r="G43" s="13"/>
    </row>
    <row r="44" s="6" customFormat="1" spans="1:7">
      <c r="A44" s="14" t="s">
        <v>102</v>
      </c>
      <c r="B44" s="8"/>
      <c r="C44" s="9"/>
      <c r="D44" s="10"/>
      <c r="E44" s="11"/>
      <c r="F44" s="12"/>
      <c r="G44" s="13"/>
    </row>
    <row r="45" s="6" customFormat="1" ht="387" spans="1:7">
      <c r="A45" s="14" t="s">
        <v>104</v>
      </c>
      <c r="B45" s="8" t="s">
        <v>658</v>
      </c>
      <c r="C45" s="9"/>
      <c r="D45" s="10"/>
      <c r="E45" s="11"/>
      <c r="F45" s="12"/>
      <c r="G45" s="13"/>
    </row>
    <row r="46" s="6" customFormat="1" spans="1:7">
      <c r="A46" s="14" t="s">
        <v>107</v>
      </c>
      <c r="B46" s="8"/>
      <c r="C46" s="9"/>
      <c r="D46" s="10"/>
      <c r="E46" s="11"/>
      <c r="F46" s="12"/>
      <c r="G46" s="13"/>
    </row>
    <row r="47" s="6" customFormat="1" spans="1:7">
      <c r="A47" s="14" t="s">
        <v>108</v>
      </c>
      <c r="B47" s="8"/>
      <c r="C47" s="9"/>
      <c r="D47" s="10"/>
      <c r="E47" s="11"/>
      <c r="F47" s="12"/>
      <c r="G47" s="13"/>
    </row>
    <row r="48" s="6" customFormat="1" spans="1:7">
      <c r="A48" s="14" t="s">
        <v>110</v>
      </c>
      <c r="B48" s="8"/>
      <c r="C48" s="22" t="s">
        <v>659</v>
      </c>
      <c r="D48" s="10"/>
      <c r="E48" s="11"/>
      <c r="F48" s="12"/>
      <c r="G48" s="13"/>
    </row>
    <row r="49" s="6" customFormat="1" spans="1:7">
      <c r="A49" s="14" t="s">
        <v>113</v>
      </c>
      <c r="B49" s="8"/>
      <c r="C49" s="9"/>
      <c r="D49" s="10"/>
      <c r="E49" s="11"/>
      <c r="F49" s="12"/>
      <c r="G49" s="13"/>
    </row>
    <row r="50" s="6" customFormat="1" ht="322" spans="1:7">
      <c r="A50" s="14" t="s">
        <v>114</v>
      </c>
      <c r="B50" s="8"/>
      <c r="C50" s="22" t="s">
        <v>660</v>
      </c>
      <c r="D50" s="10"/>
      <c r="E50" s="11"/>
      <c r="F50" s="12"/>
      <c r="G50" s="13"/>
    </row>
    <row r="51" s="6" customFormat="1" spans="1:7">
      <c r="A51" s="14" t="s">
        <v>116</v>
      </c>
      <c r="B51" s="8"/>
      <c r="C51" s="9"/>
      <c r="D51" s="10"/>
      <c r="E51" s="11"/>
      <c r="F51" s="12"/>
      <c r="G51" s="13"/>
    </row>
    <row r="52" s="6" customFormat="1" ht="224" spans="1:7">
      <c r="A52" s="14" t="s">
        <v>117</v>
      </c>
      <c r="B52" s="8" t="s">
        <v>661</v>
      </c>
      <c r="C52" s="22" t="s">
        <v>662</v>
      </c>
      <c r="D52" s="10"/>
      <c r="E52" s="11"/>
      <c r="F52" s="12"/>
      <c r="G52" s="13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1"/>
    <col min="2" max="3" width="16.2727272727273" style="2" customWidth="1"/>
    <col min="4" max="4" width="8.72727272727273" style="1"/>
    <col min="5" max="6" width="16.2727272727273" style="2" customWidth="1"/>
    <col min="7" max="16384" width="8.72727272727273" style="1"/>
  </cols>
  <sheetData>
    <row r="1" spans="2:6">
      <c r="B1" s="3" t="s">
        <v>663</v>
      </c>
      <c r="C1" s="3" t="s">
        <v>664</v>
      </c>
      <c r="E1" s="3" t="s">
        <v>482</v>
      </c>
      <c r="F1" s="3" t="s">
        <v>665</v>
      </c>
    </row>
    <row r="2" spans="2:6">
      <c r="B2" s="4" t="s">
        <v>666</v>
      </c>
      <c r="C2" s="4">
        <v>13</v>
      </c>
      <c r="E2" s="4" t="s">
        <v>667</v>
      </c>
      <c r="F2" s="4">
        <v>6</v>
      </c>
    </row>
    <row r="3" spans="2:6">
      <c r="B3" s="4" t="s">
        <v>668</v>
      </c>
      <c r="C3" s="4">
        <v>13</v>
      </c>
      <c r="E3" s="4" t="s">
        <v>669</v>
      </c>
      <c r="F3" s="4">
        <v>13</v>
      </c>
    </row>
    <row r="4" spans="2:6">
      <c r="B4" s="4" t="s">
        <v>670</v>
      </c>
      <c r="C4" s="4">
        <v>12</v>
      </c>
      <c r="E4" s="4" t="s">
        <v>537</v>
      </c>
      <c r="F4" s="4">
        <v>4</v>
      </c>
    </row>
    <row r="5" spans="2:6">
      <c r="B5" s="4" t="s">
        <v>671</v>
      </c>
      <c r="C5" s="4">
        <v>2</v>
      </c>
      <c r="E5" s="4" t="s">
        <v>672</v>
      </c>
      <c r="F5" s="4">
        <v>6</v>
      </c>
    </row>
    <row r="6" spans="2:6">
      <c r="B6" s="4" t="s">
        <v>673</v>
      </c>
      <c r="C6" s="4">
        <v>2</v>
      </c>
      <c r="E6" s="4" t="s">
        <v>674</v>
      </c>
      <c r="F6" s="4">
        <v>4</v>
      </c>
    </row>
    <row r="7" spans="2:6">
      <c r="B7" s="4" t="s">
        <v>675</v>
      </c>
      <c r="C7" s="4">
        <v>1</v>
      </c>
      <c r="E7" s="4" t="s">
        <v>676</v>
      </c>
      <c r="F7" s="4">
        <v>1</v>
      </c>
    </row>
    <row r="8" spans="2:6">
      <c r="B8" s="4" t="s">
        <v>677</v>
      </c>
      <c r="C8" s="4">
        <v>4</v>
      </c>
      <c r="E8" s="4" t="s">
        <v>678</v>
      </c>
      <c r="F8" s="4">
        <v>3</v>
      </c>
    </row>
    <row r="9" spans="2:6">
      <c r="E9" s="4" t="s">
        <v>679</v>
      </c>
      <c r="F9" s="4">
        <v>1</v>
      </c>
    </row>
    <row r="10" spans="2:6">
      <c r="E10" s="4" t="s">
        <v>680</v>
      </c>
      <c r="F10" s="4">
        <v>5</v>
      </c>
    </row>
    <row r="11" spans="2:6">
      <c r="E11" s="4" t="s">
        <v>681</v>
      </c>
      <c r="F11" s="4">
        <v>1</v>
      </c>
    </row>
    <row r="12" spans="2:6">
      <c r="E12" s="4" t="s">
        <v>677</v>
      </c>
      <c r="F12" s="4">
        <v>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师生</vt:lpstr>
      <vt:lpstr>集体</vt:lpstr>
      <vt:lpstr>事例</vt:lpstr>
      <vt:lpstr>统计</vt:lpstr>
      <vt:lpstr>数学请人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暂无</cp:lastModifiedBy>
  <dcterms:created xsi:type="dcterms:W3CDTF">2023-05-11T11:15:00Z</dcterms:created>
  <dcterms:modified xsi:type="dcterms:W3CDTF">2026-03-23T11:56:07Z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