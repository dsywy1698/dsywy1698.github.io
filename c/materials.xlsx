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<sst xmlns="http://schemas.openxmlformats.org/spreadsheetml/2006/main" count="1231" uniqueCount="725">
  <si>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</si>
  <si>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</si>
  <si>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</si>
  <si>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</si>
  <si>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</si>
  <si>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</si>
  <si>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</si>
  <si>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</si>
  <si>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</si>
  <si>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</si>
  <si>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</si>
  <si>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</si>
  <si>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</si>
  <si>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</si>
  <si>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</si>
  <si>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</si>
  <si>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</si>
  <si>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</si>
  <si>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</si>
  <si>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</si>
  <si>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</si>
  <si>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</si>
  <si>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</si>
  <si>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</si>
  <si>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</si>
  <si>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</si>
  <si>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</si>
  <si>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</si>
  <si>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</si>
  <si>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</si>
  <si>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</si>
  <si>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</si>
  <si>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</si>
  <si>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</si>
  <si>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</si>
  <si>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</si>
  <si>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</si>
  <si>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</si>
  <si>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</si>
  <si>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</si>
  <si>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</si>
  <si>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</si>
  <si>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</si>
  <si>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</si>
  <si>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</si>
  <si>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</si>
  <si>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</si>
  <si>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</si>
  <si>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</si>
  <si>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</si>
  <si>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</si>
  <si>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</si>
  <si>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</si>
  <si>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</si>
  <si>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</si>
  <si>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（蔡华楷：陈梦玲相关，朱奕辰拿出并翻开数学笔记本某页“芹菜99”大字展示）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</si>
  <si>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</si>
  <si>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</si>
  <si>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</si>
  <si>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</si>
  <si>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</si>
  <si>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</si>
  <si>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</si>
  <si>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</si>
  <si>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</si>
  <si>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</si>
  <si>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</si>
  <si>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</si>
  <si>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</si>
  <si>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</si>
  <si>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</si>
  <si>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</t>
  </si>
  <si>
    <t>林承钰</t>
  </si>
  <si>
    <t>厕所滑倒，衣服沾屎</t>
  </si>
  <si>
    <t>喜欢11班某人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</si>
  <si>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</si>
  <si>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</si>
  <si>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</si>
  <si>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</si>
  <si>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</si>
  <si>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</si>
  <si>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</si>
  <si>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</si>
  <si>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</si>
  <si>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</si>
  <si>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</si>
  <si>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</si>
  <si>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</si>
  <si>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</si>
  <si>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</si>
  <si>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</si>
  <si>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</si>
  <si>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</si>
  <si>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</si>
  <si>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</si>
  <si>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</si>
  <si>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</si>
  <si>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</si>
  <si>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</si>
  <si>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</si>
  <si>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</si>
  <si>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</si>
  <si>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</si>
  <si>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</si>
  <si>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</si>
  <si>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</si>
  <si>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</si>
  <si>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</si>
  <si>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</si>
  <si>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</si>
  <si>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</si>
  <si>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</si>
  <si>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</si>
  <si>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</si>
  <si>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</si>
  <si>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</si>
  <si>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</si>
  <si>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</si>
  <si>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</si>
  <si>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</si>
  <si>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</si>
  <si>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</si>
  <si>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</si>
  <si>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</si>
  <si>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</si>
  <si>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</si>
  <si>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</si>
  <si>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</si>
  <si>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</si>
  <si>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</si>
  <si>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</si>
  <si>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</si>
  <si>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</si>
  <si>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</si>
  <si>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</si>
  <si>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</si>
  <si>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</si>
  <si>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</si>
  <si>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</si>
  <si>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</si>
  <si>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</si>
  <si>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</si>
  <si>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</si>
  <si>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</si>
  <si>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</si>
  <si>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</si>
  <si>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</si>
  <si>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</si>
  <si>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</si>
  <si>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</si>
  <si>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</si>
  <si>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</si>
  <si>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</si>
  <si>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</si>
  <si>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</si>
  <si>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</si>
  <si>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</si>
  <si>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</si>
  <si>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</si>
  <si>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</si>
  <si>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</si>
  <si>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</si>
  <si>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</si>
  <si>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</si>
  <si>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</si>
  <si>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</si>
  <si>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</si>
  <si>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</si>
  <si>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</si>
  <si>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</si>
  <si>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</si>
  <si>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</si>
  <si>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</si>
  <si>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</si>
  <si>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</si>
  <si>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</si>
  <si>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</si>
  <si>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</si>
  <si>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</si>
  <si>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</si>
  <si>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</si>
  <si>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</si>
  <si>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</si>
  <si>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</si>
  <si>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</si>
  <si>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</si>
  <si>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</si>
  <si>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</si>
  <si>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</si>
  <si>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</si>
  <si>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</si>
  <si>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</si>
  <si>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</si>
  <si>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</si>
  <si>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</si>
  <si>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</si>
  <si>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</si>
  <si>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</si>
  <si>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</si>
  <si>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</si>
  <si>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</si>
  <si>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</si>
  <si>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</si>
  <si>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</si>
  <si>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</si>
  <si>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</si>
  <si>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</si>
  <si>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</si>
  <si>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</si>
  <si>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</si>
  <si>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</si>
  <si>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</si>
  <si>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</si>
  <si>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</si>
  <si>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</si>
  <si>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</si>
  <si>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</si>
  <si>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</si>
  <si>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</si>
  <si>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</si>
  <si>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</si>
  <si>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</si>
  <si>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</si>
  <si>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</si>
  <si>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</si>
  <si>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</si>
  <si>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</si>
  <si>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</si>
  <si>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</si>
  <si>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</si>
  <si>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</si>
  <si>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</si>
  <si>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</si>
  <si>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</si>
  <si>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</si>
  <si>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</si>
  <si>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</si>
  <si>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</si>
  <si>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</si>
  <si>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</si>
  <si>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</si>
  <si>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</si>
  <si>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</si>
  <si>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</si>
  <si>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</si>
  <si>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</si>
  <si>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</si>
  <si>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</si>
  <si>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</si>
  <si>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</si>
  <si>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</si>
  <si>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</si>
  <si>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</si>
  <si>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</si>
  <si>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</si>
  <si>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</si>
  <si>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</si>
  <si>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</si>
  <si>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</si>
  <si>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</si>
  <si>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</si>
  <si>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</si>
  <si>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</si>
  <si>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</si>
  <si>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</si>
  <si>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</si>
  <si>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</si>
  <si>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</si>
  <si>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</si>
  <si>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</si>
  <si>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</si>
  <si>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</si>
  <si>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</si>
  <si>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</si>
  <si>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</si>
  <si>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</si>
  <si>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</si>
  <si>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</si>
  <si>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</si>
  <si>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</si>
  <si>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</si>
  <si>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</si>
  <si>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</si>
  <si>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</si>
  <si>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</si>
  <si>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</si>
  <si>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</si>
  <si>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</si>
  <si>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</si>
  <si>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</si>
  <si>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</si>
  <si>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</si>
  <si>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</si>
  <si>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</si>
  <si>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</si>
  <si>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</si>
  <si>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</si>
  <si>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</si>
  <si>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</si>
  <si>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</si>
  <si>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</si>
  <si>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</si>
  <si>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</si>
  <si>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</si>
  <si>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</si>
  <si>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</si>
  <si>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</si>
  <si>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</si>
  <si>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</si>
  <si>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</si>
  <si>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</si>
  <si>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</si>
  <si>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</si>
  <si>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</si>
  <si>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</si>
  <si>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</si>
  <si>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</si>
  <si>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</si>
  <si>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</si>
  <si>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</si>
  <si>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</si>
  <si>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</si>
  <si>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</si>
  <si>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</si>
  <si>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</si>
  <si>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</si>
  <si>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</si>
  <si>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</si>
  <si>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</si>
  <si>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</si>
  <si>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</si>
  <si>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</si>
  <si>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</si>
  <si>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</si>
  <si>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</si>
  <si>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</si>
  <si>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</si>
  <si>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</si>
  <si>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</si>
  <si>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</si>
  <si>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2026.1.23</t>
  </si>
  <si>
    <t>上午第三节政治（课前）</t>
  </si>
  <si>
    <t>下午第一节语文</t>
  </si>
  <si>
    <t>2026.3.13</t>
  </si>
  <si>
    <t>下午第二节语文</t>
  </si>
  <si>
    <t>2026.3.18</t>
  </si>
  <si>
    <t>上午第三节政治</t>
  </si>
  <si>
    <t>2026.3.19</t>
  </si>
  <si>
    <t>下午第二节地理</t>
  </si>
  <si>
    <t>2026.3.20</t>
  </si>
  <si>
    <t>上午第四节政治</t>
  </si>
  <si>
    <t>2026.3.23</t>
  </si>
  <si>
    <t>下午第一节物理</t>
  </si>
  <si>
    <t>2026.3.25</t>
  </si>
  <si>
    <t>2026.3.26</t>
  </si>
  <si>
    <t>上午第四节语文</t>
  </si>
  <si>
    <t>2026.3.27</t>
  </si>
  <si>
    <t>2026.3.30</t>
  </si>
  <si>
    <t>2026.3.31</t>
  </si>
  <si>
    <t>下午第一节地理</t>
  </si>
  <si>
    <t>2026.4.2</t>
  </si>
  <si>
    <t>中午物理</t>
  </si>
  <si>
    <t>下午第三节音乐(背生物)</t>
  </si>
  <si>
    <t>2026.4.8</t>
  </si>
  <si>
    <t>2026.4.10</t>
  </si>
  <si>
    <t>2026.4.13</t>
  </si>
  <si>
    <t>上午第二节数学</t>
  </si>
  <si>
    <t>2026.4.14</t>
  </si>
  <si>
    <t>中午语文</t>
  </si>
  <si>
    <t>2026.4.15</t>
  </si>
  <si>
    <t>2026.4.17</t>
  </si>
  <si>
    <t>上午第三节生物</t>
  </si>
  <si>
    <t>座号</t>
  </si>
  <si>
    <t>25 12</t>
  </si>
  <si>
    <t>26 01</t>
  </si>
  <si>
    <t>26 02</t>
  </si>
  <si>
    <t>26 03</t>
  </si>
  <si>
    <t>26 04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</si>
  <si>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</si>
  <si>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</si>
  <si>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</si>
  <si>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</si>
  <si>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</si>
  <si>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</si>
  <si>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</si>
  <si>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</si>
  <si>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请人
个数</t>
  </si>
  <si>
    <t>数学课请人记录</t>
  </si>
  <si>
    <t>请人
次数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</si>
  <si>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</si>
  <si>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</si>
  <si>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</si>
  <si>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</si>
  <si>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</si>
  <si>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</si>
  <si>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</si>
  <si>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</si>
  <si>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</si>
  <si>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</si>
  <si>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</si>
  <si>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</si>
  <si>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</si>
  <si>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</si>
  <si>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</si>
  <si>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</si>
  <si>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</si>
  <si>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</si>
  <si>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</si>
  <si>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</si>
  <si>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</si>
  <si>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</si>
  <si>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</si>
  <si>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</si>
  <si>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</si>
  <si>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</si>
  <si>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</si>
  <si>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</si>
  <si>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</si>
  <si>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</si>
  <si>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</si>
  <si>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</si>
  <si>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</si>
  <si>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</si>
  <si>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</si>
  <si>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</si>
  <si>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</si>
  <si>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</si>
  <si>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</si>
  <si>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</si>
  <si>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</si>
  <si>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</si>
  <si>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</si>
  <si>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</si>
  <si>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</si>
  <si>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</si>
  <si>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</si>
  <si>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</si>
  <si>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</si>
  <si>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</si>
  <si>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</si>
  <si>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</si>
  <si>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</si>
  <si>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</si>
  <si>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</si>
  <si>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</si>
  <si>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</si>
  <si>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</si>
  <si>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</si>
  <si>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</si>
  <si>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</si>
  <si>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</si>
  <si>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</si>
  <si>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</si>
  <si>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</si>
  <si>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</si>
  <si>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</si>
  <si>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</si>
  <si>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</si>
  <si>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</si>
  <si>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</si>
  <si>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</si>
  <si>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</si>
  <si>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</si>
  <si>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</si>
  <si>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</si>
  <si>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</si>
  <si>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</si>
  <si>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</si>
  <si>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</si>
  <si>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</si>
  <si>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</si>
  <si>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</si>
  <si>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</si>
  <si>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</si>
  <si>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</si>
  <si>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</si>
  <si>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</si>
  <si>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</si>
  <si>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</si>
  <si>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</si>
  <si>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</si>
  <si>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</si>
  <si>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</si>
  <si>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</si>
  <si>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</si>
  <si>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</si>
  <si>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</si>
  <si>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</si>
  <si>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</si>
  <si>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</si>
  <si>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</si>
  <si>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</si>
  <si>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</si>
  <si>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</si>
  <si>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</si>
  <si>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</si>
  <si>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</si>
  <si>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</si>
  <si>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</si>
  <si>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</si>
  <si>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</si>
  <si>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</si>
  <si>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</si>
  <si>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</si>
  <si>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</si>
  <si>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</si>
  <si>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</si>
  <si>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</si>
  <si>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</si>
  <si>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</si>
  <si>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</si>
  <si>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</si>
  <si>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</si>
  <si>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</si>
  <si>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</si>
  <si>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</si>
  <si>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</si>
  <si>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</si>
  <si>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</si>
  <si>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</si>
  <si>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</si>
  <si>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</si>
  <si>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</si>
  <si>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</si>
  <si>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</si>
  <si>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</si>
  <si>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</si>
  <si>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</si>
  <si>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</si>
  <si>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</si>
  <si>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</si>
  <si>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</si>
  <si>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</si>
  <si>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</si>
  <si>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</si>
  <si>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</si>
  <si>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</si>
  <si>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</si>
  <si>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</si>
  <si>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</si>
  <si>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</si>
  <si>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少林寺大师兄、金池长老、道长、王维、王柱</t>
  </si>
  <si>
    <t>抽象姐、水仙、海鲜、马猴、monkey brother</t>
  </si>
  <si>
    <t>郭沁涛、国庆节、狗狗</t>
  </si>
  <si>
    <t>喵喵姐</t>
  </si>
  <si>
    <t>木木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</si>
  <si>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</si>
  <si>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</si>
  <si>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</si>
  <si>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</si>
  <si>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</si>
  <si>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</t>
  </si>
  <si>
    <t>玻璃王</t>
  </si>
  <si>
    <t>阿廖</t>
  </si>
  <si>
    <t>骚包</t>
  </si>
  <si>
    <t>阿三哥（印度阿三）</t>
  </si>
  <si>
    <t>映辰大帝、大月亮</t>
  </si>
  <si>
    <t>自豪哥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</si>
  <si>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</si>
  <si>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</si>
  <si>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</si>
  <si>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</si>
  <si>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</si>
  <si>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</si>
  <si>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</si>
  <si>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</si>
  <si>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</si>
  <si>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</si>
  <si>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</si>
  <si>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</si>
  <si>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</si>
  <si>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</t>
  </si>
  <si>
    <t>巨乳、信仰、机长、现在（未来）之星、三江口（源）、孺子、微醺哥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</si>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</sst>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8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20"/>
      <name val="黑体"/>
      <charset val="134"/>
    </font>
    <font>
      <sz val="20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0"/>
      <name val="Times New Roman"/>
      <charset val="134"/>
    </font>
    <font>
      <sz val="11"/>
      <name val="黑体"/>
      <charset val="134"/>
      <scheme val="minor"/>
    </font>
    <font>
      <strike/>
      <sz val="11"/>
      <name val="黑体"/>
      <charset val="134"/>
    </font>
    <font>
      <sz val="11"/>
      <name val="黑体"/>
      <charset val="134"/>
      <scheme val="major"/>
    </font>
    <font>
      <sz val="11"/>
      <name val="华文仿宋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2" fillId="0" borderId="0" applyFont="0" applyFill="0" applyBorder="0" applyAlignment="0" applyProtection="0">
      <alignment vertical="center"/>
    </xf>
    <xf numFmtId="44" fontId="32" fillId="0" borderId="0" applyFont="0" applyFill="0" applyBorder="0" applyAlignment="0" applyProtection="0">
      <alignment vertical="center"/>
    </xf>
    <xf numFmtId="9" fontId="32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2" fontId="32" fillId="0" borderId="0" applyFon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2" fillId="26" borderId="17" applyNumberFormat="0" applyFont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8" applyNumberFormat="0" applyFill="0" applyAlignment="0" applyProtection="0">
      <alignment vertical="center"/>
    </xf>
    <xf numFmtId="0" fontId="40" fillId="0" borderId="19" applyNumberFormat="0" applyFill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27" borderId="20" applyNumberFormat="0" applyAlignment="0" applyProtection="0">
      <alignment vertical="center"/>
    </xf>
    <xf numFmtId="0" fontId="42" fillId="28" borderId="21" applyNumberFormat="0" applyAlignment="0" applyProtection="0">
      <alignment vertical="center"/>
    </xf>
    <xf numFmtId="0" fontId="43" fillId="28" borderId="20" applyNumberFormat="0" applyAlignment="0" applyProtection="0">
      <alignment vertical="center"/>
    </xf>
    <xf numFmtId="0" fontId="44" fillId="29" borderId="22" applyNumberFormat="0" applyAlignment="0" applyProtection="0">
      <alignment vertical="center"/>
    </xf>
    <xf numFmtId="0" fontId="45" fillId="0" borderId="23" applyNumberFormat="0" applyFill="0" applyAlignment="0" applyProtection="0">
      <alignment vertical="center"/>
    </xf>
    <xf numFmtId="0" fontId="46" fillId="0" borderId="24" applyNumberFormat="0" applyFill="0" applyAlignment="0" applyProtection="0">
      <alignment vertical="center"/>
    </xf>
    <xf numFmtId="0" fontId="47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51" fillId="34" borderId="0" applyNumberFormat="0" applyBorder="0" applyAlignment="0" applyProtection="0">
      <alignment vertical="center"/>
    </xf>
    <xf numFmtId="0" fontId="51" fillId="35" borderId="0" applyNumberFormat="0" applyBorder="0" applyAlignment="0" applyProtection="0">
      <alignment vertical="center"/>
    </xf>
    <xf numFmtId="0" fontId="50" fillId="36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51" fillId="38" borderId="0" applyNumberFormat="0" applyBorder="0" applyAlignment="0" applyProtection="0">
      <alignment vertical="center"/>
    </xf>
    <xf numFmtId="0" fontId="51" fillId="39" borderId="0" applyNumberFormat="0" applyBorder="0" applyAlignment="0" applyProtection="0">
      <alignment vertical="center"/>
    </xf>
    <xf numFmtId="0" fontId="50" fillId="40" borderId="0" applyNumberFormat="0" applyBorder="0" applyAlignment="0" applyProtection="0">
      <alignment vertical="center"/>
    </xf>
    <xf numFmtId="0" fontId="50" fillId="41" borderId="0" applyNumberFormat="0" applyBorder="0" applyAlignment="0" applyProtection="0">
      <alignment vertical="center"/>
    </xf>
    <xf numFmtId="0" fontId="51" fillId="42" borderId="0" applyNumberFormat="0" applyBorder="0" applyAlignment="0" applyProtection="0">
      <alignment vertical="center"/>
    </xf>
    <xf numFmtId="0" fontId="51" fillId="43" borderId="0" applyNumberFormat="0" applyBorder="0" applyAlignment="0" applyProtection="0">
      <alignment vertical="center"/>
    </xf>
    <xf numFmtId="0" fontId="50" fillId="44" borderId="0" applyNumberFormat="0" applyBorder="0" applyAlignment="0" applyProtection="0">
      <alignment vertical="center"/>
    </xf>
    <xf numFmtId="0" fontId="50" fillId="45" borderId="0" applyNumberFormat="0" applyBorder="0" applyAlignment="0" applyProtection="0">
      <alignment vertical="center"/>
    </xf>
    <xf numFmtId="0" fontId="51" fillId="46" borderId="0" applyNumberFormat="0" applyBorder="0" applyAlignment="0" applyProtection="0">
      <alignment vertical="center"/>
    </xf>
    <xf numFmtId="0" fontId="51" fillId="47" borderId="0" applyNumberFormat="0" applyBorder="0" applyAlignment="0" applyProtection="0">
      <alignment vertical="center"/>
    </xf>
    <xf numFmtId="0" fontId="50" fillId="48" borderId="0" applyNumberFormat="0" applyBorder="0" applyAlignment="0" applyProtection="0">
      <alignment vertical="center"/>
    </xf>
    <xf numFmtId="0" fontId="50" fillId="49" borderId="0" applyNumberFormat="0" applyBorder="0" applyAlignment="0" applyProtection="0">
      <alignment vertical="center"/>
    </xf>
    <xf numFmtId="0" fontId="51" fillId="50" borderId="0" applyNumberFormat="0" applyBorder="0" applyAlignment="0" applyProtection="0">
      <alignment vertical="center"/>
    </xf>
    <xf numFmtId="0" fontId="51" fillId="51" borderId="0" applyNumberFormat="0" applyBorder="0" applyAlignment="0" applyProtection="0">
      <alignment vertical="center"/>
    </xf>
    <xf numFmtId="0" fontId="50" fillId="52" borderId="0" applyNumberFormat="0" applyBorder="0" applyAlignment="0" applyProtection="0">
      <alignment vertical="center"/>
    </xf>
    <xf numFmtId="0" fontId="50" fillId="53" borderId="0" applyNumberFormat="0" applyBorder="0" applyAlignment="0" applyProtection="0">
      <alignment vertical="center"/>
    </xf>
    <xf numFmtId="0" fontId="51" fillId="54" borderId="0" applyNumberFormat="0" applyBorder="0" applyAlignment="0" applyProtection="0">
      <alignment vertical="center"/>
    </xf>
    <xf numFmtId="0" fontId="51" fillId="55" borderId="0" applyNumberFormat="0" applyBorder="0" applyAlignment="0" applyProtection="0">
      <alignment vertical="center"/>
    </xf>
    <xf numFmtId="0" fontId="50" fillId="56" borderId="0" applyNumberFormat="0" applyBorder="0" applyAlignment="0" applyProtection="0">
      <alignment vertical="center"/>
    </xf>
    <xf numFmtId="0" fontId="52" fillId="0" borderId="0">
      <alignment vertical="center"/>
    </xf>
  </cellStyleXfs>
  <cellXfs count="23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1" fillId="0" borderId="0" xfId="0" applyFont="1" applyAlignment="1">
      <alignment vertical="center" wrapText="1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26" fillId="23" borderId="8" xfId="0" applyFont="1" applyFill="1" applyBorder="1" applyAlignment="1" applyProtection="1">
      <alignment horizontal="center" vertical="center" wrapText="1"/>
    </xf>
    <xf numFmtId="0" fontId="27" fillId="23" borderId="15" xfId="0" applyFont="1" applyFill="1" applyBorder="1" applyAlignment="1" applyProtection="1">
      <alignment horizontal="center" vertical="center" wrapText="1"/>
    </xf>
    <xf numFmtId="0" fontId="27" fillId="23" borderId="9" xfId="0" applyFont="1" applyFill="1" applyBorder="1" applyAlignment="1" applyProtection="1">
      <alignment horizontal="center" vertical="center" wrapText="1"/>
    </xf>
    <xf numFmtId="0" fontId="27" fillId="23" borderId="16" xfId="0" applyFont="1" applyFill="1" applyBorder="1" applyAlignment="1" applyProtection="1">
      <alignment horizontal="center" vertical="center" wrapText="1"/>
    </xf>
    <xf numFmtId="0" fontId="27" fillId="23" borderId="14" xfId="0" applyFont="1" applyFill="1" applyBorder="1" applyAlignment="1" applyProtection="1">
      <alignment horizontal="center" vertical="center" wrapText="1"/>
    </xf>
    <xf numFmtId="0" fontId="27" fillId="23" borderId="13" xfId="0" applyFont="1" applyFill="1" applyBorder="1" applyAlignment="1" applyProtection="1">
      <alignment horizontal="center" vertical="center" wrapText="1"/>
    </xf>
    <xf numFmtId="0" fontId="28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8" fillId="11" borderId="2" xfId="0" applyFont="1" applyFill="1" applyBorder="1" applyAlignment="1">
      <alignment horizontal="center" vertical="center"/>
    </xf>
    <xf numFmtId="0" fontId="28" fillId="11" borderId="7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/>
    </xf>
    <xf numFmtId="0" fontId="28" fillId="11" borderId="5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8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9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30" fillId="0" borderId="0" xfId="0" applyFont="1" applyAlignment="1">
      <alignment horizontal="center" vertical="center" wrapText="1"/>
    </xf>
    <xf numFmtId="0" fontId="31" fillId="8" borderId="1" xfId="0" applyFont="1" applyFill="1" applyBorder="1" applyAlignment="1">
      <alignment horizontal="center" vertical="center" wrapText="1"/>
    </xf>
    <xf numFmtId="0" fontId="31" fillId="5" borderId="1" xfId="0" applyFont="1" applyFill="1" applyBorder="1" applyAlignment="1">
      <alignment horizontal="left" vertical="center" wrapText="1"/>
    </xf>
    <xf numFmtId="0" fontId="30" fillId="6" borderId="1" xfId="0" applyFont="1" applyFill="1" applyBorder="1" applyAlignment="1">
      <alignment vertical="center" wrapText="1"/>
    </xf>
    <xf numFmtId="0" fontId="30" fillId="0" borderId="0" xfId="0" applyFont="1" applyAlignment="1">
      <alignment vertical="center" wrapText="1"/>
    </xf>
    <xf numFmtId="0" fontId="31" fillId="13" borderId="1" xfId="0" applyFont="1" applyFill="1" applyBorder="1" applyAlignment="1">
      <alignment horizontal="center" vertical="center" wrapText="1"/>
    </xf>
    <xf numFmtId="0" fontId="31" fillId="11" borderId="1" xfId="0" applyFont="1" applyFill="1" applyBorder="1" applyAlignment="1">
      <alignment horizontal="center" vertical="center" wrapText="1"/>
    </xf>
    <xf numFmtId="0" fontId="30" fillId="6" borderId="1" xfId="0" applyFont="1" applyFill="1" applyBorder="1" applyAlignment="1">
      <alignment horizontal="center" vertical="center" wrapText="1"/>
    </xf>
    <xf numFmtId="0" fontId="31" fillId="9" borderId="1" xfId="0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left" vertical="center" wrapText="1"/>
    </xf>
    <xf numFmtId="0" fontId="31" fillId="5" borderId="1" xfId="0" applyFont="1" applyFill="1" applyBorder="1" applyAlignment="1">
      <alignment vertical="center" wrapText="1"/>
    </xf>
    <xf numFmtId="0" fontId="31" fillId="5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tabSelected="1" zoomScale="85" zoomScaleNormal="85" topLeftCell="A40" workbookViewId="0">
      <selection activeCell="G45" sqref="G45"/>
    </sheetView>
  </sheetViews>
  <sheetFormatPr defaultColWidth="8.72727272727273" defaultRowHeight="14"/>
  <cols>
    <col min="1" max="1" width="7.59090909090909" style="223" customWidth="1"/>
    <col min="2" max="7" width="25.8727272727273" style="224" customWidth="1"/>
    <col min="8" max="10" width="16.6818181818182" style="225" customWidth="1"/>
    <col min="11" max="16384" width="8.72727272727273" style="226"/>
  </cols>
  <sheetData>
    <row r="1" s="222" customFormat="1" spans="1:10">
      <c r="A1" s="227" t="s">
        <v>0</v>
      </c>
      <c r="B1" s="228" t="s">
        <v>1</v>
      </c>
      <c r="C1" s="228" t="s">
        <v>2</v>
      </c>
      <c r="D1" s="228" t="s">
        <v>3</v>
      </c>
      <c r="E1" s="228" t="s">
        <v>4</v>
      </c>
      <c r="F1" s="228" t="s">
        <v>5</v>
      </c>
      <c r="G1" s="228" t="s">
        <v>6</v>
      </c>
      <c r="H1" s="229"/>
      <c r="I1" s="229"/>
      <c r="J1" s="229"/>
    </row>
    <row r="2" spans="1:10">
      <c r="A2" s="230" t="s">
        <v>7</v>
      </c>
      <c r="B2" s="224" t="s">
        <v>8</v>
      </c>
      <c r="C2" s="224" t="s">
        <v>9</v>
      </c>
    </row>
    <row r="3" ht="52" spans="1:10">
      <c r="A3" s="230" t="s">
        <v>10</v>
      </c>
      <c r="C3" s="224" t="s">
        <v>11</v>
      </c>
      <c r="D3" s="224" t="s">
        <v>12</v>
      </c>
    </row>
    <row r="4" ht="26" spans="1:10">
      <c r="A4" s="230" t="s">
        <v>13</v>
      </c>
      <c r="D4" s="224" t="s">
        <v>14</v>
      </c>
    </row>
    <row r="5" spans="1:10">
      <c r="A5" s="230" t="s">
        <v>15</v>
      </c>
      <c r="C5" s="224" t="s">
        <v>16</v>
      </c>
      <c r="D5" s="224" t="s">
        <v>17</v>
      </c>
    </row>
    <row r="6" spans="1:10">
      <c r="A6" s="230" t="s">
        <v>18</v>
      </c>
      <c r="C6" s="224" t="s">
        <v>19</v>
      </c>
    </row>
    <row r="7" ht="221" spans="1:10">
      <c r="A7" s="230" t="s">
        <v>20</v>
      </c>
      <c r="B7" s="224" t="s">
        <v>21</v>
      </c>
      <c r="C7" s="224" t="s">
        <v>22</v>
      </c>
      <c r="D7" s="224" t="s">
        <v>23</v>
      </c>
    </row>
    <row r="8" ht="26" spans="1:10">
      <c r="A8" s="230" t="s">
        <v>24</v>
      </c>
      <c r="D8" s="224" t="s">
        <v>25</v>
      </c>
    </row>
    <row r="9" spans="1:10">
      <c r="A9" s="230" t="s">
        <v>26</v>
      </c>
    </row>
    <row r="10" spans="1:10">
      <c r="A10" s="230" t="s">
        <v>27</v>
      </c>
      <c r="B10" s="224" t="s">
        <v>28</v>
      </c>
    </row>
    <row r="11" spans="1:10">
      <c r="A11" s="230" t="s">
        <v>29</v>
      </c>
    </row>
    <row r="12" spans="1:10">
      <c r="A12" s="230" t="s">
        <v>30</v>
      </c>
    </row>
    <row r="13" ht="39" spans="1:10">
      <c r="A13" s="230" t="s">
        <v>31</v>
      </c>
      <c r="D13" s="224" t="s">
        <v>32</v>
      </c>
    </row>
    <row r="14" spans="1:10">
      <c r="A14" s="230" t="s">
        <v>33</v>
      </c>
      <c r="B14" s="224" t="s">
        <v>34</v>
      </c>
    </row>
    <row r="15" spans="1:10">
      <c r="A15" s="230" t="s">
        <v>35</v>
      </c>
    </row>
    <row r="16" spans="1:10">
      <c r="A16" s="230" t="s">
        <v>36</v>
      </c>
      <c r="C16" s="224" t="s">
        <v>37</v>
      </c>
    </row>
    <row r="17" ht="26" spans="1:8">
      <c r="A17" s="230" t="s">
        <v>38</v>
      </c>
      <c r="C17" s="224" t="s">
        <v>39</v>
      </c>
    </row>
    <row r="18" spans="1:8">
      <c r="A18" s="230" t="s">
        <v>40</v>
      </c>
      <c r="D18" s="224" t="s">
        <v>41</v>
      </c>
    </row>
    <row r="19" ht="42" spans="1:8">
      <c r="A19" s="230" t="s">
        <v>42</v>
      </c>
      <c r="D19" s="224" t="s">
        <v>43</v>
      </c>
      <c r="H19" s="225" t="s">
        <v>44</v>
      </c>
    </row>
    <row r="20" ht="26" spans="1:8">
      <c r="A20" s="230" t="s">
        <v>45</v>
      </c>
      <c r="B20" s="224" t="s">
        <v>46</v>
      </c>
      <c r="C20" s="224" t="s">
        <v>47</v>
      </c>
    </row>
    <row r="21" ht="52" spans="1:8">
      <c r="A21" s="230" t="s">
        <v>48</v>
      </c>
      <c r="B21" s="224" t="s">
        <v>49</v>
      </c>
      <c r="C21" s="224" t="s">
        <v>50</v>
      </c>
      <c r="D21" s="224" t="s">
        <v>51</v>
      </c>
    </row>
    <row r="22" spans="1:8">
      <c r="A22" s="230" t="s">
        <v>52</v>
      </c>
    </row>
    <row r="23" ht="42" spans="1:8">
      <c r="A23" s="230" t="s">
        <v>53</v>
      </c>
      <c r="B23" s="224" t="s">
        <v>54</v>
      </c>
      <c r="E23" s="224" t="s">
        <v>55</v>
      </c>
      <c r="H23" s="225" t="s">
        <v>56</v>
      </c>
    </row>
    <row r="24" ht="52" spans="1:8">
      <c r="A24" s="230" t="s">
        <v>57</v>
      </c>
      <c r="B24" s="224" t="s">
        <v>58</v>
      </c>
      <c r="C24" s="224" t="s">
        <v>59</v>
      </c>
      <c r="D24" s="224" t="s">
        <v>60</v>
      </c>
      <c r="E24" s="224" t="s">
        <v>61</v>
      </c>
    </row>
    <row r="25" spans="1:8">
      <c r="A25" s="230" t="s">
        <v>62</v>
      </c>
    </row>
    <row r="26" spans="1:8">
      <c r="A26" s="230" t="s">
        <v>63</v>
      </c>
    </row>
    <row r="27" spans="1:8">
      <c r="A27" s="230" t="s">
        <v>64</v>
      </c>
      <c r="B27" s="224" t="s">
        <v>65</v>
      </c>
      <c r="C27" s="224" t="s">
        <v>66</v>
      </c>
    </row>
    <row r="28" ht="91" spans="1:8">
      <c r="A28" s="230" t="s">
        <v>67</v>
      </c>
      <c r="B28" s="224" t="s">
        <v>68</v>
      </c>
      <c r="C28" s="224" t="s">
        <v>69</v>
      </c>
      <c r="D28" s="224" t="s">
        <v>70</v>
      </c>
      <c r="E28" s="224" t="s">
        <v>71</v>
      </c>
    </row>
    <row r="29" spans="1:8">
      <c r="A29" s="230" t="s">
        <v>72</v>
      </c>
      <c r="E29" s="224" t="s">
        <v>73</v>
      </c>
      <c r="H29" s="225" t="s">
        <v>74</v>
      </c>
    </row>
    <row r="30" spans="1:8">
      <c r="A30" s="230" t="s">
        <v>75</v>
      </c>
      <c r="B30" s="224" t="s">
        <v>76</v>
      </c>
      <c r="C30" s="224" t="s">
        <v>77</v>
      </c>
    </row>
    <row r="31" spans="1:8">
      <c r="A31" s="230" t="s">
        <v>78</v>
      </c>
    </row>
    <row r="32" spans="1:8">
      <c r="A32" s="230" t="s">
        <v>79</v>
      </c>
    </row>
    <row r="33" spans="1:10">
      <c r="A33" s="230" t="s">
        <v>80</v>
      </c>
    </row>
    <row r="34" spans="1:10">
      <c r="A34" s="230" t="s">
        <v>81</v>
      </c>
    </row>
    <row r="35" spans="1:10">
      <c r="A35" s="230" t="s">
        <v>82</v>
      </c>
    </row>
    <row r="36" spans="1:10">
      <c r="A36" s="230" t="s">
        <v>83</v>
      </c>
      <c r="B36" s="224" t="s">
        <v>84</v>
      </c>
    </row>
    <row r="37" ht="26" spans="1:10">
      <c r="A37" s="230" t="s">
        <v>85</v>
      </c>
      <c r="C37" s="224" t="s">
        <v>86</v>
      </c>
      <c r="D37" s="224" t="s">
        <v>87</v>
      </c>
    </row>
    <row r="38" spans="1:10">
      <c r="A38" s="230" t="s">
        <v>88</v>
      </c>
      <c r="B38" s="224" t="s">
        <v>89</v>
      </c>
      <c r="C38" s="231"/>
      <c r="D38" s="231"/>
      <c r="E38" s="231"/>
      <c r="F38" s="231"/>
      <c r="G38" s="231"/>
    </row>
    <row r="39" ht="26" spans="1:10">
      <c r="A39" s="230" t="s">
        <v>90</v>
      </c>
      <c r="C39" s="224" t="s">
        <v>91</v>
      </c>
      <c r="D39" s="224" t="s">
        <v>92</v>
      </c>
      <c r="E39" s="224" t="s">
        <v>93</v>
      </c>
    </row>
    <row r="40" ht="252" spans="1:10">
      <c r="A40" s="230" t="s">
        <v>94</v>
      </c>
      <c r="B40" s="224" t="s">
        <v>95</v>
      </c>
      <c r="C40" s="224" t="s">
        <v>96</v>
      </c>
      <c r="D40" s="224" t="s">
        <v>97</v>
      </c>
      <c r="H40" s="225" t="s">
        <v>98</v>
      </c>
    </row>
    <row r="41" ht="208" spans="1:10">
      <c r="A41" s="230" t="s">
        <v>99</v>
      </c>
      <c r="C41" s="224" t="s">
        <v>100</v>
      </c>
      <c r="D41" s="224" t="s">
        <v>101</v>
      </c>
      <c r="E41" s="224" t="s">
        <v>102</v>
      </c>
      <c r="H41" s="225" t="s">
        <v>103</v>
      </c>
      <c r="I41" s="225" t="s">
        <v>104</v>
      </c>
      <c r="J41" s="225" t="s">
        <v>105</v>
      </c>
    </row>
    <row r="42" spans="1:10">
      <c r="A42" s="230" t="s">
        <v>106</v>
      </c>
    </row>
    <row r="43" ht="28" spans="1:10">
      <c r="A43" s="230" t="s">
        <v>107</v>
      </c>
      <c r="B43" s="224" t="s">
        <v>108</v>
      </c>
      <c r="H43" s="225" t="s">
        <v>109</v>
      </c>
    </row>
    <row r="44" ht="26" spans="1:10">
      <c r="A44" s="230" t="s">
        <v>110</v>
      </c>
      <c r="B44" s="224" t="s">
        <v>111</v>
      </c>
    </row>
    <row r="45" ht="26" spans="1:10">
      <c r="A45" s="230" t="s">
        <v>112</v>
      </c>
      <c r="C45" s="224" t="s">
        <v>113</v>
      </c>
      <c r="D45" s="224" t="s">
        <v>114</v>
      </c>
      <c r="E45" s="224" t="s">
        <v>115</v>
      </c>
    </row>
    <row r="46" spans="1:10">
      <c r="A46" s="230" t="s">
        <v>116</v>
      </c>
    </row>
    <row r="47" spans="1:10">
      <c r="A47" s="230" t="s">
        <v>117</v>
      </c>
      <c r="D47" s="224" t="s">
        <v>118</v>
      </c>
    </row>
    <row r="48" ht="42" spans="1:10">
      <c r="A48" s="230" t="s">
        <v>119</v>
      </c>
      <c r="C48" s="224" t="s">
        <v>120</v>
      </c>
      <c r="D48" s="224" t="s">
        <v>121</v>
      </c>
      <c r="H48" s="225" t="s">
        <v>122</v>
      </c>
    </row>
    <row r="49" spans="1:7">
      <c r="A49" s="230" t="s">
        <v>123</v>
      </c>
      <c r="E49" s="224" t="s">
        <v>124</v>
      </c>
    </row>
    <row r="50" ht="78" spans="1:7">
      <c r="A50" s="230" t="s">
        <v>125</v>
      </c>
      <c r="C50" s="224" t="s">
        <v>126</v>
      </c>
    </row>
    <row r="51" spans="1:7">
      <c r="A51" s="230" t="s">
        <v>127</v>
      </c>
    </row>
    <row r="52" ht="26" spans="1:7">
      <c r="A52" s="230" t="s">
        <v>128</v>
      </c>
      <c r="B52" s="224" t="s">
        <v>129</v>
      </c>
      <c r="C52" s="224" t="s">
        <v>130</v>
      </c>
      <c r="E52" s="224" t="s">
        <v>131</v>
      </c>
    </row>
    <row r="53" ht="26" spans="1:7">
      <c r="A53" s="223" t="s">
        <v>132</v>
      </c>
      <c r="B53" s="224" t="s">
        <v>133</v>
      </c>
      <c r="D53" s="231"/>
      <c r="E53" s="231"/>
      <c r="F53" s="231"/>
      <c r="G53" s="231"/>
    </row>
    <row r="54" spans="1:7">
      <c r="A54" s="223" t="s">
        <v>134</v>
      </c>
      <c r="B54" s="224" t="s">
        <v>135</v>
      </c>
      <c r="C54" s="224" t="s">
        <v>136</v>
      </c>
      <c r="D54" s="231"/>
      <c r="E54" s="231"/>
      <c r="F54" s="231"/>
      <c r="G54" s="231"/>
    </row>
    <row r="55" ht="65" spans="1:7">
      <c r="A55" s="223" t="s">
        <v>137</v>
      </c>
      <c r="B55" s="231"/>
      <c r="C55" s="231"/>
      <c r="D55" s="224" t="s">
        <v>138</v>
      </c>
      <c r="E55" s="224" t="s">
        <v>139</v>
      </c>
    </row>
    <row r="56" ht="65" spans="1:7">
      <c r="A56" s="223" t="s">
        <v>140</v>
      </c>
      <c r="B56" s="232" t="s">
        <v>141</v>
      </c>
      <c r="C56" s="232"/>
      <c r="D56" s="224" t="s">
        <v>142</v>
      </c>
    </row>
    <row r="57" ht="117" spans="1:7">
      <c r="A57" s="223" t="s">
        <v>143</v>
      </c>
      <c r="B57" s="232" t="s">
        <v>144</v>
      </c>
      <c r="C57" s="232" t="s">
        <v>145</v>
      </c>
      <c r="D57" s="224" t="s">
        <v>146</v>
      </c>
    </row>
    <row r="58" spans="1:7">
      <c r="A58" s="223" t="s">
        <v>147</v>
      </c>
      <c r="B58" s="224" t="s">
        <v>148</v>
      </c>
      <c r="C58" s="231"/>
      <c r="D58" s="231"/>
      <c r="E58" s="231"/>
      <c r="F58" s="231"/>
      <c r="G58" s="231"/>
    </row>
    <row r="59" spans="1:7">
      <c r="A59" s="223" t="s">
        <v>149</v>
      </c>
      <c r="B59" s="231"/>
      <c r="C59" s="224" t="s">
        <v>150</v>
      </c>
      <c r="D59" s="231"/>
      <c r="E59" s="231"/>
      <c r="F59" s="231"/>
      <c r="G59" s="231"/>
    </row>
    <row r="60" ht="52" spans="1:7">
      <c r="A60" s="223" t="s">
        <v>151</v>
      </c>
      <c r="B60" s="231" t="s">
        <v>152</v>
      </c>
      <c r="C60" s="231"/>
      <c r="D60" s="224" t="s">
        <v>153</v>
      </c>
    </row>
    <row r="61" spans="1:7">
      <c r="A61" s="223" t="s">
        <v>154</v>
      </c>
      <c r="B61" s="232" t="s">
        <v>155</v>
      </c>
      <c r="C61" s="232"/>
      <c r="D61" s="231"/>
      <c r="E61" s="231"/>
      <c r="F61" s="231"/>
      <c r="G61" s="231"/>
    </row>
    <row r="62" ht="52" spans="1:7">
      <c r="A62" s="223" t="s">
        <v>156</v>
      </c>
      <c r="B62" s="231"/>
      <c r="C62" s="231"/>
      <c r="D62" s="224" t="s">
        <v>157</v>
      </c>
      <c r="E62" s="224" t="s">
        <v>158</v>
      </c>
    </row>
    <row r="63" ht="26" spans="1:7">
      <c r="A63" s="223" t="s">
        <v>159</v>
      </c>
      <c r="B63" s="232" t="s">
        <v>160</v>
      </c>
      <c r="C63" s="232" t="s">
        <v>161</v>
      </c>
      <c r="D63" s="231"/>
      <c r="E63" s="231"/>
      <c r="F63" s="231"/>
      <c r="G63" s="231"/>
    </row>
    <row r="64" ht="26" spans="1:7">
      <c r="A64" s="223" t="s">
        <v>162</v>
      </c>
      <c r="B64" s="231"/>
      <c r="C64" s="231"/>
      <c r="D64" s="224" t="s">
        <v>163</v>
      </c>
    </row>
    <row r="65" ht="26" spans="1:7">
      <c r="A65" s="223" t="s">
        <v>164</v>
      </c>
      <c r="B65" s="233" t="s">
        <v>165</v>
      </c>
      <c r="C65" s="231"/>
      <c r="D65" s="231"/>
      <c r="E65" s="231"/>
      <c r="F65" s="231"/>
      <c r="G65" s="231"/>
    </row>
    <row r="66" spans="1:7">
      <c r="A66" s="223" t="s">
        <v>166</v>
      </c>
      <c r="B66" s="231"/>
      <c r="C66" s="224" t="s">
        <v>167</v>
      </c>
      <c r="D66" s="231"/>
      <c r="E66" s="231"/>
      <c r="F66" s="231"/>
      <c r="G66" s="231"/>
    </row>
    <row r="67" spans="1:7">
      <c r="A67" s="223" t="s">
        <v>168</v>
      </c>
      <c r="B67" s="231"/>
      <c r="C67" s="231"/>
    </row>
    <row r="68" ht="78" spans="1:7">
      <c r="A68" s="223" t="s">
        <v>169</v>
      </c>
      <c r="B68" s="231"/>
      <c r="C68" s="231"/>
      <c r="D68" s="224" t="s">
        <v>170</v>
      </c>
    </row>
    <row r="69" spans="1:7">
      <c r="A69" s="223" t="s">
        <v>171</v>
      </c>
      <c r="B69" s="232" t="s">
        <v>172</v>
      </c>
      <c r="C69" s="232"/>
    </row>
    <row r="70" ht="26" spans="1:7">
      <c r="A70" s="223" t="s">
        <v>173</v>
      </c>
      <c r="B70" s="232" t="s">
        <v>174</v>
      </c>
      <c r="C70" s="232"/>
      <c r="D70" s="231"/>
      <c r="E70" s="231"/>
      <c r="F70" s="231"/>
      <c r="G70" s="231"/>
    </row>
    <row r="71" spans="1:7">
      <c r="A71" s="223" t="s">
        <v>175</v>
      </c>
      <c r="B71" s="231"/>
      <c r="C71" s="231"/>
    </row>
    <row r="72" spans="1:7">
      <c r="A72" s="223" t="s">
        <v>176</v>
      </c>
      <c r="B72" s="224" t="s">
        <v>177</v>
      </c>
      <c r="C72" s="224" t="s">
        <v>178</v>
      </c>
      <c r="D72" s="231"/>
      <c r="E72" s="231"/>
      <c r="F72" s="231"/>
      <c r="G72" s="231"/>
    </row>
    <row r="73" spans="1:7">
      <c r="A73" s="223" t="s">
        <v>179</v>
      </c>
      <c r="B73" s="231"/>
      <c r="C73" s="224" t="s">
        <v>180</v>
      </c>
      <c r="D73" s="231"/>
      <c r="E73" s="231"/>
      <c r="F73" s="231"/>
      <c r="G73" s="231"/>
    </row>
    <row r="74" spans="1:7">
      <c r="A74" s="223" t="s">
        <v>181</v>
      </c>
    </row>
    <row r="75" spans="1:7">
      <c r="A75" s="223" t="s">
        <v>182</v>
      </c>
      <c r="D75" s="231"/>
      <c r="E75" s="231"/>
      <c r="F75" s="231"/>
      <c r="G75" s="231"/>
    </row>
    <row r="76" spans="1:7">
      <c r="A76" s="223" t="s">
        <v>183</v>
      </c>
      <c r="B76" s="231"/>
      <c r="C76" s="231"/>
      <c r="D76" s="224" t="s">
        <v>184</v>
      </c>
    </row>
    <row r="77" spans="1:7">
      <c r="A77" s="223" t="s">
        <v>185</v>
      </c>
      <c r="B77" s="232"/>
      <c r="C77" s="232"/>
    </row>
    <row r="78" ht="26" spans="1:7">
      <c r="A78" s="234" t="s">
        <v>186</v>
      </c>
      <c r="B78" s="224" t="s">
        <v>187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7" workbookViewId="0">
      <selection activeCell="B22" sqref="B22"/>
    </sheetView>
  </sheetViews>
  <sheetFormatPr defaultColWidth="8.72727272727273" defaultRowHeight="14" outlineLevelCol="6"/>
  <cols>
    <col min="1" max="1" width="6.64545454545455" style="217" customWidth="1"/>
    <col min="2" max="2" width="32.6181818181818" style="66" customWidth="1"/>
    <col min="3" max="7" width="16.4909090909091" style="66" customWidth="1"/>
    <col min="8" max="16384" width="8.72727272727273" style="218"/>
  </cols>
  <sheetData>
    <row r="1" spans="1:7">
      <c r="A1" s="219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16" customFormat="1" ht="39" spans="1:7">
      <c r="A2" s="220" t="s">
        <v>188</v>
      </c>
      <c r="B2" s="78"/>
      <c r="C2" s="78"/>
      <c r="D2" s="78" t="s">
        <v>189</v>
      </c>
      <c r="E2" s="78"/>
      <c r="F2" s="78"/>
      <c r="G2" s="78"/>
    </row>
    <row r="3" spans="1:7">
      <c r="A3" s="221" t="s">
        <v>190</v>
      </c>
      <c r="C3" s="66" t="s">
        <v>191</v>
      </c>
    </row>
    <row r="4" spans="1:7">
      <c r="A4" s="221" t="s">
        <v>192</v>
      </c>
      <c r="B4" s="66" t="s">
        <v>193</v>
      </c>
      <c r="D4" s="66" t="s">
        <v>194</v>
      </c>
    </row>
    <row r="5" spans="1:7">
      <c r="A5" s="221" t="s">
        <v>195</v>
      </c>
      <c r="C5" s="66" t="s">
        <v>196</v>
      </c>
      <c r="D5" s="66" t="s">
        <v>197</v>
      </c>
    </row>
    <row r="6" spans="1:7">
      <c r="A6" s="221" t="s">
        <v>198</v>
      </c>
      <c r="B6" s="66" t="s">
        <v>199</v>
      </c>
      <c r="D6" s="66" t="s">
        <v>200</v>
      </c>
    </row>
    <row r="7" spans="1:7">
      <c r="A7" s="221" t="s">
        <v>201</v>
      </c>
      <c r="B7" s="66" t="s">
        <v>202</v>
      </c>
    </row>
    <row r="8" spans="1:7">
      <c r="A8" s="221"/>
      <c r="D8" s="66" t="s">
        <v>203</v>
      </c>
    </row>
    <row r="9" spans="1:7">
      <c r="A9" s="221"/>
    </row>
    <row r="10" spans="1:7">
      <c r="A10" s="221"/>
      <c r="B10" s="66" t="s">
        <v>204</v>
      </c>
    </row>
    <row r="11" spans="1:7">
      <c r="A11" s="221"/>
    </row>
    <row r="12" spans="1:7">
      <c r="A12" s="221"/>
      <c r="B12" s="66" t="s">
        <v>205</v>
      </c>
    </row>
    <row r="13" spans="1:7">
      <c r="A13" s="221"/>
      <c r="B13" s="66" t="s">
        <v>206</v>
      </c>
    </row>
    <row r="14" spans="1:7">
      <c r="A14" s="221"/>
      <c r="B14" s="66" t="s">
        <v>207</v>
      </c>
    </row>
    <row r="15" spans="1:7">
      <c r="A15" s="221"/>
      <c r="B15" s="66" t="s">
        <v>208</v>
      </c>
    </row>
    <row r="16" spans="1:7">
      <c r="A16" s="221"/>
      <c r="B16" s="66" t="s">
        <v>209</v>
      </c>
    </row>
    <row r="17" spans="1:2">
      <c r="A17" s="221"/>
      <c r="B17" s="66" t="s">
        <v>210</v>
      </c>
    </row>
    <row r="18" spans="1:2">
      <c r="A18" s="221"/>
      <c r="B18" s="66" t="s">
        <v>211</v>
      </c>
    </row>
    <row r="19" ht="26" spans="1:2">
      <c r="A19" s="221"/>
      <c r="B19" s="78" t="s">
        <v>212</v>
      </c>
    </row>
    <row r="20" spans="1:2">
      <c r="A20" s="221"/>
      <c r="B20" s="66" t="s">
        <v>213</v>
      </c>
    </row>
    <row r="21" spans="1:2">
      <c r="A21" s="221"/>
      <c r="B21" s="66" t="s">
        <v>214</v>
      </c>
    </row>
    <row r="22" spans="1:2">
      <c r="A22" s="221"/>
      <c r="B22" s="66" t="s">
        <v>215</v>
      </c>
    </row>
    <row r="23" spans="1:2">
      <c r="A23" s="221"/>
    </row>
    <row r="24" spans="1:2">
      <c r="A24" s="221"/>
    </row>
    <row r="25" spans="1:2">
      <c r="A25" s="221"/>
    </row>
    <row r="26" spans="1:2">
      <c r="A26" s="221"/>
    </row>
    <row r="27" spans="1:2">
      <c r="A27" s="221"/>
    </row>
    <row r="28" spans="1:2">
      <c r="A28" s="221"/>
    </row>
    <row r="29" spans="1:2">
      <c r="A29" s="221"/>
    </row>
    <row r="30" spans="1:2">
      <c r="A30" s="221"/>
    </row>
    <row r="31" spans="1:2">
      <c r="A31" s="221"/>
    </row>
    <row r="32" spans="1:2">
      <c r="A32" s="221"/>
    </row>
    <row r="33" spans="1:7">
      <c r="A33" s="221"/>
    </row>
    <row r="34" spans="1:7">
      <c r="A34" s="221"/>
    </row>
    <row r="35" spans="1:7">
      <c r="A35" s="221"/>
    </row>
    <row r="36" spans="1:7">
      <c r="A36" s="221"/>
    </row>
    <row r="37" spans="1:7">
      <c r="A37" s="221"/>
    </row>
    <row r="38" spans="1:7">
      <c r="A38" s="221"/>
      <c r="B38" s="78"/>
      <c r="C38" s="78"/>
      <c r="D38" s="78"/>
      <c r="E38" s="78"/>
      <c r="F38" s="78"/>
      <c r="G38" s="78"/>
    </row>
    <row r="39" spans="1:7">
      <c r="A39" s="221"/>
      <c r="B39" s="78"/>
      <c r="C39" s="78"/>
      <c r="D39" s="78"/>
      <c r="E39" s="78"/>
      <c r="F39" s="78"/>
      <c r="G39" s="78"/>
    </row>
    <row r="40" spans="1:7">
      <c r="A40" s="221"/>
    </row>
    <row r="41" spans="1:7">
      <c r="A41" s="221"/>
    </row>
    <row r="42" spans="1:7">
      <c r="A42" s="221"/>
    </row>
    <row r="43" spans="1:7">
      <c r="A43" s="221"/>
    </row>
    <row r="44" spans="1:7">
      <c r="A44" s="221"/>
    </row>
    <row r="45" spans="1:7">
      <c r="A45" s="221"/>
    </row>
    <row r="46" spans="1:7">
      <c r="A46" s="221"/>
    </row>
    <row r="47" spans="1:7">
      <c r="A47" s="221"/>
    </row>
    <row r="48" spans="1:7">
      <c r="A48" s="221"/>
    </row>
    <row r="49" spans="1:1">
      <c r="A49" s="221"/>
    </row>
    <row r="50" spans="1:1">
      <c r="A50" s="221"/>
    </row>
    <row r="51" spans="1:1">
      <c r="A51" s="221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68"/>
  <sheetViews>
    <sheetView workbookViewId="0">
      <pane ySplit="1" topLeftCell="A50" activePane="bottomLeft" state="frozen"/>
      <selection/>
      <selection pane="bottomLeft" activeCell="C65" sqref="C65"/>
    </sheetView>
  </sheetViews>
  <sheetFormatPr defaultColWidth="8.72727272727273" defaultRowHeight="14" outlineLevelCol="2"/>
  <cols>
    <col min="1" max="1" width="24" style="207" customWidth="1"/>
    <col min="2" max="2" width="10.6363636363636" style="207" customWidth="1"/>
    <col min="3" max="3" width="91.3636363636364" style="207" customWidth="1"/>
    <col min="4" max="16384" width="8.72727272727273" style="92"/>
  </cols>
  <sheetData>
    <row r="1" s="206" customFormat="1" ht="15" spans="1:3">
      <c r="A1" s="208" t="s">
        <v>216</v>
      </c>
      <c r="B1" s="208" t="s">
        <v>217</v>
      </c>
      <c r="C1" s="208" t="s">
        <v>218</v>
      </c>
    </row>
    <row r="2" spans="1:3">
      <c r="A2" s="209" t="s">
        <v>219</v>
      </c>
      <c r="B2" s="209" t="s">
        <v>220</v>
      </c>
      <c r="C2" s="209" t="s">
        <v>221</v>
      </c>
    </row>
    <row r="3" spans="1:3">
      <c r="A3" s="209" t="s">
        <v>222</v>
      </c>
      <c r="B3" s="209" t="s">
        <v>223</v>
      </c>
      <c r="C3" s="209" t="s">
        <v>224</v>
      </c>
    </row>
    <row r="4" spans="1:3">
      <c r="A4" s="209" t="s">
        <v>225</v>
      </c>
      <c r="B4" s="209" t="s">
        <v>223</v>
      </c>
      <c r="C4" s="209" t="s">
        <v>226</v>
      </c>
    </row>
    <row r="5" ht="56" spans="1:3">
      <c r="A5" s="210" t="s">
        <v>227</v>
      </c>
      <c r="B5" s="209" t="s">
        <v>228</v>
      </c>
      <c r="C5" s="209" t="s">
        <v>229</v>
      </c>
    </row>
    <row r="6" ht="28" spans="1:3">
      <c r="A6" s="211"/>
      <c r="B6" s="209" t="s">
        <v>230</v>
      </c>
      <c r="C6" s="209" t="s">
        <v>231</v>
      </c>
    </row>
    <row r="7" spans="1:3">
      <c r="A7" s="212" t="s">
        <v>99</v>
      </c>
      <c r="B7" s="209" t="s">
        <v>232</v>
      </c>
      <c r="C7" s="209" t="s">
        <v>233</v>
      </c>
    </row>
    <row r="8" ht="140" spans="1:3">
      <c r="A8" s="212"/>
      <c r="B8" s="209" t="s">
        <v>234</v>
      </c>
      <c r="C8" s="209" t="s">
        <v>235</v>
      </c>
    </row>
    <row r="9" spans="1:3">
      <c r="A9" s="212"/>
      <c r="B9" s="209" t="s">
        <v>236</v>
      </c>
      <c r="C9" s="209" t="s">
        <v>237</v>
      </c>
    </row>
    <row r="10" spans="1:3">
      <c r="A10" s="212"/>
      <c r="B10" s="209" t="s">
        <v>238</v>
      </c>
      <c r="C10" s="209" t="s">
        <v>239</v>
      </c>
    </row>
    <row r="11" spans="1:3">
      <c r="A11" s="212"/>
      <c r="B11" s="209"/>
      <c r="C11" s="209"/>
    </row>
    <row r="12" spans="1:3">
      <c r="A12" s="212"/>
      <c r="B12" s="209"/>
      <c r="C12" s="209"/>
    </row>
    <row r="13" spans="1:3">
      <c r="A13" s="212"/>
      <c r="B13" s="209"/>
      <c r="C13" s="209"/>
    </row>
    <row r="14" spans="1:3">
      <c r="A14" s="213"/>
      <c r="B14" s="209"/>
      <c r="C14" s="209"/>
    </row>
    <row r="15" spans="1:3">
      <c r="A15" s="209" t="s">
        <v>240</v>
      </c>
      <c r="B15" s="209" t="s">
        <v>241</v>
      </c>
      <c r="C15" s="209" t="s">
        <v>242</v>
      </c>
    </row>
    <row r="16" spans="1:3">
      <c r="A16" s="209" t="s">
        <v>243</v>
      </c>
      <c r="B16" s="209" t="s">
        <v>244</v>
      </c>
      <c r="C16" s="209" t="s">
        <v>245</v>
      </c>
    </row>
    <row r="17" spans="1:3">
      <c r="A17" s="209" t="s">
        <v>246</v>
      </c>
      <c r="B17" s="209" t="s">
        <v>247</v>
      </c>
      <c r="C17" s="214">
        <v>0.440972222222222</v>
      </c>
    </row>
    <row r="18" spans="1:3">
      <c r="A18" s="215" t="s">
        <v>67</v>
      </c>
      <c r="B18" s="209" t="s">
        <v>248</v>
      </c>
      <c r="C18" s="209" t="s">
        <v>249</v>
      </c>
    </row>
    <row r="19" spans="1:3">
      <c r="A19" s="212"/>
      <c r="B19" s="209" t="s">
        <v>250</v>
      </c>
      <c r="C19" s="209" t="s">
        <v>251</v>
      </c>
    </row>
    <row r="20" ht="56" spans="1:3">
      <c r="A20" s="212"/>
      <c r="B20" s="209" t="s">
        <v>252</v>
      </c>
      <c r="C20" s="209" t="s">
        <v>253</v>
      </c>
    </row>
    <row r="21" spans="1:3">
      <c r="A21" s="212"/>
      <c r="B21" s="209" t="s">
        <v>254</v>
      </c>
      <c r="C21" s="209" t="s">
        <v>255</v>
      </c>
    </row>
    <row r="22" ht="28" spans="1:3">
      <c r="A22" s="212"/>
      <c r="B22" s="209" t="s">
        <v>256</v>
      </c>
      <c r="C22" s="209" t="s">
        <v>257</v>
      </c>
    </row>
    <row r="23" spans="1:3">
      <c r="A23" s="212"/>
      <c r="B23" s="209" t="s">
        <v>258</v>
      </c>
      <c r="C23" s="209" t="s">
        <v>259</v>
      </c>
    </row>
    <row r="24" spans="1:3">
      <c r="A24" s="212"/>
      <c r="B24" s="209" t="s">
        <v>260</v>
      </c>
      <c r="C24" s="209" t="s">
        <v>261</v>
      </c>
    </row>
    <row r="25" spans="1:3">
      <c r="A25" s="212"/>
      <c r="B25" s="209" t="s">
        <v>262</v>
      </c>
      <c r="C25" s="209" t="s">
        <v>263</v>
      </c>
    </row>
    <row r="26" spans="1:3">
      <c r="A26" s="212"/>
      <c r="B26" s="209" t="s">
        <v>260</v>
      </c>
      <c r="C26" s="209" t="s">
        <v>264</v>
      </c>
    </row>
    <row r="27" spans="1:3">
      <c r="A27" s="212"/>
      <c r="B27" s="209"/>
      <c r="C27" s="209"/>
    </row>
    <row r="28" spans="1:3">
      <c r="A28" s="212"/>
      <c r="B28" s="209"/>
      <c r="C28" s="209"/>
    </row>
    <row r="29" spans="1:3">
      <c r="A29" s="212"/>
      <c r="B29" s="209"/>
      <c r="C29" s="209"/>
    </row>
    <row r="30" spans="1:3">
      <c r="A30" s="212"/>
      <c r="B30" s="209"/>
      <c r="C30" s="209"/>
    </row>
    <row r="31" spans="1:3">
      <c r="A31" s="212"/>
      <c r="B31" s="209"/>
      <c r="C31" s="209"/>
    </row>
    <row r="32" spans="1:3">
      <c r="A32" s="212"/>
      <c r="B32" s="209"/>
      <c r="C32" s="209"/>
    </row>
    <row r="33" spans="1:3">
      <c r="A33" s="212"/>
      <c r="B33" s="209"/>
      <c r="C33" s="209"/>
    </row>
    <row r="34" spans="1:3">
      <c r="A34" s="210" t="s">
        <v>265</v>
      </c>
      <c r="B34" s="209" t="s">
        <v>250</v>
      </c>
      <c r="C34" s="209" t="s">
        <v>266</v>
      </c>
    </row>
    <row r="35" spans="1:3">
      <c r="A35" s="211"/>
      <c r="B35" s="209" t="s">
        <v>267</v>
      </c>
      <c r="C35" s="209" t="s">
        <v>268</v>
      </c>
    </row>
    <row r="36" ht="28" spans="1:3">
      <c r="A36" s="215" t="s">
        <v>269</v>
      </c>
      <c r="B36" s="209" t="s">
        <v>270</v>
      </c>
      <c r="C36" s="209" t="s">
        <v>271</v>
      </c>
    </row>
    <row r="37" spans="1:3">
      <c r="A37" s="212"/>
      <c r="B37" s="209" t="s">
        <v>234</v>
      </c>
      <c r="C37" s="209" t="s">
        <v>272</v>
      </c>
    </row>
    <row r="38" spans="1:3">
      <c r="A38" s="212"/>
      <c r="B38" s="209" t="s">
        <v>273</v>
      </c>
      <c r="C38" s="209" t="s">
        <v>274</v>
      </c>
    </row>
    <row r="39" spans="1:3">
      <c r="A39" s="212"/>
      <c r="B39" s="209"/>
      <c r="C39" s="209"/>
    </row>
    <row r="40" spans="1:3">
      <c r="A40" s="210" t="s">
        <v>275</v>
      </c>
      <c r="B40" s="209" t="s">
        <v>276</v>
      </c>
      <c r="C40" s="209" t="s">
        <v>277</v>
      </c>
    </row>
    <row r="41" spans="1:3">
      <c r="A41" s="211"/>
      <c r="B41" s="209" t="s">
        <v>232</v>
      </c>
      <c r="C41" s="209" t="s">
        <v>278</v>
      </c>
    </row>
    <row r="42" ht="28" spans="1:3">
      <c r="A42" s="215" t="s">
        <v>48</v>
      </c>
      <c r="B42" s="209" t="s">
        <v>232</v>
      </c>
      <c r="C42" s="209" t="s">
        <v>279</v>
      </c>
    </row>
    <row r="43" spans="1:3">
      <c r="A43" s="212"/>
      <c r="B43" s="207" t="s">
        <v>280</v>
      </c>
      <c r="C43" s="207" t="s">
        <v>281</v>
      </c>
    </row>
    <row r="44" spans="1:3">
      <c r="A44" s="212"/>
      <c r="B44" s="207" t="s">
        <v>254</v>
      </c>
      <c r="C44" s="207" t="s">
        <v>282</v>
      </c>
    </row>
    <row r="45" spans="1:3">
      <c r="A45" s="212"/>
      <c r="B45" s="207" t="s">
        <v>260</v>
      </c>
      <c r="C45" s="207" t="s">
        <v>283</v>
      </c>
    </row>
    <row r="46" ht="28" spans="1:3">
      <c r="A46" s="212"/>
      <c r="B46" s="207" t="s">
        <v>260</v>
      </c>
      <c r="C46" s="207" t="s">
        <v>284</v>
      </c>
    </row>
    <row r="47" spans="1:3">
      <c r="A47" s="212"/>
    </row>
    <row r="48" ht="98" spans="1:3">
      <c r="A48" s="215" t="s">
        <v>285</v>
      </c>
      <c r="B48" s="207" t="s">
        <v>232</v>
      </c>
      <c r="C48" s="207" t="s">
        <v>286</v>
      </c>
    </row>
    <row r="49" ht="84" spans="1:3">
      <c r="A49" s="212"/>
      <c r="B49" s="207" t="s">
        <v>287</v>
      </c>
      <c r="C49" s="207" t="s">
        <v>288</v>
      </c>
    </row>
    <row r="50" ht="28" spans="1:3">
      <c r="A50" s="213"/>
      <c r="B50" s="207" t="s">
        <v>289</v>
      </c>
      <c r="C50" s="207" t="s">
        <v>290</v>
      </c>
    </row>
    <row r="51" spans="1:3">
      <c r="A51" s="207" t="s">
        <v>38</v>
      </c>
      <c r="B51" s="207" t="s">
        <v>291</v>
      </c>
      <c r="C51" s="207" t="s">
        <v>292</v>
      </c>
    </row>
    <row r="52" spans="1:3">
      <c r="A52" s="215" t="s">
        <v>293</v>
      </c>
      <c r="B52" s="207" t="s">
        <v>234</v>
      </c>
      <c r="C52" s="207" t="s">
        <v>294</v>
      </c>
    </row>
    <row r="53" spans="1:3">
      <c r="A53" s="213"/>
      <c r="B53" s="207" t="s">
        <v>287</v>
      </c>
      <c r="C53" s="207" t="s">
        <v>295</v>
      </c>
    </row>
    <row r="54" spans="1:3">
      <c r="A54" s="207" t="s">
        <v>57</v>
      </c>
      <c r="B54" s="207" t="s">
        <v>236</v>
      </c>
      <c r="C54" s="207" t="s">
        <v>296</v>
      </c>
    </row>
    <row r="55" spans="1:3">
      <c r="A55" s="215" t="s">
        <v>297</v>
      </c>
      <c r="B55" s="207" t="s">
        <v>298</v>
      </c>
      <c r="C55" s="207" t="s">
        <v>299</v>
      </c>
    </row>
    <row r="56" spans="1:3">
      <c r="A56" s="213"/>
      <c r="B56" s="207" t="s">
        <v>260</v>
      </c>
      <c r="C56" s="207" t="s">
        <v>300</v>
      </c>
    </row>
    <row r="57" spans="1:3">
      <c r="A57" s="207" t="s">
        <v>301</v>
      </c>
      <c r="B57" s="207" t="s">
        <v>302</v>
      </c>
      <c r="C57" s="207" t="s">
        <v>303</v>
      </c>
    </row>
    <row r="58" spans="1:3">
      <c r="A58" s="207" t="s">
        <v>10</v>
      </c>
      <c r="B58" s="207" t="s">
        <v>287</v>
      </c>
      <c r="C58" s="207" t="s">
        <v>304</v>
      </c>
    </row>
    <row r="59" spans="1:3">
      <c r="A59" s="207" t="s">
        <v>305</v>
      </c>
      <c r="B59" s="207" t="s">
        <v>306</v>
      </c>
      <c r="C59" s="207" t="s">
        <v>307</v>
      </c>
    </row>
    <row r="60" spans="1:3">
      <c r="A60" s="207" t="s">
        <v>308</v>
      </c>
      <c r="B60" s="207" t="s">
        <v>309</v>
      </c>
      <c r="C60" s="207" t="s">
        <v>310</v>
      </c>
    </row>
    <row r="61" spans="1:3">
      <c r="A61" s="207" t="s">
        <v>311</v>
      </c>
      <c r="B61" s="207" t="s">
        <v>309</v>
      </c>
      <c r="C61" s="207" t="s">
        <v>312</v>
      </c>
    </row>
    <row r="62" spans="1:3">
      <c r="A62" s="207" t="s">
        <v>313</v>
      </c>
      <c r="B62" s="207" t="s">
        <v>256</v>
      </c>
      <c r="C62" s="207" t="s">
        <v>314</v>
      </c>
    </row>
    <row r="63" ht="28" spans="1:3">
      <c r="A63" s="207" t="s">
        <v>315</v>
      </c>
      <c r="B63" s="207" t="s">
        <v>289</v>
      </c>
      <c r="C63" s="207" t="s">
        <v>316</v>
      </c>
    </row>
    <row r="64" ht="28" spans="1:3">
      <c r="A64" s="207" t="s">
        <v>317</v>
      </c>
      <c r="B64" s="207" t="s">
        <v>289</v>
      </c>
      <c r="C64" s="207" t="s">
        <v>318</v>
      </c>
    </row>
    <row r="65" ht="140" spans="1:3">
      <c r="A65" s="207" t="s">
        <v>319</v>
      </c>
      <c r="B65" s="207" t="s">
        <v>320</v>
      </c>
      <c r="C65" s="207" t="s">
        <v>321</v>
      </c>
    </row>
    <row r="66" spans="1:3">
      <c r="A66" s="207" t="s">
        <v>10</v>
      </c>
      <c r="B66" s="207" t="s">
        <v>258</v>
      </c>
      <c r="C66" s="207" t="s">
        <v>322</v>
      </c>
    </row>
    <row r="67" spans="1:3">
      <c r="A67" s="207" t="s">
        <v>323</v>
      </c>
      <c r="B67" s="207" t="s">
        <v>324</v>
      </c>
      <c r="C67" s="207" t="s">
        <v>325</v>
      </c>
    </row>
    <row r="68" spans="1:3">
      <c r="A68" s="207" t="s">
        <v>326</v>
      </c>
      <c r="B68" s="207" t="s">
        <v>327</v>
      </c>
      <c r="C68" s="207" t="s">
        <v>328</v>
      </c>
    </row>
  </sheetData>
  <mergeCells count="10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29"/>
  <sheetViews>
    <sheetView zoomScale="190" zoomScaleNormal="190" workbookViewId="0">
      <pane ySplit="1" topLeftCell="A2" activePane="bottomLeft" state="frozen"/>
      <selection/>
      <selection pane="bottomLeft" activeCell="G20" sqref="G20"/>
    </sheetView>
  </sheetViews>
  <sheetFormatPr defaultColWidth="8.72727272727273" defaultRowHeight="14" outlineLevelCol="6"/>
  <cols>
    <col min="1" max="1" width="9.54545454545454" style="114"/>
    <col min="2" max="2" width="3.54545454545455" style="114" customWidth="1"/>
    <col min="3" max="3" width="4.27272727272727" style="114" customWidth="1"/>
    <col min="4" max="4" width="3.45454545454545" style="114" customWidth="1"/>
    <col min="5" max="5" width="8.72727272727273" style="197"/>
    <col min="6" max="6" width="9.52727272727273" style="114" customWidth="1"/>
    <col min="7" max="7" width="22.8181818181818" style="114" customWidth="1"/>
    <col min="8" max="16384" width="8.72727272727273" style="4"/>
  </cols>
  <sheetData>
    <row r="1" s="195" customFormat="1" ht="15" spans="1:7">
      <c r="A1" s="198" t="s">
        <v>329</v>
      </c>
      <c r="B1" s="199"/>
      <c r="C1" s="199"/>
      <c r="D1" s="200"/>
      <c r="E1" s="201"/>
      <c r="F1" s="195" t="s">
        <v>330</v>
      </c>
    </row>
    <row r="2" s="196" customFormat="1" spans="1:7">
      <c r="A2" s="134" t="s">
        <v>217</v>
      </c>
      <c r="B2" s="136"/>
      <c r="C2" s="114" t="s">
        <v>331</v>
      </c>
      <c r="D2" s="114" t="s">
        <v>332</v>
      </c>
      <c r="E2" s="137"/>
      <c r="F2" s="114" t="s">
        <v>217</v>
      </c>
      <c r="G2" s="114" t="s">
        <v>333</v>
      </c>
    </row>
    <row r="3" spans="1:7">
      <c r="A3" s="202">
        <v>2025.1</v>
      </c>
      <c r="B3" s="114">
        <v>11</v>
      </c>
      <c r="C3" s="114">
        <v>113</v>
      </c>
      <c r="F3" s="114" t="s">
        <v>334</v>
      </c>
      <c r="G3" s="114" t="s">
        <v>335</v>
      </c>
    </row>
    <row r="4" spans="1:7">
      <c r="A4" s="203"/>
      <c r="B4" s="114">
        <v>15</v>
      </c>
      <c r="C4" s="114">
        <v>163</v>
      </c>
      <c r="F4" s="114" t="s">
        <v>336</v>
      </c>
      <c r="G4" s="114" t="s">
        <v>337</v>
      </c>
    </row>
    <row r="5" spans="1:7">
      <c r="A5" s="203"/>
      <c r="B5" s="114">
        <v>17</v>
      </c>
      <c r="C5" s="114">
        <v>158</v>
      </c>
      <c r="F5" s="114" t="s">
        <v>338</v>
      </c>
      <c r="G5" s="114" t="s">
        <v>339</v>
      </c>
    </row>
    <row r="6" spans="1:7">
      <c r="A6" s="203"/>
      <c r="B6" s="114">
        <v>22</v>
      </c>
      <c r="C6" s="114">
        <v>70</v>
      </c>
      <c r="F6" s="204" t="s">
        <v>340</v>
      </c>
      <c r="G6" s="114" t="s">
        <v>341</v>
      </c>
    </row>
    <row r="7" spans="1:7">
      <c r="A7" s="203"/>
      <c r="B7" s="114">
        <v>24</v>
      </c>
      <c r="C7" s="114">
        <v>180</v>
      </c>
      <c r="F7" s="205"/>
      <c r="G7" s="114" t="s">
        <v>342</v>
      </c>
    </row>
    <row r="8" spans="1:7">
      <c r="A8" s="203"/>
      <c r="B8" s="114">
        <v>29</v>
      </c>
      <c r="C8" s="114">
        <v>135</v>
      </c>
      <c r="F8" s="114" t="s">
        <v>343</v>
      </c>
      <c r="G8" s="114" t="s">
        <v>344</v>
      </c>
    </row>
    <row r="9" spans="1:7">
      <c r="A9" s="205"/>
      <c r="B9" s="114">
        <v>31</v>
      </c>
      <c r="C9" s="114">
        <v>89</v>
      </c>
      <c r="F9" s="114" t="s">
        <v>345</v>
      </c>
      <c r="G9" s="114" t="s">
        <v>346</v>
      </c>
    </row>
    <row r="10" spans="1:7">
      <c r="A10" s="204">
        <v>2025.11</v>
      </c>
      <c r="B10" s="114">
        <v>5</v>
      </c>
      <c r="C10" s="114">
        <v>118</v>
      </c>
      <c r="F10" s="114" t="s">
        <v>347</v>
      </c>
      <c r="G10" s="114" t="s">
        <v>348</v>
      </c>
    </row>
    <row r="11" spans="1:7">
      <c r="A11" s="203"/>
      <c r="B11" s="114">
        <v>7</v>
      </c>
      <c r="C11" s="114">
        <v>119</v>
      </c>
      <c r="F11" s="204" t="s">
        <v>349</v>
      </c>
      <c r="G11" s="114" t="s">
        <v>350</v>
      </c>
    </row>
    <row r="12" spans="1:7">
      <c r="A12" s="205"/>
      <c r="B12" s="114">
        <v>14</v>
      </c>
      <c r="C12" s="114">
        <v>63</v>
      </c>
      <c r="F12" s="203"/>
      <c r="G12" s="114" t="s">
        <v>342</v>
      </c>
    </row>
    <row r="13" spans="1:7">
      <c r="A13" s="204">
        <v>2025.12</v>
      </c>
      <c r="B13" s="114">
        <v>26</v>
      </c>
      <c r="C13" s="114">
        <v>225</v>
      </c>
      <c r="D13" s="114">
        <v>74</v>
      </c>
      <c r="F13" s="205"/>
      <c r="G13" s="114" t="s">
        <v>344</v>
      </c>
    </row>
    <row r="14" spans="1:7">
      <c r="A14" s="205"/>
      <c r="B14" s="114">
        <v>31</v>
      </c>
      <c r="C14" s="114">
        <v>119</v>
      </c>
      <c r="D14" s="114">
        <v>38</v>
      </c>
      <c r="F14" s="114" t="s">
        <v>351</v>
      </c>
      <c r="G14" s="114" t="s">
        <v>352</v>
      </c>
    </row>
    <row r="15" spans="1:7">
      <c r="A15" s="114" t="s">
        <v>349</v>
      </c>
      <c r="C15" s="114">
        <v>15</v>
      </c>
      <c r="F15" s="114" t="s">
        <v>353</v>
      </c>
      <c r="G15" s="114" t="s">
        <v>346</v>
      </c>
    </row>
    <row r="16" spans="1:7">
      <c r="A16" s="114" t="s">
        <v>353</v>
      </c>
      <c r="C16" s="114">
        <v>6</v>
      </c>
      <c r="F16" s="114" t="s">
        <v>354</v>
      </c>
      <c r="G16" s="114" t="s">
        <v>355</v>
      </c>
    </row>
    <row r="17" spans="1:7">
      <c r="A17" s="114" t="s">
        <v>356</v>
      </c>
      <c r="C17" s="114">
        <v>17</v>
      </c>
      <c r="F17" s="114" t="s">
        <v>356</v>
      </c>
      <c r="G17" s="114" t="s">
        <v>344</v>
      </c>
    </row>
    <row r="18" spans="1:7">
      <c r="F18" s="114" t="s">
        <v>357</v>
      </c>
      <c r="G18" s="114" t="s">
        <v>346</v>
      </c>
    </row>
    <row r="19" spans="1:7">
      <c r="F19" s="114" t="s">
        <v>358</v>
      </c>
      <c r="G19" s="114" t="s">
        <v>359</v>
      </c>
    </row>
    <row r="20" spans="1:7">
      <c r="F20" s="204" t="s">
        <v>360</v>
      </c>
      <c r="G20" s="114" t="s">
        <v>361</v>
      </c>
    </row>
    <row r="21" spans="1:7">
      <c r="F21" s="205"/>
      <c r="G21" s="114" t="s">
        <v>362</v>
      </c>
    </row>
    <row r="22" spans="1:7">
      <c r="F22" s="114" t="s">
        <v>363</v>
      </c>
      <c r="G22" s="114" t="s">
        <v>346</v>
      </c>
    </row>
    <row r="23" spans="1:7">
      <c r="F23" s="114" t="s">
        <v>364</v>
      </c>
      <c r="G23" s="114" t="s">
        <v>344</v>
      </c>
    </row>
    <row r="24" spans="1:7">
      <c r="F24" s="114" t="s">
        <v>365</v>
      </c>
      <c r="G24" s="114" t="s">
        <v>366</v>
      </c>
    </row>
    <row r="25" spans="1:7">
      <c r="F25" s="114" t="s">
        <v>367</v>
      </c>
      <c r="G25" s="114" t="s">
        <v>368</v>
      </c>
    </row>
    <row r="26" spans="1:7">
      <c r="F26" s="114" t="s">
        <v>369</v>
      </c>
      <c r="G26" s="114" t="s">
        <v>346</v>
      </c>
    </row>
    <row r="27" spans="1:7">
      <c r="F27" s="204" t="s">
        <v>370</v>
      </c>
      <c r="G27" s="114" t="s">
        <v>371</v>
      </c>
    </row>
    <row r="28" spans="1:7">
      <c r="F28" s="203"/>
      <c r="G28" s="114" t="s">
        <v>350</v>
      </c>
    </row>
    <row r="29" spans="1:7">
      <c r="F29" s="205"/>
      <c r="G29" s="114" t="s">
        <v>344</v>
      </c>
    </row>
  </sheetData>
  <mergeCells count="10">
    <mergeCell ref="A1:D1"/>
    <mergeCell ref="F1:G1"/>
    <mergeCell ref="A2:B2"/>
    <mergeCell ref="A3:A9"/>
    <mergeCell ref="A10:A12"/>
    <mergeCell ref="A13:A14"/>
    <mergeCell ref="F6:F7"/>
    <mergeCell ref="F11:F13"/>
    <mergeCell ref="F20:F21"/>
    <mergeCell ref="F27:F29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CJ57"/>
  <sheetViews>
    <sheetView zoomScale="55" zoomScaleNormal="55" workbookViewId="0">
      <pane xSplit="1" ySplit="2" topLeftCell="E3" activePane="bottomRight" state="frozen"/>
      <selection/>
      <selection pane="topRight"/>
      <selection pane="bottomLeft"/>
      <selection pane="bottomRight" activeCell="CM22" sqref="CM22"/>
    </sheetView>
  </sheetViews>
  <sheetFormatPr defaultColWidth="8.72727272727273" defaultRowHeight="14"/>
  <cols>
    <col min="1" max="1" width="4.96363636363636" customWidth="1"/>
    <col min="2" max="81" width="3.23636363636364" customWidth="1"/>
    <col min="82" max="84" width="5.44545454545455" style="171" customWidth="1"/>
    <col min="85" max="85" width="7.18181818181818" style="171" customWidth="1"/>
    <col min="86" max="88" width="5.44545454545455" style="171" customWidth="1"/>
  </cols>
  <sheetData>
    <row r="1" spans="1:88">
      <c r="A1" s="172" t="s">
        <v>372</v>
      </c>
      <c r="B1" s="173" t="s">
        <v>373</v>
      </c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5" t="s">
        <v>374</v>
      </c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76"/>
      <c r="AH1" s="176"/>
      <c r="AI1" s="176"/>
      <c r="AJ1" s="175" t="s">
        <v>375</v>
      </c>
      <c r="AK1" s="176"/>
      <c r="AL1" s="176"/>
      <c r="AM1" s="175" t="s">
        <v>376</v>
      </c>
      <c r="AN1" s="176"/>
      <c r="AO1" s="176"/>
      <c r="AP1" s="176"/>
      <c r="AQ1" s="176"/>
      <c r="AR1" s="176"/>
      <c r="AS1" s="176"/>
      <c r="AT1" s="176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 t="s">
        <v>377</v>
      </c>
      <c r="BJ1" s="176"/>
      <c r="BK1" s="176"/>
      <c r="BL1" s="176"/>
      <c r="BM1" s="176"/>
      <c r="BN1" s="176"/>
      <c r="BO1" s="176"/>
      <c r="BP1" s="176"/>
      <c r="BQ1" s="176"/>
      <c r="BR1" s="176"/>
      <c r="BS1" s="176"/>
      <c r="BT1" s="176"/>
      <c r="BU1" s="176"/>
      <c r="BV1" s="176"/>
      <c r="BW1" s="176"/>
      <c r="BX1" s="176"/>
      <c r="BY1" s="176"/>
      <c r="BZ1" s="176"/>
      <c r="CA1" s="176"/>
      <c r="CB1" s="176"/>
      <c r="CC1" s="176"/>
      <c r="CD1" s="177" t="s">
        <v>378</v>
      </c>
      <c r="CE1" s="178"/>
      <c r="CF1" s="178"/>
      <c r="CG1" s="178"/>
      <c r="CH1" s="178"/>
      <c r="CI1" s="178"/>
      <c r="CJ1" s="179"/>
    </row>
    <row r="2" s="169" customFormat="1" ht="28" spans="1:88">
      <c r="A2" s="172"/>
      <c r="B2" s="180">
        <v>5</v>
      </c>
      <c r="C2" s="180">
        <v>6</v>
      </c>
      <c r="D2" s="180">
        <v>9</v>
      </c>
      <c r="E2" s="180">
        <v>10</v>
      </c>
      <c r="F2" s="180">
        <v>11</v>
      </c>
      <c r="G2" s="180">
        <v>12</v>
      </c>
      <c r="H2" s="180">
        <v>15</v>
      </c>
      <c r="I2" s="180">
        <v>16</v>
      </c>
      <c r="J2" s="180">
        <v>17</v>
      </c>
      <c r="K2" s="180">
        <v>18</v>
      </c>
      <c r="L2" s="180">
        <v>19</v>
      </c>
      <c r="M2" s="180">
        <v>22</v>
      </c>
      <c r="N2" s="180">
        <v>23</v>
      </c>
      <c r="O2" s="180">
        <v>25</v>
      </c>
      <c r="P2" s="180">
        <v>26</v>
      </c>
      <c r="Q2" s="180">
        <v>29</v>
      </c>
      <c r="R2" s="180">
        <v>30</v>
      </c>
      <c r="S2" s="180">
        <v>31</v>
      </c>
      <c r="T2" s="180">
        <v>4</v>
      </c>
      <c r="U2" s="180">
        <v>5</v>
      </c>
      <c r="V2" s="180">
        <v>6</v>
      </c>
      <c r="W2" s="180">
        <v>7</v>
      </c>
      <c r="X2" s="180">
        <v>8</v>
      </c>
      <c r="Y2" s="180">
        <v>11</v>
      </c>
      <c r="Z2" s="180">
        <v>12</v>
      </c>
      <c r="AA2" s="180">
        <v>13</v>
      </c>
      <c r="AB2" s="180">
        <v>14</v>
      </c>
      <c r="AC2" s="180">
        <v>15</v>
      </c>
      <c r="AD2" s="180">
        <v>16</v>
      </c>
      <c r="AE2" s="180">
        <v>19</v>
      </c>
      <c r="AF2" s="180">
        <v>20</v>
      </c>
      <c r="AG2" s="180">
        <v>21</v>
      </c>
      <c r="AH2" s="180">
        <v>22</v>
      </c>
      <c r="AI2" s="180">
        <v>23</v>
      </c>
      <c r="AJ2" s="180">
        <v>26</v>
      </c>
      <c r="AK2" s="180">
        <v>27</v>
      </c>
      <c r="AL2" s="180">
        <v>28</v>
      </c>
      <c r="AM2" s="180">
        <v>2</v>
      </c>
      <c r="AN2" s="180">
        <v>3</v>
      </c>
      <c r="AO2" s="180">
        <v>4</v>
      </c>
      <c r="AP2" s="180">
        <v>5</v>
      </c>
      <c r="AQ2" s="180">
        <v>6</v>
      </c>
      <c r="AR2" s="180">
        <v>9</v>
      </c>
      <c r="AS2" s="180">
        <v>10</v>
      </c>
      <c r="AT2" s="180">
        <v>11</v>
      </c>
      <c r="AU2" s="180">
        <v>12</v>
      </c>
      <c r="AV2" s="180">
        <v>13</v>
      </c>
      <c r="AW2" s="180">
        <v>16</v>
      </c>
      <c r="AX2" s="180">
        <v>17</v>
      </c>
      <c r="AY2" s="180">
        <v>18</v>
      </c>
      <c r="AZ2" s="180">
        <v>19</v>
      </c>
      <c r="BA2" s="180">
        <v>20</v>
      </c>
      <c r="BB2" s="180">
        <v>23</v>
      </c>
      <c r="BC2" s="180">
        <v>24</v>
      </c>
      <c r="BD2" s="180">
        <v>25</v>
      </c>
      <c r="BE2" s="180">
        <v>26</v>
      </c>
      <c r="BF2" s="180">
        <v>27</v>
      </c>
      <c r="BG2" s="180">
        <v>30</v>
      </c>
      <c r="BH2" s="180">
        <v>31</v>
      </c>
      <c r="BI2" s="180">
        <v>1</v>
      </c>
      <c r="BJ2" s="180">
        <v>2</v>
      </c>
      <c r="BK2" s="180">
        <v>3</v>
      </c>
      <c r="BL2" s="180">
        <v>7</v>
      </c>
      <c r="BM2" s="180">
        <v>8</v>
      </c>
      <c r="BN2" s="180">
        <v>9</v>
      </c>
      <c r="BO2" s="180">
        <v>10</v>
      </c>
      <c r="BP2" s="180">
        <v>13</v>
      </c>
      <c r="BQ2" s="180">
        <v>14</v>
      </c>
      <c r="BR2" s="180">
        <v>15</v>
      </c>
      <c r="BS2" s="180">
        <v>16</v>
      </c>
      <c r="BT2" s="180">
        <v>17</v>
      </c>
      <c r="BU2" s="180">
        <v>20</v>
      </c>
      <c r="BV2" s="180">
        <v>21</v>
      </c>
      <c r="BW2" s="180">
        <v>22</v>
      </c>
      <c r="BX2" s="180">
        <v>23</v>
      </c>
      <c r="BY2" s="180">
        <v>24</v>
      </c>
      <c r="BZ2" s="180">
        <v>27</v>
      </c>
      <c r="CA2" s="180">
        <v>28</v>
      </c>
      <c r="CB2" s="180">
        <v>29</v>
      </c>
      <c r="CC2" s="180">
        <v>30</v>
      </c>
      <c r="CD2" s="181" t="s">
        <v>379</v>
      </c>
      <c r="CE2" s="181" t="s">
        <v>380</v>
      </c>
      <c r="CF2" s="181" t="s">
        <v>381</v>
      </c>
      <c r="CG2" s="181" t="s">
        <v>382</v>
      </c>
      <c r="CH2" s="182" t="s">
        <v>383</v>
      </c>
      <c r="CI2" s="182" t="s">
        <v>384</v>
      </c>
      <c r="CJ2" s="182" t="s">
        <v>385</v>
      </c>
    </row>
    <row r="3" customHeight="1" spans="1:88">
      <c r="A3" s="115">
        <v>1</v>
      </c>
      <c r="B3" s="115"/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>
        <v>1</v>
      </c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>
        <v>2</v>
      </c>
      <c r="BB3" s="115"/>
      <c r="BC3" s="115"/>
      <c r="BD3" s="115"/>
      <c r="BE3" s="115"/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15"/>
      <c r="CB3" s="115"/>
      <c r="CC3" s="115"/>
      <c r="CD3" s="183">
        <f>SUM(B3:CC3)</f>
        <v>3</v>
      </c>
      <c r="CE3" s="183" cm="1">
        <f t="array" ref="CE3">SUMPRODUCT(--(B3:CC3=INT(B3:CC3)),--(B3:CC3&gt;0))</f>
        <v>2</v>
      </c>
      <c r="CF3" s="183" cm="1">
        <f t="array" ref="CF3">MAX(FREQUENCY(IF((B3:CC3=INT(B3:CC3))*(B3:CC3&gt;0),COLUMN(B3:CC3)),IF((B3:CC3&lt;&gt;INT(B3:CC3))+(B3:CC3&lt;=0),COLUMN(B3:CC3))))</f>
        <v>1</v>
      </c>
      <c r="CG3" s="184" cm="1">
        <f t="array" ref="CG3">SUMPRODUCT(--(B3:CC3=INT(B3:CC3)),--(B3:CC3&gt;0))/80*100%</f>
        <v>0.025</v>
      </c>
      <c r="CH3" s="185">
        <f t="shared" ref="CH3:CH53" si="0">RANK(CD3,CD$3:CD$53,0)</f>
        <v>33</v>
      </c>
      <c r="CI3" s="185">
        <f t="shared" ref="CI3:CI53" si="1">RANK(CE3,CE$3:CE$53,0)</f>
        <v>35</v>
      </c>
      <c r="CJ3" s="185">
        <f t="shared" ref="CJ3:CJ53" si="2">RANK(CF3,CF$3:CF$53,0)</f>
        <v>27</v>
      </c>
    </row>
    <row r="4" customHeight="1" spans="1:88">
      <c r="A4" s="4">
        <v>2</v>
      </c>
      <c r="B4" s="115">
        <v>1</v>
      </c>
      <c r="C4" s="115">
        <v>1</v>
      </c>
      <c r="D4" s="115">
        <v>1</v>
      </c>
      <c r="E4" s="115"/>
      <c r="F4" s="115"/>
      <c r="G4" s="115"/>
      <c r="H4" s="115"/>
      <c r="I4" s="115">
        <v>1</v>
      </c>
      <c r="J4" s="115">
        <v>1</v>
      </c>
      <c r="K4" s="115">
        <v>1</v>
      </c>
      <c r="L4" s="115"/>
      <c r="M4" s="115"/>
      <c r="N4" s="115"/>
      <c r="O4" s="115"/>
      <c r="P4" s="115"/>
      <c r="Q4" s="115">
        <v>1</v>
      </c>
      <c r="R4" s="115"/>
      <c r="S4" s="115">
        <v>2</v>
      </c>
      <c r="T4" s="115">
        <v>1</v>
      </c>
      <c r="U4" s="115"/>
      <c r="V4" s="115"/>
      <c r="W4" s="115"/>
      <c r="X4" s="115"/>
      <c r="Y4" s="115">
        <v>1</v>
      </c>
      <c r="Z4" s="115"/>
      <c r="AA4" s="115"/>
      <c r="AB4" s="115"/>
      <c r="AC4" s="115"/>
      <c r="AD4" s="115"/>
      <c r="AE4" s="115"/>
      <c r="AF4" s="115">
        <v>1</v>
      </c>
      <c r="AG4" s="115"/>
      <c r="AH4" s="115"/>
      <c r="AI4" s="115"/>
      <c r="AJ4" s="115"/>
      <c r="AK4" s="115"/>
      <c r="AL4" s="115"/>
      <c r="AM4" s="115"/>
      <c r="AN4" s="115">
        <v>1</v>
      </c>
      <c r="AO4" s="115"/>
      <c r="AP4" s="115"/>
      <c r="AQ4" s="115"/>
      <c r="AR4" s="115">
        <v>1</v>
      </c>
      <c r="AS4" s="115">
        <v>1</v>
      </c>
      <c r="AT4" s="115">
        <v>1</v>
      </c>
      <c r="AU4" s="115">
        <v>2</v>
      </c>
      <c r="AV4" s="115">
        <v>1</v>
      </c>
      <c r="AW4" s="115">
        <v>1</v>
      </c>
      <c r="AX4" s="115"/>
      <c r="AY4" s="115">
        <v>1</v>
      </c>
      <c r="AZ4" s="115">
        <v>1</v>
      </c>
      <c r="BA4" s="115">
        <v>1</v>
      </c>
      <c r="BB4" s="115">
        <v>1</v>
      </c>
      <c r="BC4" s="115"/>
      <c r="BD4" s="115">
        <v>1</v>
      </c>
      <c r="BE4" s="115"/>
      <c r="BF4" s="115">
        <v>1</v>
      </c>
      <c r="BG4" s="115">
        <v>1</v>
      </c>
      <c r="BH4" s="115">
        <v>1</v>
      </c>
      <c r="BI4" s="115">
        <v>1</v>
      </c>
      <c r="BJ4" s="115"/>
      <c r="BK4" s="115">
        <v>1</v>
      </c>
      <c r="BL4" s="115"/>
      <c r="BM4" s="115"/>
      <c r="BN4" s="115">
        <v>1</v>
      </c>
      <c r="BO4" s="115">
        <v>1</v>
      </c>
      <c r="BP4" s="115"/>
      <c r="BQ4" s="115"/>
      <c r="BR4" s="115">
        <v>1</v>
      </c>
      <c r="BS4" s="115">
        <v>1</v>
      </c>
      <c r="BT4" s="115"/>
      <c r="BU4" s="115"/>
      <c r="BV4" s="115"/>
      <c r="BW4" s="115"/>
      <c r="BX4" s="115"/>
      <c r="BY4" s="115"/>
      <c r="BZ4" s="115"/>
      <c r="CA4" s="115"/>
      <c r="CB4" s="115"/>
      <c r="CC4" s="115"/>
      <c r="CD4" s="183">
        <f t="shared" ref="CD4:CD35" si="3">SUM(B4:CC4)</f>
        <v>34</v>
      </c>
      <c r="CE4" s="183" cm="1">
        <f t="array" ref="CE4">SUMPRODUCT(--(B4:CC4=INT(B4:CC4)),--(B4:CC4&gt;0))</f>
        <v>32</v>
      </c>
      <c r="CF4" s="183" cm="1">
        <f t="array" ref="CF4">MAX(FREQUENCY(IF((B4:CC4=INT(B4:CC4))*(B4:CC4&gt;0),COLUMN(B4:CC4)),IF((B4:CC4&lt;&gt;INT(B4:CC4))+(B4:CC4&lt;=0),COLUMN(B4:CC4))))</f>
        <v>6</v>
      </c>
      <c r="CG4" s="184" cm="1">
        <f t="array" ref="CG4">SUMPRODUCT(--(B4:CC4=INT(B4:CC4)),--(B4:CC4&gt;0))/80*100%</f>
        <v>0.4</v>
      </c>
      <c r="CH4" s="185">
        <f t="shared" si="0"/>
        <v>7</v>
      </c>
      <c r="CI4" s="185">
        <f t="shared" si="1"/>
        <v>4</v>
      </c>
      <c r="CJ4" s="185">
        <f t="shared" si="2"/>
        <v>4</v>
      </c>
    </row>
    <row r="5" customHeight="1" spans="1:88">
      <c r="A5" s="4">
        <v>3</v>
      </c>
      <c r="B5" s="115"/>
      <c r="C5" s="115"/>
      <c r="D5" s="115"/>
      <c r="E5" s="115"/>
      <c r="F5" s="115"/>
      <c r="G5" s="115"/>
      <c r="H5" s="115"/>
      <c r="I5" s="115"/>
      <c r="J5" s="115"/>
      <c r="K5" s="115">
        <v>1</v>
      </c>
      <c r="L5" s="115"/>
      <c r="M5" s="115"/>
      <c r="N5" s="115"/>
      <c r="O5" s="115"/>
      <c r="P5" s="115"/>
      <c r="Q5" s="115"/>
      <c r="R5" s="115"/>
      <c r="S5" s="115"/>
      <c r="T5" s="115">
        <v>1</v>
      </c>
      <c r="U5" s="115"/>
      <c r="V5" s="115"/>
      <c r="W5" s="115"/>
      <c r="X5" s="115"/>
      <c r="Y5" s="115"/>
      <c r="Z5" s="115"/>
      <c r="AA5" s="115"/>
      <c r="AB5" s="115"/>
      <c r="AC5" s="115"/>
      <c r="AD5" s="115"/>
      <c r="AE5" s="115"/>
      <c r="AF5" s="115"/>
      <c r="AG5" s="115"/>
      <c r="AH5" s="115"/>
      <c r="AI5" s="115"/>
      <c r="AJ5" s="115"/>
      <c r="AK5" s="115"/>
      <c r="AL5" s="115"/>
      <c r="AM5" s="115"/>
      <c r="AN5" s="115"/>
      <c r="AO5" s="115"/>
      <c r="AP5" s="115"/>
      <c r="AQ5" s="115"/>
      <c r="AR5" s="115"/>
      <c r="AS5" s="115"/>
      <c r="AT5" s="115"/>
      <c r="AU5" s="115"/>
      <c r="AV5" s="115"/>
      <c r="AW5" s="115"/>
      <c r="AX5" s="115"/>
      <c r="AY5" s="115"/>
      <c r="AZ5" s="115"/>
      <c r="BA5" s="115"/>
      <c r="BB5" s="115"/>
      <c r="BC5" s="115"/>
      <c r="BD5" s="115">
        <v>1</v>
      </c>
      <c r="BE5" s="115">
        <v>1</v>
      </c>
      <c r="BF5" s="115">
        <v>1</v>
      </c>
      <c r="BG5" s="115"/>
      <c r="BH5" s="115"/>
      <c r="BI5" s="115">
        <v>1</v>
      </c>
      <c r="BJ5" s="115">
        <v>1</v>
      </c>
      <c r="BK5" s="115"/>
      <c r="BL5" s="115"/>
      <c r="BM5" s="115"/>
      <c r="BN5" s="115"/>
      <c r="BO5" s="115"/>
      <c r="BP5" s="115"/>
      <c r="BQ5" s="115"/>
      <c r="BR5" s="115"/>
      <c r="BS5" s="115"/>
      <c r="BT5" s="115"/>
      <c r="BU5" s="115"/>
      <c r="BV5" s="115"/>
      <c r="BW5" s="115"/>
      <c r="BX5" s="115"/>
      <c r="BY5" s="115"/>
      <c r="BZ5" s="115"/>
      <c r="CA5" s="115"/>
      <c r="CB5" s="115"/>
      <c r="CC5" s="115"/>
      <c r="CD5" s="183">
        <f t="shared" si="3"/>
        <v>7</v>
      </c>
      <c r="CE5" s="183" cm="1">
        <f t="array" ref="CE5">SUMPRODUCT(--(B5:CC5=INT(B5:CC5)),--(B5:CC5&gt;0))</f>
        <v>7</v>
      </c>
      <c r="CF5" s="183" cm="1">
        <f t="array" ref="CF5">MAX(FREQUENCY(IF((B5:CC5=INT(B5:CC5))*(B5:CC5&gt;0),COLUMN(B5:CC5)),IF((B5:CC5&lt;&gt;INT(B5:CC5))+(B5:CC5&lt;=0),COLUMN(B5:CC5))))</f>
        <v>3</v>
      </c>
      <c r="CG5" s="184" cm="1">
        <f t="array" ref="CG5">SUMPRODUCT(--(B5:CC5=INT(B5:CC5)),--(B5:CC5&gt;0))/80*100%</f>
        <v>0.0875</v>
      </c>
      <c r="CH5" s="185">
        <f t="shared" si="0"/>
        <v>26</v>
      </c>
      <c r="CI5" s="185">
        <f t="shared" si="1"/>
        <v>26</v>
      </c>
      <c r="CJ5" s="185">
        <f t="shared" si="2"/>
        <v>18</v>
      </c>
    </row>
    <row r="6" customHeight="1" spans="1:88">
      <c r="A6" s="4">
        <v>4</v>
      </c>
      <c r="B6" s="115"/>
      <c r="C6" s="115"/>
      <c r="D6" s="115"/>
      <c r="E6" s="115"/>
      <c r="F6" s="115"/>
      <c r="G6" s="115"/>
      <c r="H6" s="115"/>
      <c r="I6" s="115"/>
      <c r="J6" s="115"/>
      <c r="K6" s="115"/>
      <c r="L6" s="115">
        <v>1</v>
      </c>
      <c r="M6" s="115"/>
      <c r="N6" s="115"/>
      <c r="O6" s="115"/>
      <c r="P6" s="115"/>
      <c r="Q6" s="115">
        <v>1</v>
      </c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  <c r="AD6" s="115"/>
      <c r="AE6" s="115"/>
      <c r="AF6" s="115"/>
      <c r="AG6" s="115"/>
      <c r="AH6" s="115"/>
      <c r="AI6" s="115"/>
      <c r="AJ6" s="115">
        <v>1</v>
      </c>
      <c r="AK6" s="115"/>
      <c r="AL6" s="115"/>
      <c r="AM6" s="115"/>
      <c r="AN6" s="115"/>
      <c r="AO6" s="115">
        <v>1</v>
      </c>
      <c r="AP6" s="115"/>
      <c r="AQ6" s="115"/>
      <c r="AR6" s="115">
        <v>1</v>
      </c>
      <c r="AS6" s="115">
        <v>1</v>
      </c>
      <c r="AT6" s="115">
        <v>1</v>
      </c>
      <c r="AU6" s="115"/>
      <c r="AV6" s="115"/>
      <c r="AW6" s="115"/>
      <c r="AX6" s="115"/>
      <c r="AY6" s="115">
        <v>1</v>
      </c>
      <c r="AZ6" s="115"/>
      <c r="BA6" s="115">
        <v>1</v>
      </c>
      <c r="BB6" s="115"/>
      <c r="BC6" s="115"/>
      <c r="BD6" s="115"/>
      <c r="BE6" s="115"/>
      <c r="BF6" s="115"/>
      <c r="BG6" s="115"/>
      <c r="BH6" s="115"/>
      <c r="BI6" s="115"/>
      <c r="BJ6" s="115"/>
      <c r="BK6" s="115"/>
      <c r="BL6" s="115"/>
      <c r="BM6" s="115"/>
      <c r="BN6" s="115"/>
      <c r="BO6" s="115"/>
      <c r="BP6" s="115"/>
      <c r="BQ6" s="115"/>
      <c r="BR6" s="115"/>
      <c r="BS6" s="115"/>
      <c r="BT6" s="115"/>
      <c r="BU6" s="115"/>
      <c r="BV6" s="115"/>
      <c r="BW6" s="115"/>
      <c r="BX6" s="115"/>
      <c r="BY6" s="115"/>
      <c r="BZ6" s="115"/>
      <c r="CA6" s="115"/>
      <c r="CB6" s="115"/>
      <c r="CC6" s="115"/>
      <c r="CD6" s="183">
        <f t="shared" si="3"/>
        <v>9</v>
      </c>
      <c r="CE6" s="183" cm="1">
        <f t="array" ref="CE6">SUMPRODUCT(--(B6:CC6=INT(B6:CC6)),--(B6:CC6&gt;0))</f>
        <v>9</v>
      </c>
      <c r="CF6" s="183" cm="1">
        <f t="array" ref="CF6">MAX(FREQUENCY(IF((B6:CC6=INT(B6:CC6))*(B6:CC6&gt;0),COLUMN(B6:CC6)),IF((B6:CC6&lt;&gt;INT(B6:CC6))+(B6:CC6&lt;=0),COLUMN(B6:CC6))))</f>
        <v>3</v>
      </c>
      <c r="CG6" s="184" cm="1">
        <f t="array" ref="CG6">SUMPRODUCT(--(B6:CC6=INT(B6:CC6)),--(B6:CC6&gt;0))/80*100%</f>
        <v>0.1125</v>
      </c>
      <c r="CH6" s="185">
        <f t="shared" si="0"/>
        <v>23</v>
      </c>
      <c r="CI6" s="185">
        <f t="shared" si="1"/>
        <v>23</v>
      </c>
      <c r="CJ6" s="185">
        <f t="shared" si="2"/>
        <v>18</v>
      </c>
    </row>
    <row r="7" customHeight="1" spans="1:88">
      <c r="A7" s="4">
        <v>5</v>
      </c>
      <c r="B7" s="115">
        <v>1</v>
      </c>
      <c r="C7" s="115"/>
      <c r="D7" s="115">
        <v>2</v>
      </c>
      <c r="E7" s="115"/>
      <c r="F7" s="115"/>
      <c r="G7" s="115">
        <v>1</v>
      </c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  <c r="AD7" s="115"/>
      <c r="AE7" s="115"/>
      <c r="AF7" s="115"/>
      <c r="AG7" s="115"/>
      <c r="AH7" s="115"/>
      <c r="AI7" s="115"/>
      <c r="AJ7" s="115"/>
      <c r="AK7" s="115"/>
      <c r="AL7" s="115"/>
      <c r="AM7" s="115"/>
      <c r="AN7" s="115"/>
      <c r="AO7" s="115"/>
      <c r="AP7" s="115"/>
      <c r="AQ7" s="115"/>
      <c r="AR7" s="115"/>
      <c r="AS7" s="115"/>
      <c r="AT7" s="115"/>
      <c r="AU7" s="115"/>
      <c r="AV7" s="115"/>
      <c r="AW7" s="115"/>
      <c r="AX7" s="115"/>
      <c r="AY7" s="115">
        <v>1</v>
      </c>
      <c r="AZ7" s="115"/>
      <c r="BA7" s="115"/>
      <c r="BB7" s="115">
        <v>1</v>
      </c>
      <c r="BC7" s="115">
        <v>1</v>
      </c>
      <c r="BD7" s="115">
        <v>1</v>
      </c>
      <c r="BE7" s="115">
        <v>1</v>
      </c>
      <c r="BF7" s="115"/>
      <c r="BG7" s="115">
        <v>1</v>
      </c>
      <c r="BH7" s="115"/>
      <c r="BI7" s="115">
        <v>1</v>
      </c>
      <c r="BJ7" s="115"/>
      <c r="BK7" s="115"/>
      <c r="BL7" s="115">
        <v>1</v>
      </c>
      <c r="BM7" s="115"/>
      <c r="BN7" s="115"/>
      <c r="BO7" s="115"/>
      <c r="BP7" s="115"/>
      <c r="BQ7" s="115"/>
      <c r="BR7" s="115"/>
      <c r="BS7" s="115"/>
      <c r="BT7" s="115"/>
      <c r="BU7" s="115"/>
      <c r="BV7" s="115"/>
      <c r="BW7" s="115"/>
      <c r="BX7" s="115"/>
      <c r="BY7" s="115"/>
      <c r="BZ7" s="115"/>
      <c r="CA7" s="115"/>
      <c r="CB7" s="115"/>
      <c r="CC7" s="115"/>
      <c r="CD7" s="183">
        <f t="shared" si="3"/>
        <v>12</v>
      </c>
      <c r="CE7" s="183" cm="1">
        <f t="array" ref="CE7">SUMPRODUCT(--(B7:CC7=INT(B7:CC7)),--(B7:CC7&gt;0))</f>
        <v>11</v>
      </c>
      <c r="CF7" s="183" cm="1">
        <f t="array" ref="CF7">MAX(FREQUENCY(IF((B7:CC7=INT(B7:CC7))*(B7:CC7&gt;0),COLUMN(B7:CC7)),IF((B7:CC7&lt;&gt;INT(B7:CC7))+(B7:CC7&lt;=0),COLUMN(B7:CC7))))</f>
        <v>4</v>
      </c>
      <c r="CG7" s="184" cm="1">
        <f t="array" ref="CG7">SUMPRODUCT(--(B7:CC7=INT(B7:CC7)),--(B7:CC7&gt;0))/80*100%</f>
        <v>0.1375</v>
      </c>
      <c r="CH7" s="185">
        <f t="shared" si="0"/>
        <v>22</v>
      </c>
      <c r="CI7" s="185">
        <f t="shared" si="1"/>
        <v>22</v>
      </c>
      <c r="CJ7" s="185">
        <f t="shared" si="2"/>
        <v>13</v>
      </c>
    </row>
    <row r="8" customHeight="1" spans="1:88">
      <c r="A8" s="4">
        <v>6</v>
      </c>
      <c r="B8" s="115">
        <v>1</v>
      </c>
      <c r="C8" s="115">
        <v>1</v>
      </c>
      <c r="D8" s="115">
        <v>1</v>
      </c>
      <c r="E8" s="115">
        <v>1</v>
      </c>
      <c r="F8" s="115"/>
      <c r="G8" s="115"/>
      <c r="H8" s="115">
        <v>1</v>
      </c>
      <c r="I8" s="115">
        <v>1</v>
      </c>
      <c r="J8" s="115">
        <v>1</v>
      </c>
      <c r="K8" s="115"/>
      <c r="L8" s="115">
        <v>1</v>
      </c>
      <c r="M8" s="115"/>
      <c r="N8" s="115">
        <v>1</v>
      </c>
      <c r="O8" s="115"/>
      <c r="P8" s="115">
        <v>1</v>
      </c>
      <c r="Q8" s="115">
        <v>1</v>
      </c>
      <c r="R8" s="115">
        <v>1</v>
      </c>
      <c r="S8" s="115">
        <v>1</v>
      </c>
      <c r="T8" s="115">
        <v>1</v>
      </c>
      <c r="U8" s="115"/>
      <c r="V8" s="115">
        <v>1</v>
      </c>
      <c r="W8" s="115">
        <v>1</v>
      </c>
      <c r="X8" s="115"/>
      <c r="Y8" s="115"/>
      <c r="Z8" s="115"/>
      <c r="AA8" s="115"/>
      <c r="AB8" s="115"/>
      <c r="AC8" s="115"/>
      <c r="AD8" s="115"/>
      <c r="AE8" s="115"/>
      <c r="AF8" s="115"/>
      <c r="AG8" s="115"/>
      <c r="AH8" s="115"/>
      <c r="AI8" s="115"/>
      <c r="AJ8" s="115">
        <v>1</v>
      </c>
      <c r="AK8" s="115">
        <v>1</v>
      </c>
      <c r="AL8" s="115"/>
      <c r="AM8" s="115">
        <v>1</v>
      </c>
      <c r="AN8" s="115">
        <v>1</v>
      </c>
      <c r="AO8" s="115"/>
      <c r="AP8" s="115"/>
      <c r="AQ8" s="115"/>
      <c r="AR8" s="115">
        <v>1</v>
      </c>
      <c r="AS8" s="115">
        <v>1</v>
      </c>
      <c r="AT8" s="115">
        <v>1</v>
      </c>
      <c r="AU8" s="115">
        <v>1</v>
      </c>
      <c r="AV8" s="115">
        <v>1</v>
      </c>
      <c r="AW8" s="115"/>
      <c r="AX8" s="115"/>
      <c r="AY8" s="115">
        <v>1</v>
      </c>
      <c r="AZ8" s="115">
        <v>1</v>
      </c>
      <c r="BA8" s="115"/>
      <c r="BB8" s="115"/>
      <c r="BC8" s="115"/>
      <c r="BD8" s="115"/>
      <c r="BE8" s="115">
        <v>1</v>
      </c>
      <c r="BF8" s="115"/>
      <c r="BG8" s="115"/>
      <c r="BH8" s="115">
        <v>2</v>
      </c>
      <c r="BI8" s="115">
        <v>1</v>
      </c>
      <c r="BJ8" s="115">
        <v>1</v>
      </c>
      <c r="BK8" s="115"/>
      <c r="BL8" s="115">
        <v>1</v>
      </c>
      <c r="BM8" s="115"/>
      <c r="BN8" s="115"/>
      <c r="BO8" s="115">
        <v>1</v>
      </c>
      <c r="BP8" s="115"/>
      <c r="BQ8" s="115">
        <v>1</v>
      </c>
      <c r="BR8" s="115"/>
      <c r="BS8" s="115">
        <v>1</v>
      </c>
      <c r="BT8" s="115"/>
      <c r="BU8" s="115"/>
      <c r="BV8" s="115"/>
      <c r="BW8" s="115"/>
      <c r="BX8" s="115"/>
      <c r="BY8" s="115"/>
      <c r="BZ8" s="115"/>
      <c r="CA8" s="115"/>
      <c r="CB8" s="115"/>
      <c r="CC8" s="115"/>
      <c r="CD8" s="183">
        <f t="shared" si="3"/>
        <v>36</v>
      </c>
      <c r="CE8" s="183" cm="1">
        <f t="array" ref="CE8">SUMPRODUCT(--(B8:CC8=INT(B8:CC8)),--(B8:CC8&gt;0))</f>
        <v>35</v>
      </c>
      <c r="CF8" s="183" cm="1">
        <f t="array" ref="CF8">MAX(FREQUENCY(IF((B8:CC8=INT(B8:CC8))*(B8:CC8&gt;0),COLUMN(B8:CC8)),IF((B8:CC8&lt;&gt;INT(B8:CC8))+(B8:CC8&lt;=0),COLUMN(B8:CC8))))</f>
        <v>5</v>
      </c>
      <c r="CG8" s="184" cm="1">
        <f t="array" ref="CG8">SUMPRODUCT(--(B8:CC8=INT(B8:CC8)),--(B8:CC8&gt;0))/80*100%</f>
        <v>0.4375</v>
      </c>
      <c r="CH8" s="185">
        <f t="shared" si="0"/>
        <v>6</v>
      </c>
      <c r="CI8" s="185">
        <f t="shared" si="1"/>
        <v>3</v>
      </c>
      <c r="CJ8" s="185">
        <f t="shared" si="2"/>
        <v>7</v>
      </c>
    </row>
    <row r="9" customHeight="1" spans="1:88">
      <c r="A9" s="4">
        <v>7</v>
      </c>
      <c r="B9" s="115">
        <v>1</v>
      </c>
      <c r="C9" s="115"/>
      <c r="D9" s="115"/>
      <c r="E9" s="115"/>
      <c r="F9" s="115"/>
      <c r="G9" s="115"/>
      <c r="H9" s="115">
        <v>1</v>
      </c>
      <c r="I9" s="115">
        <v>1</v>
      </c>
      <c r="J9" s="115">
        <v>1</v>
      </c>
      <c r="K9" s="115"/>
      <c r="L9" s="115"/>
      <c r="M9" s="115">
        <v>1</v>
      </c>
      <c r="N9" s="115"/>
      <c r="O9" s="115"/>
      <c r="P9" s="115"/>
      <c r="Q9" s="115"/>
      <c r="R9" s="115">
        <v>1</v>
      </c>
      <c r="S9" s="115">
        <v>1</v>
      </c>
      <c r="T9" s="115">
        <v>1</v>
      </c>
      <c r="U9" s="115"/>
      <c r="V9" s="115"/>
      <c r="W9" s="115"/>
      <c r="X9" s="115"/>
      <c r="Y9" s="115">
        <v>1</v>
      </c>
      <c r="Z9" s="115"/>
      <c r="AA9" s="115"/>
      <c r="AB9" s="115"/>
      <c r="AC9" s="115">
        <v>1</v>
      </c>
      <c r="AD9" s="115"/>
      <c r="AE9" s="115"/>
      <c r="AF9" s="115"/>
      <c r="AG9" s="115"/>
      <c r="AH9" s="115"/>
      <c r="AI9" s="115"/>
      <c r="AJ9" s="115">
        <v>1</v>
      </c>
      <c r="AK9" s="115">
        <v>1</v>
      </c>
      <c r="AL9" s="115"/>
      <c r="AM9" s="115"/>
      <c r="AN9" s="115"/>
      <c r="AO9" s="115">
        <v>1</v>
      </c>
      <c r="AP9" s="115"/>
      <c r="AQ9" s="115"/>
      <c r="AR9" s="115">
        <v>1</v>
      </c>
      <c r="AS9" s="115">
        <v>1</v>
      </c>
      <c r="AT9" s="115"/>
      <c r="AU9" s="115">
        <v>1</v>
      </c>
      <c r="AV9" s="115">
        <v>1</v>
      </c>
      <c r="AW9" s="115">
        <v>1</v>
      </c>
      <c r="AX9" s="115"/>
      <c r="AY9" s="115"/>
      <c r="AZ9" s="115">
        <v>1</v>
      </c>
      <c r="BA9" s="115">
        <v>1</v>
      </c>
      <c r="BB9" s="115"/>
      <c r="BC9" s="115">
        <v>2</v>
      </c>
      <c r="BD9" s="115">
        <v>1</v>
      </c>
      <c r="BE9" s="115">
        <v>1</v>
      </c>
      <c r="BF9" s="115">
        <v>1</v>
      </c>
      <c r="BG9" s="115">
        <v>1</v>
      </c>
      <c r="BH9" s="115"/>
      <c r="BI9" s="115">
        <v>1</v>
      </c>
      <c r="BJ9" s="115">
        <v>1</v>
      </c>
      <c r="BK9" s="115">
        <v>1</v>
      </c>
      <c r="BL9" s="115"/>
      <c r="BM9" s="115"/>
      <c r="BN9" s="115"/>
      <c r="BO9" s="115"/>
      <c r="BP9" s="115"/>
      <c r="BQ9" s="115"/>
      <c r="BR9" s="115">
        <v>2</v>
      </c>
      <c r="BS9" s="115"/>
      <c r="BT9" s="115"/>
      <c r="BU9" s="115"/>
      <c r="BV9" s="115"/>
      <c r="BW9" s="115"/>
      <c r="BX9" s="115"/>
      <c r="BY9" s="115"/>
      <c r="BZ9" s="115"/>
      <c r="CA9" s="115"/>
      <c r="CB9" s="115"/>
      <c r="CC9" s="115"/>
      <c r="CD9" s="183">
        <f t="shared" si="3"/>
        <v>31</v>
      </c>
      <c r="CE9" s="183" cm="1">
        <f t="array" ref="CE9">SUMPRODUCT(--(B9:CC9=INT(B9:CC9)),--(B9:CC9&gt;0))</f>
        <v>29</v>
      </c>
      <c r="CF9" s="183" cm="1">
        <f t="array" ref="CF9">MAX(FREQUENCY(IF((B9:CC9=INT(B9:CC9))*(B9:CC9&gt;0),COLUMN(B9:CC9)),IF((B9:CC9&lt;&gt;INT(B9:CC9))+(B9:CC9&lt;=0),COLUMN(B9:CC9))))</f>
        <v>5</v>
      </c>
      <c r="CG9" s="184" cm="1">
        <f t="array" ref="CG9">SUMPRODUCT(--(B9:CC9=INT(B9:CC9)),--(B9:CC9&gt;0))/80*100%</f>
        <v>0.3625</v>
      </c>
      <c r="CH9" s="185">
        <f t="shared" si="0"/>
        <v>8</v>
      </c>
      <c r="CI9" s="185">
        <f t="shared" si="1"/>
        <v>7</v>
      </c>
      <c r="CJ9" s="185">
        <f t="shared" si="2"/>
        <v>7</v>
      </c>
    </row>
    <row r="10" customHeight="1" spans="1:88">
      <c r="A10" s="115">
        <v>8</v>
      </c>
      <c r="B10" s="115"/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>
        <v>1</v>
      </c>
      <c r="Z10" s="115"/>
      <c r="AA10" s="115"/>
      <c r="AB10" s="115"/>
      <c r="AC10" s="115"/>
      <c r="AD10" s="115"/>
      <c r="AE10" s="115"/>
      <c r="AF10" s="115"/>
      <c r="AG10" s="115"/>
      <c r="AH10" s="115"/>
      <c r="AI10" s="115"/>
      <c r="AJ10" s="115"/>
      <c r="AK10" s="115"/>
      <c r="AL10" s="115"/>
      <c r="AM10" s="115"/>
      <c r="AN10" s="115"/>
      <c r="AO10" s="115"/>
      <c r="AP10" s="115"/>
      <c r="AQ10" s="115"/>
      <c r="AR10" s="115"/>
      <c r="AS10" s="115"/>
      <c r="AT10" s="115"/>
      <c r="AU10" s="115"/>
      <c r="AV10" s="115"/>
      <c r="AW10" s="115"/>
      <c r="AX10" s="115"/>
      <c r="AY10" s="115"/>
      <c r="AZ10" s="115"/>
      <c r="BA10" s="115"/>
      <c r="BB10" s="115"/>
      <c r="BC10" s="115"/>
      <c r="BD10" s="115"/>
      <c r="BE10" s="115">
        <v>1</v>
      </c>
      <c r="BF10" s="115">
        <v>1</v>
      </c>
      <c r="BG10" s="115"/>
      <c r="BH10" s="115"/>
      <c r="BI10" s="115"/>
      <c r="BJ10" s="115"/>
      <c r="BK10" s="115"/>
      <c r="BL10" s="115"/>
      <c r="BM10" s="115"/>
      <c r="BN10" s="115"/>
      <c r="BO10" s="115"/>
      <c r="BP10" s="115"/>
      <c r="BQ10" s="115"/>
      <c r="BR10" s="115"/>
      <c r="BS10" s="115"/>
      <c r="BT10" s="115"/>
      <c r="BU10" s="115"/>
      <c r="BV10" s="115"/>
      <c r="BW10" s="115"/>
      <c r="BX10" s="115"/>
      <c r="BY10" s="115"/>
      <c r="BZ10" s="115"/>
      <c r="CA10" s="115"/>
      <c r="CB10" s="115"/>
      <c r="CC10" s="115"/>
      <c r="CD10" s="183">
        <f t="shared" si="3"/>
        <v>3</v>
      </c>
      <c r="CE10" s="183" cm="1">
        <f t="array" ref="CE10">SUMPRODUCT(--(B10:CC10=INT(B10:CC10)),--(B10:CC10&gt;0))</f>
        <v>3</v>
      </c>
      <c r="CF10" s="183" cm="1">
        <f t="array" ref="CF10">MAX(FREQUENCY(IF((B10:CC10=INT(B10:CC10))*(B10:CC10&gt;0),COLUMN(B10:CC10)),IF((B10:CC10&lt;&gt;INT(B10:CC10))+(B10:CC10&lt;=0),COLUMN(B10:CC10))))</f>
        <v>2</v>
      </c>
      <c r="CG10" s="184" cm="1">
        <f t="array" ref="CG10">SUMPRODUCT(--(B10:CC10=INT(B10:CC10)),--(B10:CC10&gt;0))/80*100%</f>
        <v>0.0375</v>
      </c>
      <c r="CH10" s="185">
        <f t="shared" si="0"/>
        <v>33</v>
      </c>
      <c r="CI10" s="185">
        <f t="shared" si="1"/>
        <v>33</v>
      </c>
      <c r="CJ10" s="185">
        <f t="shared" si="2"/>
        <v>24</v>
      </c>
    </row>
    <row r="11" customHeight="1" spans="1:88">
      <c r="A11" s="4">
        <v>9</v>
      </c>
      <c r="B11" s="115"/>
      <c r="C11" s="115"/>
      <c r="D11" s="115"/>
      <c r="E11" s="115"/>
      <c r="F11" s="115"/>
      <c r="G11" s="115"/>
      <c r="H11" s="115"/>
      <c r="I11" s="115"/>
      <c r="J11" s="115"/>
      <c r="K11" s="115"/>
      <c r="L11" s="115">
        <v>1</v>
      </c>
      <c r="M11" s="115"/>
      <c r="N11" s="115">
        <v>1</v>
      </c>
      <c r="O11" s="115"/>
      <c r="P11" s="115"/>
      <c r="Q11" s="115">
        <v>1</v>
      </c>
      <c r="R11" s="115"/>
      <c r="S11" s="115"/>
      <c r="T11" s="115"/>
      <c r="U11" s="115">
        <v>1</v>
      </c>
      <c r="V11" s="115"/>
      <c r="W11" s="115"/>
      <c r="X11" s="115"/>
      <c r="Y11" s="115"/>
      <c r="Z11" s="115"/>
      <c r="AA11" s="115">
        <v>1</v>
      </c>
      <c r="AB11" s="115"/>
      <c r="AC11" s="115"/>
      <c r="AD11" s="115">
        <v>1</v>
      </c>
      <c r="AE11" s="115"/>
      <c r="AF11" s="115">
        <v>1</v>
      </c>
      <c r="AG11" s="115"/>
      <c r="AH11" s="115"/>
      <c r="AI11" s="115"/>
      <c r="AJ11" s="115"/>
      <c r="AK11" s="115"/>
      <c r="AL11" s="115"/>
      <c r="AM11" s="115"/>
      <c r="AN11" s="115"/>
      <c r="AO11" s="115"/>
      <c r="AP11" s="115"/>
      <c r="AQ11" s="115">
        <v>1</v>
      </c>
      <c r="AR11" s="115"/>
      <c r="AS11" s="115">
        <v>1</v>
      </c>
      <c r="AT11" s="115">
        <v>1</v>
      </c>
      <c r="AU11" s="115"/>
      <c r="AV11" s="115"/>
      <c r="AW11" s="115"/>
      <c r="AX11" s="115"/>
      <c r="AY11" s="115"/>
      <c r="AZ11" s="115">
        <v>1</v>
      </c>
      <c r="BA11" s="115">
        <v>2</v>
      </c>
      <c r="BB11" s="115"/>
      <c r="BC11" s="115">
        <v>2</v>
      </c>
      <c r="BD11" s="115"/>
      <c r="BE11" s="115">
        <v>2</v>
      </c>
      <c r="BF11" s="115"/>
      <c r="BG11" s="115"/>
      <c r="BH11" s="115"/>
      <c r="BI11" s="115"/>
      <c r="BJ11" s="115">
        <v>2</v>
      </c>
      <c r="BK11" s="115"/>
      <c r="BL11" s="115"/>
      <c r="BM11" s="115"/>
      <c r="BN11" s="115"/>
      <c r="BO11" s="115"/>
      <c r="BP11" s="115">
        <v>1</v>
      </c>
      <c r="BQ11" s="115"/>
      <c r="BR11" s="115"/>
      <c r="BS11" s="115">
        <v>1</v>
      </c>
      <c r="BT11" s="115"/>
      <c r="BU11" s="115"/>
      <c r="BV11" s="115"/>
      <c r="BW11" s="115"/>
      <c r="BX11" s="115"/>
      <c r="BY11" s="115"/>
      <c r="BZ11" s="115"/>
      <c r="CA11" s="115"/>
      <c r="CB11" s="115"/>
      <c r="CC11" s="115"/>
      <c r="CD11" s="183">
        <f t="shared" si="3"/>
        <v>21</v>
      </c>
      <c r="CE11" s="183" cm="1">
        <f t="array" ref="CE11">SUMPRODUCT(--(B11:CC11=INT(B11:CC11)),--(B11:CC11&gt;0))</f>
        <v>17</v>
      </c>
      <c r="CF11" s="183" cm="1">
        <f t="array" ref="CF11">MAX(FREQUENCY(IF((B11:CC11=INT(B11:CC11))*(B11:CC11&gt;0),COLUMN(B11:CC11)),IF((B11:CC11&lt;&gt;INT(B11:CC11))+(B11:CC11&lt;=0),COLUMN(B11:CC11))))</f>
        <v>2</v>
      </c>
      <c r="CG11" s="184" cm="1">
        <f t="array" ref="CG11">SUMPRODUCT(--(B11:CC11=INT(B11:CC11)),--(B11:CC11&gt;0))/80*100%</f>
        <v>0.2125</v>
      </c>
      <c r="CH11" s="185">
        <f t="shared" si="0"/>
        <v>14</v>
      </c>
      <c r="CI11" s="185">
        <f t="shared" si="1"/>
        <v>17</v>
      </c>
      <c r="CJ11" s="185">
        <f t="shared" si="2"/>
        <v>24</v>
      </c>
    </row>
    <row r="12" customHeight="1" spans="1:88">
      <c r="A12" s="4">
        <v>10</v>
      </c>
      <c r="B12" s="115"/>
      <c r="C12" s="115"/>
      <c r="D12" s="115">
        <v>1</v>
      </c>
      <c r="E12" s="115"/>
      <c r="F12" s="115"/>
      <c r="G12" s="115"/>
      <c r="H12" s="115"/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>
        <v>1</v>
      </c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/>
      <c r="AV12" s="115"/>
      <c r="AW12" s="115"/>
      <c r="AX12" s="115"/>
      <c r="AY12" s="115"/>
      <c r="AZ12" s="115"/>
      <c r="BA12" s="115"/>
      <c r="BB12" s="115"/>
      <c r="BC12" s="115"/>
      <c r="BD12" s="115"/>
      <c r="BE12" s="115"/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15"/>
      <c r="BQ12" s="115"/>
      <c r="BR12" s="115">
        <v>1</v>
      </c>
      <c r="BS12" s="115"/>
      <c r="BT12" s="115"/>
      <c r="BU12" s="115"/>
      <c r="BV12" s="115"/>
      <c r="BW12" s="115"/>
      <c r="BX12" s="115"/>
      <c r="BY12" s="115"/>
      <c r="BZ12" s="115"/>
      <c r="CA12" s="115"/>
      <c r="CB12" s="115"/>
      <c r="CC12" s="115"/>
      <c r="CD12" s="183">
        <f t="shared" si="3"/>
        <v>3</v>
      </c>
      <c r="CE12" s="183" cm="1">
        <f t="array" ref="CE12">SUMPRODUCT(--(B12:CC12=INT(B12:CC12)),--(B12:CC12&gt;0))</f>
        <v>3</v>
      </c>
      <c r="CF12" s="183" cm="1">
        <f t="array" ref="CF12">MAX(FREQUENCY(IF((B12:CC12=INT(B12:CC12))*(B12:CC12&gt;0),COLUMN(B12:CC12)),IF((B12:CC12&lt;&gt;INT(B12:CC12))+(B12:CC12&lt;=0),COLUMN(B12:CC12))))</f>
        <v>1</v>
      </c>
      <c r="CG12" s="184" cm="1">
        <f t="array" ref="CG12">SUMPRODUCT(--(B12:CC12=INT(B12:CC12)),--(B12:CC12&gt;0))/80*100%</f>
        <v>0.0375</v>
      </c>
      <c r="CH12" s="185">
        <f t="shared" si="0"/>
        <v>33</v>
      </c>
      <c r="CI12" s="185">
        <f t="shared" si="1"/>
        <v>33</v>
      </c>
      <c r="CJ12" s="185">
        <f t="shared" si="2"/>
        <v>27</v>
      </c>
    </row>
    <row r="13" customHeight="1" spans="1:88">
      <c r="A13" s="4">
        <v>11</v>
      </c>
      <c r="B13" s="115"/>
      <c r="C13" s="115"/>
      <c r="D13" s="115">
        <v>1</v>
      </c>
      <c r="E13" s="115"/>
      <c r="F13" s="115"/>
      <c r="G13" s="115"/>
      <c r="H13" s="115">
        <v>1</v>
      </c>
      <c r="I13" s="115"/>
      <c r="J13" s="115"/>
      <c r="K13" s="115"/>
      <c r="L13" s="115">
        <v>1</v>
      </c>
      <c r="M13" s="115"/>
      <c r="N13" s="115">
        <v>1</v>
      </c>
      <c r="O13" s="115"/>
      <c r="P13" s="115"/>
      <c r="Q13" s="115">
        <v>1</v>
      </c>
      <c r="R13" s="115"/>
      <c r="S13" s="115"/>
      <c r="T13" s="115">
        <v>1</v>
      </c>
      <c r="U13" s="115"/>
      <c r="V13" s="115"/>
      <c r="W13" s="115"/>
      <c r="X13" s="115"/>
      <c r="Y13" s="115">
        <v>1</v>
      </c>
      <c r="Z13" s="115"/>
      <c r="AA13" s="115">
        <v>1</v>
      </c>
      <c r="AB13" s="115"/>
      <c r="AC13" s="115"/>
      <c r="AD13" s="115"/>
      <c r="AE13" s="115"/>
      <c r="AF13" s="115"/>
      <c r="AG13" s="115"/>
      <c r="AH13" s="115"/>
      <c r="AI13" s="115"/>
      <c r="AJ13" s="115">
        <v>1</v>
      </c>
      <c r="AK13" s="115"/>
      <c r="AL13" s="115"/>
      <c r="AM13" s="115"/>
      <c r="AN13" s="115">
        <v>1</v>
      </c>
      <c r="AO13" s="115"/>
      <c r="AP13" s="115"/>
      <c r="AQ13" s="115">
        <v>1</v>
      </c>
      <c r="AR13" s="115"/>
      <c r="AS13" s="115"/>
      <c r="AT13" s="115"/>
      <c r="AU13" s="115"/>
      <c r="AV13" s="115"/>
      <c r="AW13" s="115"/>
      <c r="AX13" s="115"/>
      <c r="AY13" s="115">
        <v>1</v>
      </c>
      <c r="AZ13" s="115"/>
      <c r="BA13" s="115">
        <v>1</v>
      </c>
      <c r="BB13" s="115"/>
      <c r="BC13" s="115">
        <v>2</v>
      </c>
      <c r="BD13" s="115">
        <v>1</v>
      </c>
      <c r="BE13" s="115"/>
      <c r="BF13" s="115"/>
      <c r="BG13" s="115">
        <v>1</v>
      </c>
      <c r="BH13" s="115">
        <v>1</v>
      </c>
      <c r="BI13" s="115">
        <v>1</v>
      </c>
      <c r="BJ13" s="115">
        <v>1</v>
      </c>
      <c r="BK13" s="115"/>
      <c r="BL13" s="115"/>
      <c r="BM13" s="115"/>
      <c r="BN13" s="115"/>
      <c r="BO13" s="115">
        <v>1</v>
      </c>
      <c r="BP13" s="115"/>
      <c r="BQ13" s="115"/>
      <c r="BR13" s="115"/>
      <c r="BS13" s="115"/>
      <c r="BT13" s="115"/>
      <c r="BU13" s="115"/>
      <c r="BV13" s="115"/>
      <c r="BW13" s="115"/>
      <c r="BX13" s="115"/>
      <c r="BY13" s="115"/>
      <c r="BZ13" s="115"/>
      <c r="CA13" s="115"/>
      <c r="CB13" s="115"/>
      <c r="CC13" s="115"/>
      <c r="CD13" s="183">
        <f t="shared" si="3"/>
        <v>21</v>
      </c>
      <c r="CE13" s="183" cm="1">
        <f t="array" ref="CE13">SUMPRODUCT(--(B13:CC13=INT(B13:CC13)),--(B13:CC13&gt;0))</f>
        <v>20</v>
      </c>
      <c r="CF13" s="183" cm="1">
        <f t="array" ref="CF13">MAX(FREQUENCY(IF((B13:CC13=INT(B13:CC13))*(B13:CC13&gt;0),COLUMN(B13:CC13)),IF((B13:CC13&lt;&gt;INT(B13:CC13))+(B13:CC13&lt;=0),COLUMN(B13:CC13))))</f>
        <v>4</v>
      </c>
      <c r="CG13" s="184" cm="1">
        <f t="array" ref="CG13">SUMPRODUCT(--(B13:CC13=INT(B13:CC13)),--(B13:CC13&gt;0))/80*100%</f>
        <v>0.25</v>
      </c>
      <c r="CH13" s="185">
        <f t="shared" si="0"/>
        <v>14</v>
      </c>
      <c r="CI13" s="185">
        <f t="shared" si="1"/>
        <v>14</v>
      </c>
      <c r="CJ13" s="185">
        <f t="shared" si="2"/>
        <v>13</v>
      </c>
    </row>
    <row r="14" customHeight="1" spans="1:88">
      <c r="A14" s="4">
        <v>12</v>
      </c>
      <c r="B14" s="115"/>
      <c r="C14" s="115"/>
      <c r="D14" s="115"/>
      <c r="E14" s="115"/>
      <c r="F14" s="115"/>
      <c r="G14" s="115"/>
      <c r="H14" s="115"/>
      <c r="I14" s="115"/>
      <c r="J14" s="115"/>
      <c r="K14" s="115"/>
      <c r="L14" s="115">
        <v>1</v>
      </c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>
        <v>1</v>
      </c>
      <c r="Z14" s="115"/>
      <c r="AA14" s="115"/>
      <c r="AB14" s="115"/>
      <c r="AC14" s="115"/>
      <c r="AD14" s="115"/>
      <c r="AE14" s="115"/>
      <c r="AF14" s="115"/>
      <c r="AG14" s="115"/>
      <c r="AH14" s="115"/>
      <c r="AI14" s="115"/>
      <c r="AJ14" s="115"/>
      <c r="AK14" s="115"/>
      <c r="AL14" s="115"/>
      <c r="AM14" s="115"/>
      <c r="AN14" s="115"/>
      <c r="AO14" s="115"/>
      <c r="AP14" s="115"/>
      <c r="AQ14" s="115">
        <v>1</v>
      </c>
      <c r="AR14" s="115"/>
      <c r="AS14" s="115"/>
      <c r="AT14" s="115">
        <v>1</v>
      </c>
      <c r="AU14" s="115"/>
      <c r="AV14" s="115"/>
      <c r="AW14" s="115"/>
      <c r="AX14" s="115"/>
      <c r="AY14" s="115">
        <v>1</v>
      </c>
      <c r="AZ14" s="115"/>
      <c r="BA14" s="115"/>
      <c r="BB14" s="115"/>
      <c r="BC14" s="115"/>
      <c r="BD14" s="115"/>
      <c r="BE14" s="115"/>
      <c r="BF14" s="115"/>
      <c r="BG14" s="115"/>
      <c r="BH14" s="115"/>
      <c r="BI14" s="115"/>
      <c r="BJ14" s="115"/>
      <c r="BK14" s="115"/>
      <c r="BL14" s="115"/>
      <c r="BM14" s="115"/>
      <c r="BN14" s="115"/>
      <c r="BO14" s="115"/>
      <c r="BP14" s="115"/>
      <c r="BQ14" s="115"/>
      <c r="BR14" s="115"/>
      <c r="BS14" s="115">
        <v>1</v>
      </c>
      <c r="BT14" s="115"/>
      <c r="BU14" s="115"/>
      <c r="BV14" s="115"/>
      <c r="BW14" s="115"/>
      <c r="BX14" s="115"/>
      <c r="BY14" s="115"/>
      <c r="BZ14" s="115"/>
      <c r="CA14" s="115"/>
      <c r="CB14" s="115"/>
      <c r="CC14" s="115"/>
      <c r="CD14" s="183">
        <f t="shared" si="3"/>
        <v>6</v>
      </c>
      <c r="CE14" s="183" cm="1">
        <f t="array" ref="CE14">SUMPRODUCT(--(B14:CC14=INT(B14:CC14)),--(B14:CC14&gt;0))</f>
        <v>6</v>
      </c>
      <c r="CF14" s="183" cm="1">
        <f t="array" ref="CF14">MAX(FREQUENCY(IF((B14:CC14=INT(B14:CC14))*(B14:CC14&gt;0),COLUMN(B14:CC14)),IF((B14:CC14&lt;&gt;INT(B14:CC14))+(B14:CC14&lt;=0),COLUMN(B14:CC14))))</f>
        <v>1</v>
      </c>
      <c r="CG14" s="184" cm="1">
        <f t="array" ref="CG14">SUMPRODUCT(--(B14:CC14=INT(B14:CC14)),--(B14:CC14&gt;0))/80*100%</f>
        <v>0.075</v>
      </c>
      <c r="CH14" s="185">
        <f t="shared" si="0"/>
        <v>27</v>
      </c>
      <c r="CI14" s="185">
        <f t="shared" si="1"/>
        <v>27</v>
      </c>
      <c r="CJ14" s="185">
        <f t="shared" si="2"/>
        <v>27</v>
      </c>
    </row>
    <row r="15" customHeight="1" spans="1:88">
      <c r="A15" s="4">
        <v>13</v>
      </c>
      <c r="B15" s="115"/>
      <c r="C15" s="115">
        <v>1</v>
      </c>
      <c r="D15" s="115"/>
      <c r="E15" s="115"/>
      <c r="F15" s="115"/>
      <c r="G15" s="115"/>
      <c r="H15" s="115"/>
      <c r="I15" s="115">
        <v>1</v>
      </c>
      <c r="J15" s="115"/>
      <c r="K15" s="115"/>
      <c r="L15" s="115">
        <v>1</v>
      </c>
      <c r="M15" s="115">
        <v>1</v>
      </c>
      <c r="N15" s="115"/>
      <c r="O15" s="115"/>
      <c r="P15" s="115"/>
      <c r="Q15" s="115">
        <v>1</v>
      </c>
      <c r="R15" s="115"/>
      <c r="S15" s="115"/>
      <c r="T15" s="115">
        <v>2</v>
      </c>
      <c r="U15" s="115"/>
      <c r="V15" s="115"/>
      <c r="W15" s="115"/>
      <c r="X15" s="115"/>
      <c r="Y15" s="115">
        <v>1</v>
      </c>
      <c r="Z15" s="115"/>
      <c r="AA15" s="115">
        <v>1</v>
      </c>
      <c r="AB15" s="115"/>
      <c r="AC15" s="115"/>
      <c r="AD15" s="115"/>
      <c r="AE15" s="115"/>
      <c r="AF15" s="115">
        <v>1</v>
      </c>
      <c r="AG15" s="115"/>
      <c r="AH15" s="115"/>
      <c r="AI15" s="115"/>
      <c r="AJ15" s="115"/>
      <c r="AK15" s="115"/>
      <c r="AL15" s="115"/>
      <c r="AM15" s="115">
        <v>1</v>
      </c>
      <c r="AN15" s="115">
        <v>2</v>
      </c>
      <c r="AO15" s="115">
        <v>1</v>
      </c>
      <c r="AP15" s="115"/>
      <c r="AQ15" s="115">
        <v>1</v>
      </c>
      <c r="AR15" s="115">
        <v>1</v>
      </c>
      <c r="AS15" s="115">
        <v>1</v>
      </c>
      <c r="AT15" s="115"/>
      <c r="AU15" s="115">
        <v>1</v>
      </c>
      <c r="AV15" s="115"/>
      <c r="AW15" s="115"/>
      <c r="AX15" s="115">
        <v>2</v>
      </c>
      <c r="AY15" s="115">
        <v>1</v>
      </c>
      <c r="AZ15" s="115">
        <v>1</v>
      </c>
      <c r="BA15" s="115">
        <v>1</v>
      </c>
      <c r="BB15" s="115"/>
      <c r="BC15" s="115">
        <v>2</v>
      </c>
      <c r="BD15" s="115"/>
      <c r="BE15" s="115">
        <v>1</v>
      </c>
      <c r="BF15" s="115">
        <v>1</v>
      </c>
      <c r="BG15" s="115">
        <v>1</v>
      </c>
      <c r="BH15" s="115"/>
      <c r="BI15" s="115">
        <v>1</v>
      </c>
      <c r="BJ15" s="115">
        <v>1</v>
      </c>
      <c r="BK15" s="115"/>
      <c r="BL15" s="115"/>
      <c r="BM15" s="115"/>
      <c r="BN15" s="115"/>
      <c r="BO15" s="115"/>
      <c r="BP15" s="115"/>
      <c r="BQ15" s="115"/>
      <c r="BR15" s="115"/>
      <c r="BS15" s="115"/>
      <c r="BT15" s="115"/>
      <c r="BU15" s="115"/>
      <c r="BV15" s="115"/>
      <c r="BW15" s="115"/>
      <c r="BX15" s="115"/>
      <c r="BY15" s="115"/>
      <c r="BZ15" s="115"/>
      <c r="CA15" s="115"/>
      <c r="CB15" s="115"/>
      <c r="CC15" s="115"/>
      <c r="CD15" s="183">
        <f t="shared" si="3"/>
        <v>30</v>
      </c>
      <c r="CE15" s="183" cm="1">
        <f t="array" ref="CE15">SUMPRODUCT(--(B15:CC15=INT(B15:CC15)),--(B15:CC15&gt;0))</f>
        <v>26</v>
      </c>
      <c r="CF15" s="183" cm="1">
        <f t="array" ref="CF15">MAX(FREQUENCY(IF((B15:CC15=INT(B15:CC15))*(B15:CC15&gt;0),COLUMN(B15:CC15)),IF((B15:CC15&lt;&gt;INT(B15:CC15))+(B15:CC15&lt;=0),COLUMN(B15:CC15))))</f>
        <v>4</v>
      </c>
      <c r="CG15" s="184" cm="1">
        <f t="array" ref="CG15">SUMPRODUCT(--(B15:CC15=INT(B15:CC15)),--(B15:CC15&gt;0))/80*100%</f>
        <v>0.325</v>
      </c>
      <c r="CH15" s="185">
        <f t="shared" si="0"/>
        <v>9</v>
      </c>
      <c r="CI15" s="185">
        <f t="shared" si="1"/>
        <v>9</v>
      </c>
      <c r="CJ15" s="185">
        <f t="shared" si="2"/>
        <v>13</v>
      </c>
    </row>
    <row r="16" customHeight="1" spans="1:88">
      <c r="A16" s="4">
        <v>14</v>
      </c>
      <c r="B16" s="115"/>
      <c r="C16" s="115"/>
      <c r="D16" s="115"/>
      <c r="E16" s="115"/>
      <c r="F16" s="115"/>
      <c r="G16" s="115">
        <v>1</v>
      </c>
      <c r="H16" s="115"/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>
        <v>1</v>
      </c>
      <c r="U16" s="115"/>
      <c r="V16" s="115"/>
      <c r="W16" s="115"/>
      <c r="X16" s="115"/>
      <c r="Y16" s="115"/>
      <c r="Z16" s="115"/>
      <c r="AA16" s="115"/>
      <c r="AB16" s="115"/>
      <c r="AC16" s="115"/>
      <c r="AD16" s="115"/>
      <c r="AE16" s="115"/>
      <c r="AF16" s="115"/>
      <c r="AG16" s="115"/>
      <c r="AH16" s="115"/>
      <c r="AI16" s="115"/>
      <c r="AJ16" s="115"/>
      <c r="AK16" s="115"/>
      <c r="AL16" s="115"/>
      <c r="AM16" s="115"/>
      <c r="AN16" s="115"/>
      <c r="AO16" s="115"/>
      <c r="AP16" s="115"/>
      <c r="AQ16" s="115"/>
      <c r="AR16" s="115"/>
      <c r="AS16" s="115"/>
      <c r="AT16" s="115"/>
      <c r="AU16" s="115"/>
      <c r="AV16" s="115"/>
      <c r="AW16" s="115"/>
      <c r="AX16" s="115"/>
      <c r="AY16" s="115"/>
      <c r="AZ16" s="115"/>
      <c r="BA16" s="115">
        <v>1</v>
      </c>
      <c r="BB16" s="115"/>
      <c r="BC16" s="115"/>
      <c r="BD16" s="115"/>
      <c r="BE16" s="115"/>
      <c r="BF16" s="115">
        <v>1</v>
      </c>
      <c r="BG16" s="115"/>
      <c r="BH16" s="115"/>
      <c r="BI16" s="115"/>
      <c r="BJ16" s="115">
        <v>1</v>
      </c>
      <c r="BK16" s="115"/>
      <c r="BL16" s="115"/>
      <c r="BM16" s="115"/>
      <c r="BN16" s="115"/>
      <c r="BO16" s="115"/>
      <c r="BP16" s="115"/>
      <c r="BQ16" s="115"/>
      <c r="BR16" s="115"/>
      <c r="BS16" s="115"/>
      <c r="BT16" s="115"/>
      <c r="BU16" s="115"/>
      <c r="BV16" s="115"/>
      <c r="BW16" s="115"/>
      <c r="BX16" s="115"/>
      <c r="BY16" s="115"/>
      <c r="BZ16" s="115"/>
      <c r="CA16" s="115"/>
      <c r="CB16" s="115"/>
      <c r="CC16" s="115"/>
      <c r="CD16" s="183">
        <f t="shared" si="3"/>
        <v>5</v>
      </c>
      <c r="CE16" s="183" cm="1">
        <f t="array" ref="CE16">SUMPRODUCT(--(B16:CC16=INT(B16:CC16)),--(B16:CC16&gt;0))</f>
        <v>5</v>
      </c>
      <c r="CF16" s="183" cm="1">
        <f t="array" ref="CF16">MAX(FREQUENCY(IF((B16:CC16=INT(B16:CC16))*(B16:CC16&gt;0),COLUMN(B16:CC16)),IF((B16:CC16&lt;&gt;INT(B16:CC16))+(B16:CC16&lt;=0),COLUMN(B16:CC16))))</f>
        <v>1</v>
      </c>
      <c r="CG16" s="184" cm="1">
        <f t="array" ref="CG16">SUMPRODUCT(--(B16:CC16=INT(B16:CC16)),--(B16:CC16&gt;0))/80*100%</f>
        <v>0.0625</v>
      </c>
      <c r="CH16" s="185">
        <f t="shared" si="0"/>
        <v>29</v>
      </c>
      <c r="CI16" s="185">
        <f t="shared" si="1"/>
        <v>28</v>
      </c>
      <c r="CJ16" s="185">
        <f t="shared" si="2"/>
        <v>27</v>
      </c>
    </row>
    <row r="17" customHeight="1" spans="1:88">
      <c r="A17" s="4">
        <v>15</v>
      </c>
      <c r="B17" s="115"/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5"/>
      <c r="N17" s="115"/>
      <c r="O17" s="115"/>
      <c r="P17" s="115"/>
      <c r="Q17" s="115"/>
      <c r="R17" s="115">
        <v>1</v>
      </c>
      <c r="S17" s="115"/>
      <c r="T17" s="115"/>
      <c r="U17" s="115"/>
      <c r="V17" s="115">
        <v>1</v>
      </c>
      <c r="W17" s="115"/>
      <c r="X17" s="115"/>
      <c r="Y17" s="115">
        <v>1</v>
      </c>
      <c r="Z17" s="115"/>
      <c r="AA17" s="115"/>
      <c r="AB17" s="115"/>
      <c r="AC17" s="115"/>
      <c r="AD17" s="115"/>
      <c r="AE17" s="115"/>
      <c r="AF17" s="115"/>
      <c r="AG17" s="115"/>
      <c r="AH17" s="115"/>
      <c r="AI17" s="115"/>
      <c r="AJ17" s="115">
        <v>1</v>
      </c>
      <c r="AK17" s="115"/>
      <c r="AL17" s="115"/>
      <c r="AM17" s="115"/>
      <c r="AN17" s="115"/>
      <c r="AO17" s="115"/>
      <c r="AP17" s="115"/>
      <c r="AQ17" s="115"/>
      <c r="AR17" s="115"/>
      <c r="AS17" s="115"/>
      <c r="AT17" s="115"/>
      <c r="AU17" s="115"/>
      <c r="AV17" s="115"/>
      <c r="AW17" s="115"/>
      <c r="AX17" s="115"/>
      <c r="AY17" s="115"/>
      <c r="AZ17" s="115"/>
      <c r="BA17" s="115"/>
      <c r="BB17" s="115"/>
      <c r="BC17" s="115"/>
      <c r="BD17" s="115"/>
      <c r="BE17" s="115">
        <v>1</v>
      </c>
      <c r="BF17" s="115"/>
      <c r="BG17" s="115"/>
      <c r="BH17" s="115"/>
      <c r="BI17" s="115"/>
      <c r="BJ17" s="115"/>
      <c r="BK17" s="115"/>
      <c r="BL17" s="115"/>
      <c r="BM17" s="115"/>
      <c r="BN17" s="115"/>
      <c r="BO17" s="115"/>
      <c r="BP17" s="115"/>
      <c r="BQ17" s="115"/>
      <c r="BR17" s="115"/>
      <c r="BS17" s="115"/>
      <c r="BT17" s="115"/>
      <c r="BU17" s="115"/>
      <c r="BV17" s="115"/>
      <c r="BW17" s="115"/>
      <c r="BX17" s="115"/>
      <c r="BY17" s="115"/>
      <c r="BZ17" s="115"/>
      <c r="CA17" s="115"/>
      <c r="CB17" s="115"/>
      <c r="CC17" s="115"/>
      <c r="CD17" s="183">
        <f t="shared" si="3"/>
        <v>5</v>
      </c>
      <c r="CE17" s="183" cm="1">
        <f t="array" ref="CE17">SUMPRODUCT(--(B17:CC17=INT(B17:CC17)),--(B17:CC17&gt;0))</f>
        <v>5</v>
      </c>
      <c r="CF17" s="183" cm="1">
        <f t="array" ref="CF17">MAX(FREQUENCY(IF((B17:CC17=INT(B17:CC17))*(B17:CC17&gt;0),COLUMN(B17:CC17)),IF((B17:CC17&lt;&gt;INT(B17:CC17))+(B17:CC17&lt;=0),COLUMN(B17:CC17))))</f>
        <v>1</v>
      </c>
      <c r="CG17" s="184" cm="1">
        <f t="array" ref="CG17">SUMPRODUCT(--(B17:CC17=INT(B17:CC17)),--(B17:CC17&gt;0))/80*100%</f>
        <v>0.0625</v>
      </c>
      <c r="CH17" s="185">
        <f t="shared" si="0"/>
        <v>29</v>
      </c>
      <c r="CI17" s="185">
        <f t="shared" si="1"/>
        <v>28</v>
      </c>
      <c r="CJ17" s="185">
        <f t="shared" si="2"/>
        <v>27</v>
      </c>
    </row>
    <row r="18" customHeight="1" spans="1:88">
      <c r="A18" s="115">
        <v>16</v>
      </c>
      <c r="B18" s="115"/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>
        <v>1</v>
      </c>
      <c r="Z18" s="115"/>
      <c r="AA18" s="115"/>
      <c r="AB18" s="115"/>
      <c r="AC18" s="115"/>
      <c r="AD18" s="115"/>
      <c r="AE18" s="115"/>
      <c r="AF18" s="115"/>
      <c r="AG18" s="115"/>
      <c r="AH18" s="115"/>
      <c r="AI18" s="115"/>
      <c r="AJ18" s="115"/>
      <c r="AK18" s="115"/>
      <c r="AL18" s="115"/>
      <c r="AM18" s="115"/>
      <c r="AN18" s="115"/>
      <c r="AO18" s="115"/>
      <c r="AP18" s="115"/>
      <c r="AQ18" s="115"/>
      <c r="AR18" s="115"/>
      <c r="AS18" s="115"/>
      <c r="AT18" s="115"/>
      <c r="AU18" s="115"/>
      <c r="AV18" s="115"/>
      <c r="AW18" s="115"/>
      <c r="AX18" s="115"/>
      <c r="AY18" s="115"/>
      <c r="AZ18" s="115"/>
      <c r="BA18" s="115"/>
      <c r="BB18" s="115"/>
      <c r="BC18" s="115"/>
      <c r="BD18" s="115"/>
      <c r="BE18" s="115"/>
      <c r="BF18" s="115"/>
      <c r="BG18" s="115"/>
      <c r="BH18" s="115"/>
      <c r="BI18" s="115"/>
      <c r="BJ18" s="115"/>
      <c r="BK18" s="115"/>
      <c r="BL18" s="115"/>
      <c r="BM18" s="115"/>
      <c r="BN18" s="115"/>
      <c r="BO18" s="115"/>
      <c r="BP18" s="115"/>
      <c r="BQ18" s="115"/>
      <c r="BR18" s="115"/>
      <c r="BS18" s="115"/>
      <c r="BT18" s="115"/>
      <c r="BU18" s="115"/>
      <c r="BV18" s="115"/>
      <c r="BW18" s="115"/>
      <c r="BX18" s="115"/>
      <c r="BY18" s="115"/>
      <c r="BZ18" s="115"/>
      <c r="CA18" s="115"/>
      <c r="CB18" s="115"/>
      <c r="CC18" s="115"/>
      <c r="CD18" s="183">
        <f t="shared" si="3"/>
        <v>1</v>
      </c>
      <c r="CE18" s="183" cm="1">
        <f t="array" ref="CE18">SUMPRODUCT(--(B18:CC18=INT(B18:CC18)),--(B18:CC18&gt;0))</f>
        <v>1</v>
      </c>
      <c r="CF18" s="183" cm="1">
        <f t="array" ref="CF18">MAX(FREQUENCY(IF((B18:CC18=INT(B18:CC18))*(B18:CC18&gt;0),COLUMN(B18:CC18)),IF((B18:CC18&lt;&gt;INT(B18:CC18))+(B18:CC18&lt;=0),COLUMN(B18:CC18))))</f>
        <v>1</v>
      </c>
      <c r="CG18" s="184" cm="1">
        <f t="array" ref="CG18">SUMPRODUCT(--(B18:CC18=INT(B18:CC18)),--(B18:CC18&gt;0))/80*100%</f>
        <v>0.0125</v>
      </c>
      <c r="CH18" s="185">
        <f t="shared" si="0"/>
        <v>39</v>
      </c>
      <c r="CI18" s="185">
        <f t="shared" si="1"/>
        <v>39</v>
      </c>
      <c r="CJ18" s="185">
        <f t="shared" si="2"/>
        <v>27</v>
      </c>
    </row>
    <row r="19" customHeight="1" spans="1:88">
      <c r="A19" s="4">
        <v>17</v>
      </c>
      <c r="B19" s="115">
        <v>1</v>
      </c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5"/>
      <c r="N19" s="115">
        <v>1</v>
      </c>
      <c r="O19" s="115"/>
      <c r="P19" s="115"/>
      <c r="Q19" s="115"/>
      <c r="R19" s="115"/>
      <c r="S19" s="115">
        <v>1</v>
      </c>
      <c r="T19" s="115">
        <v>1</v>
      </c>
      <c r="U19" s="115"/>
      <c r="V19" s="115">
        <v>1</v>
      </c>
      <c r="W19" s="115"/>
      <c r="X19" s="115"/>
      <c r="Y19" s="115"/>
      <c r="Z19" s="115"/>
      <c r="AA19" s="115"/>
      <c r="AB19" s="115"/>
      <c r="AC19" s="115"/>
      <c r="AD19" s="115"/>
      <c r="AE19" s="115"/>
      <c r="AF19" s="115"/>
      <c r="AG19" s="115"/>
      <c r="AH19" s="115"/>
      <c r="AI19" s="115"/>
      <c r="AJ19" s="115"/>
      <c r="AK19" s="115"/>
      <c r="AL19" s="115"/>
      <c r="AM19" s="115"/>
      <c r="AN19" s="115"/>
      <c r="AO19" s="115"/>
      <c r="AP19" s="115"/>
      <c r="AQ19" s="115"/>
      <c r="AR19" s="115"/>
      <c r="AS19" s="115"/>
      <c r="AT19" s="115"/>
      <c r="AU19" s="115">
        <v>2</v>
      </c>
      <c r="AV19" s="115">
        <v>1</v>
      </c>
      <c r="AW19" s="115"/>
      <c r="AX19" s="115"/>
      <c r="AY19" s="115">
        <v>1</v>
      </c>
      <c r="AZ19" s="115"/>
      <c r="BA19" s="115"/>
      <c r="BB19" s="115"/>
      <c r="BC19" s="115"/>
      <c r="BD19" s="115"/>
      <c r="BE19" s="115">
        <v>1</v>
      </c>
      <c r="BF19" s="115"/>
      <c r="BG19" s="115">
        <v>1</v>
      </c>
      <c r="BH19" s="115"/>
      <c r="BI19" s="115"/>
      <c r="BJ19" s="115">
        <v>1</v>
      </c>
      <c r="BK19" s="115">
        <v>1</v>
      </c>
      <c r="BL19" s="115"/>
      <c r="BM19" s="115"/>
      <c r="BN19" s="115"/>
      <c r="BO19" s="115"/>
      <c r="BP19" s="115"/>
      <c r="BQ19" s="115"/>
      <c r="BR19" s="115"/>
      <c r="BS19" s="115"/>
      <c r="BT19" s="115"/>
      <c r="BU19" s="115"/>
      <c r="BV19" s="115"/>
      <c r="BW19" s="115"/>
      <c r="BX19" s="115"/>
      <c r="BY19" s="115"/>
      <c r="BZ19" s="115"/>
      <c r="CA19" s="115"/>
      <c r="CB19" s="115"/>
      <c r="CC19" s="115"/>
      <c r="CD19" s="183">
        <f t="shared" si="3"/>
        <v>13</v>
      </c>
      <c r="CE19" s="183" cm="1">
        <f t="array" ref="CE19">SUMPRODUCT(--(B19:CC19=INT(B19:CC19)),--(B19:CC19&gt;0))</f>
        <v>12</v>
      </c>
      <c r="CF19" s="183" cm="1">
        <f t="array" ref="CF19">MAX(FREQUENCY(IF((B19:CC19=INT(B19:CC19))*(B19:CC19&gt;0),COLUMN(B19:CC19)),IF((B19:CC19&lt;&gt;INT(B19:CC19))+(B19:CC19&lt;=0),COLUMN(B19:CC19))))</f>
        <v>2</v>
      </c>
      <c r="CG19" s="184" cm="1">
        <f t="array" ref="CG19">SUMPRODUCT(--(B19:CC19=INT(B19:CC19)),--(B19:CC19&gt;0))/80*100%</f>
        <v>0.15</v>
      </c>
      <c r="CH19" s="185">
        <f t="shared" si="0"/>
        <v>20</v>
      </c>
      <c r="CI19" s="185">
        <f t="shared" si="1"/>
        <v>20</v>
      </c>
      <c r="CJ19" s="185">
        <f t="shared" si="2"/>
        <v>24</v>
      </c>
    </row>
    <row r="20" customHeight="1" spans="1:88">
      <c r="A20" s="4">
        <v>18</v>
      </c>
      <c r="B20" s="115"/>
      <c r="C20" s="115"/>
      <c r="D20" s="115"/>
      <c r="E20" s="115"/>
      <c r="F20" s="115"/>
      <c r="G20" s="115"/>
      <c r="H20" s="115"/>
      <c r="I20" s="115"/>
      <c r="J20" s="115"/>
      <c r="K20" s="115"/>
      <c r="L20" s="115">
        <v>1</v>
      </c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  <c r="AD20" s="115"/>
      <c r="AE20" s="115"/>
      <c r="AF20" s="115"/>
      <c r="AG20" s="115"/>
      <c r="AH20" s="115"/>
      <c r="AI20" s="115"/>
      <c r="AJ20" s="115"/>
      <c r="AK20" s="115"/>
      <c r="AL20" s="115"/>
      <c r="AM20" s="115"/>
      <c r="AN20" s="115"/>
      <c r="AO20" s="115"/>
      <c r="AP20" s="115"/>
      <c r="AQ20" s="115"/>
      <c r="AR20" s="115"/>
      <c r="AS20" s="115"/>
      <c r="AT20" s="115"/>
      <c r="AU20" s="115"/>
      <c r="AV20" s="115"/>
      <c r="AW20" s="115"/>
      <c r="AX20" s="115"/>
      <c r="AY20" s="115"/>
      <c r="AZ20" s="115"/>
      <c r="BA20" s="115"/>
      <c r="BB20" s="115"/>
      <c r="BC20" s="115"/>
      <c r="BD20" s="115"/>
      <c r="BE20" s="115"/>
      <c r="BF20" s="115"/>
      <c r="BG20" s="115">
        <v>1</v>
      </c>
      <c r="BH20" s="115"/>
      <c r="BI20" s="115"/>
      <c r="BJ20" s="115"/>
      <c r="BK20" s="115"/>
      <c r="BL20" s="115"/>
      <c r="BM20" s="115"/>
      <c r="BN20" s="115"/>
      <c r="BO20" s="115"/>
      <c r="BP20" s="115"/>
      <c r="BQ20" s="115"/>
      <c r="BR20" s="115"/>
      <c r="BS20" s="115"/>
      <c r="BT20" s="115"/>
      <c r="BU20" s="115"/>
      <c r="BV20" s="115"/>
      <c r="BW20" s="115"/>
      <c r="BX20" s="115"/>
      <c r="BY20" s="115"/>
      <c r="BZ20" s="115"/>
      <c r="CA20" s="115"/>
      <c r="CB20" s="115"/>
      <c r="CC20" s="115"/>
      <c r="CD20" s="183">
        <f t="shared" si="3"/>
        <v>2</v>
      </c>
      <c r="CE20" s="183" cm="1">
        <f t="array" ref="CE20">SUMPRODUCT(--(B20:CC20=INT(B20:CC20)),--(B20:CC20&gt;0))</f>
        <v>2</v>
      </c>
      <c r="CF20" s="183" cm="1">
        <f t="array" ref="CF20">MAX(FREQUENCY(IF((B20:CC20=INT(B20:CC20))*(B20:CC20&gt;0),COLUMN(B20:CC20)),IF((B20:CC20&lt;&gt;INT(B20:CC20))+(B20:CC20&lt;=0),COLUMN(B20:CC20))))</f>
        <v>1</v>
      </c>
      <c r="CG20" s="184" cm="1">
        <f t="array" ref="CG20">SUMPRODUCT(--(B20:CC20=INT(B20:CC20)),--(B20:CC20&gt;0))/80*100%</f>
        <v>0.025</v>
      </c>
      <c r="CH20" s="185">
        <f t="shared" si="0"/>
        <v>36</v>
      </c>
      <c r="CI20" s="185">
        <f t="shared" si="1"/>
        <v>35</v>
      </c>
      <c r="CJ20" s="185">
        <f t="shared" si="2"/>
        <v>27</v>
      </c>
    </row>
    <row r="21" customHeight="1" spans="1:88">
      <c r="A21" s="4">
        <v>19</v>
      </c>
      <c r="B21" s="115"/>
      <c r="C21" s="115"/>
      <c r="D21" s="115"/>
      <c r="E21" s="115"/>
      <c r="F21" s="115"/>
      <c r="G21" s="115"/>
      <c r="H21" s="115"/>
      <c r="I21" s="115"/>
      <c r="J21" s="115">
        <v>1</v>
      </c>
      <c r="K21" s="115"/>
      <c r="L21" s="115">
        <v>1</v>
      </c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  <c r="AD21" s="115"/>
      <c r="AE21" s="115"/>
      <c r="AF21" s="115"/>
      <c r="AG21" s="115"/>
      <c r="AH21" s="115"/>
      <c r="AI21" s="115"/>
      <c r="AJ21" s="115"/>
      <c r="AK21" s="115"/>
      <c r="AL21" s="115"/>
      <c r="AM21" s="115"/>
      <c r="AN21" s="115"/>
      <c r="AO21" s="115"/>
      <c r="AP21" s="115">
        <v>1</v>
      </c>
      <c r="AQ21" s="115"/>
      <c r="AR21" s="115"/>
      <c r="AS21" s="115"/>
      <c r="AT21" s="115"/>
      <c r="AU21" s="115">
        <v>2</v>
      </c>
      <c r="AV21" s="115"/>
      <c r="AW21" s="115"/>
      <c r="AX21" s="115"/>
      <c r="AY21" s="115"/>
      <c r="AZ21" s="115"/>
      <c r="BA21" s="115"/>
      <c r="BB21" s="115">
        <v>1</v>
      </c>
      <c r="BC21" s="115"/>
      <c r="BD21" s="115"/>
      <c r="BE21" s="115"/>
      <c r="BF21" s="115"/>
      <c r="BG21" s="115"/>
      <c r="BH21" s="115"/>
      <c r="BI21" s="115"/>
      <c r="BJ21" s="115"/>
      <c r="BK21" s="115"/>
      <c r="BL21" s="115"/>
      <c r="BM21" s="115"/>
      <c r="BN21" s="115"/>
      <c r="BO21" s="115"/>
      <c r="BP21" s="115"/>
      <c r="BQ21" s="115"/>
      <c r="BR21" s="115"/>
      <c r="BS21" s="115"/>
      <c r="BT21" s="115"/>
      <c r="BU21" s="115"/>
      <c r="BV21" s="115"/>
      <c r="BW21" s="115"/>
      <c r="BX21" s="115"/>
      <c r="BY21" s="115"/>
      <c r="BZ21" s="115"/>
      <c r="CA21" s="115"/>
      <c r="CB21" s="115"/>
      <c r="CC21" s="115"/>
      <c r="CD21" s="183">
        <f t="shared" si="3"/>
        <v>6</v>
      </c>
      <c r="CE21" s="183" cm="1">
        <f t="array" ref="CE21">SUMPRODUCT(--(B21:CC21=INT(B21:CC21)),--(B21:CC21&gt;0))</f>
        <v>5</v>
      </c>
      <c r="CF21" s="183" cm="1">
        <f t="array" ref="CF21">MAX(FREQUENCY(IF((B21:CC21=INT(B21:CC21))*(B21:CC21&gt;0),COLUMN(B21:CC21)),IF((B21:CC21&lt;&gt;INT(B21:CC21))+(B21:CC21&lt;=0),COLUMN(B21:CC21))))</f>
        <v>1</v>
      </c>
      <c r="CG21" s="184" cm="1">
        <f t="array" ref="CG21">SUMPRODUCT(--(B21:CC21=INT(B21:CC21)),--(B21:CC21&gt;0))/80*100%</f>
        <v>0.0625</v>
      </c>
      <c r="CH21" s="185">
        <f t="shared" si="0"/>
        <v>27</v>
      </c>
      <c r="CI21" s="185">
        <f t="shared" si="1"/>
        <v>28</v>
      </c>
      <c r="CJ21" s="185">
        <f t="shared" si="2"/>
        <v>27</v>
      </c>
    </row>
    <row r="22" customHeight="1" spans="1:88">
      <c r="A22" s="4">
        <v>20</v>
      </c>
      <c r="B22" s="115"/>
      <c r="C22" s="115"/>
      <c r="D22" s="115"/>
      <c r="E22" s="115"/>
      <c r="F22" s="115"/>
      <c r="G22" s="115"/>
      <c r="H22" s="115"/>
      <c r="I22" s="115">
        <v>1</v>
      </c>
      <c r="J22" s="115">
        <v>1</v>
      </c>
      <c r="K22" s="115"/>
      <c r="L22" s="115"/>
      <c r="M22" s="115"/>
      <c r="N22" s="115"/>
      <c r="O22" s="115"/>
      <c r="P22" s="115"/>
      <c r="Q22" s="115">
        <v>1</v>
      </c>
      <c r="R22" s="115">
        <v>1</v>
      </c>
      <c r="S22" s="115">
        <v>3</v>
      </c>
      <c r="T22" s="115">
        <v>1</v>
      </c>
      <c r="U22" s="115"/>
      <c r="V22" s="115">
        <v>1</v>
      </c>
      <c r="W22" s="115"/>
      <c r="X22" s="115"/>
      <c r="Y22" s="115">
        <v>1</v>
      </c>
      <c r="Z22" s="115">
        <v>1</v>
      </c>
      <c r="AA22" s="115"/>
      <c r="AB22" s="115"/>
      <c r="AC22" s="115"/>
      <c r="AD22" s="115"/>
      <c r="AE22" s="115">
        <v>1</v>
      </c>
      <c r="AF22" s="115"/>
      <c r="AG22" s="115"/>
      <c r="AH22" s="115"/>
      <c r="AI22" s="115"/>
      <c r="AJ22" s="115">
        <v>2</v>
      </c>
      <c r="AK22" s="115"/>
      <c r="AL22" s="115"/>
      <c r="AM22" s="115"/>
      <c r="AN22" s="115"/>
      <c r="AO22" s="115"/>
      <c r="AP22" s="115"/>
      <c r="AQ22" s="115"/>
      <c r="AR22" s="115">
        <v>1</v>
      </c>
      <c r="AS22" s="115"/>
      <c r="AT22" s="115"/>
      <c r="AU22" s="115">
        <v>1</v>
      </c>
      <c r="AV22" s="115"/>
      <c r="AW22" s="115">
        <v>1</v>
      </c>
      <c r="AX22" s="115">
        <v>1</v>
      </c>
      <c r="AY22" s="115">
        <v>1</v>
      </c>
      <c r="AZ22" s="115">
        <v>1</v>
      </c>
      <c r="BA22" s="115">
        <v>1</v>
      </c>
      <c r="BB22" s="115"/>
      <c r="BC22" s="115">
        <v>2</v>
      </c>
      <c r="BD22" s="115">
        <v>1</v>
      </c>
      <c r="BE22" s="115">
        <v>1</v>
      </c>
      <c r="BF22" s="115">
        <v>1</v>
      </c>
      <c r="BG22" s="115"/>
      <c r="BH22" s="115"/>
      <c r="BI22" s="115">
        <v>1</v>
      </c>
      <c r="BJ22" s="115">
        <v>1</v>
      </c>
      <c r="BK22" s="115">
        <v>1</v>
      </c>
      <c r="BL22" s="115"/>
      <c r="BM22" s="115"/>
      <c r="BN22" s="115"/>
      <c r="BO22" s="115"/>
      <c r="BP22" s="115"/>
      <c r="BQ22" s="115"/>
      <c r="BR22" s="115"/>
      <c r="BS22" s="115"/>
      <c r="BT22" s="115"/>
      <c r="BU22" s="115"/>
      <c r="BV22" s="115"/>
      <c r="BW22" s="115"/>
      <c r="BX22" s="115"/>
      <c r="BY22" s="115"/>
      <c r="BZ22" s="115"/>
      <c r="CA22" s="115"/>
      <c r="CB22" s="115"/>
      <c r="CC22" s="115"/>
      <c r="CD22" s="183">
        <f t="shared" si="3"/>
        <v>29</v>
      </c>
      <c r="CE22" s="183" cm="1">
        <f t="array" ref="CE22">SUMPRODUCT(--(B22:CC22=INT(B22:CC22)),--(B22:CC22&gt;0))</f>
        <v>25</v>
      </c>
      <c r="CF22" s="183" cm="1">
        <f t="array" ref="CF22">MAX(FREQUENCY(IF((B22:CC22=INT(B22:CC22))*(B22:CC22&gt;0),COLUMN(B22:CC22)),IF((B22:CC22&lt;&gt;INT(B22:CC22))+(B22:CC22&lt;=0),COLUMN(B22:CC22))))</f>
        <v>5</v>
      </c>
      <c r="CG22" s="184" cm="1">
        <f t="array" ref="CG22">SUMPRODUCT(--(B22:CC22=INT(B22:CC22)),--(B22:CC22&gt;0))/80*100%</f>
        <v>0.3125</v>
      </c>
      <c r="CH22" s="185">
        <f t="shared" si="0"/>
        <v>10</v>
      </c>
      <c r="CI22" s="185">
        <f t="shared" si="1"/>
        <v>10</v>
      </c>
      <c r="CJ22" s="185">
        <f t="shared" si="2"/>
        <v>7</v>
      </c>
    </row>
    <row r="23" customHeight="1" spans="1:88">
      <c r="A23" s="115">
        <v>21</v>
      </c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  <c r="AD23" s="115"/>
      <c r="AE23" s="115"/>
      <c r="AF23" s="115"/>
      <c r="AG23" s="115"/>
      <c r="AH23" s="115"/>
      <c r="AI23" s="115"/>
      <c r="AJ23" s="115"/>
      <c r="AK23" s="115"/>
      <c r="AL23" s="115"/>
      <c r="AM23" s="115"/>
      <c r="AN23" s="115"/>
      <c r="AO23" s="115"/>
      <c r="AP23" s="115"/>
      <c r="AQ23" s="115"/>
      <c r="AR23" s="115"/>
      <c r="AS23" s="115"/>
      <c r="AT23" s="115">
        <v>1</v>
      </c>
      <c r="AU23" s="115"/>
      <c r="AV23" s="115"/>
      <c r="AW23" s="115"/>
      <c r="AX23" s="115"/>
      <c r="AY23" s="115"/>
      <c r="AZ23" s="115"/>
      <c r="BA23" s="115"/>
      <c r="BB23" s="115"/>
      <c r="BC23" s="115"/>
      <c r="BD23" s="115"/>
      <c r="BE23" s="115"/>
      <c r="BF23" s="115"/>
      <c r="BG23" s="115"/>
      <c r="BH23" s="115"/>
      <c r="BI23" s="115"/>
      <c r="BJ23" s="115"/>
      <c r="BK23" s="115"/>
      <c r="BL23" s="115"/>
      <c r="BM23" s="115"/>
      <c r="BN23" s="115"/>
      <c r="BO23" s="115"/>
      <c r="BP23" s="115"/>
      <c r="BQ23" s="115"/>
      <c r="BR23" s="115"/>
      <c r="BS23" s="115"/>
      <c r="BT23" s="115"/>
      <c r="BU23" s="115"/>
      <c r="BV23" s="115"/>
      <c r="BW23" s="115"/>
      <c r="BX23" s="115"/>
      <c r="BY23" s="115"/>
      <c r="BZ23" s="115"/>
      <c r="CA23" s="115"/>
      <c r="CB23" s="115"/>
      <c r="CC23" s="115"/>
      <c r="CD23" s="183">
        <f t="shared" si="3"/>
        <v>1</v>
      </c>
      <c r="CE23" s="183" cm="1">
        <f t="array" ref="CE23">SUMPRODUCT(--(B23:CC23=INT(B23:CC23)),--(B23:CC23&gt;0))</f>
        <v>1</v>
      </c>
      <c r="CF23" s="183" cm="1">
        <f t="array" ref="CF23">MAX(FREQUENCY(IF((B23:CC23=INT(B23:CC23))*(B23:CC23&gt;0),COLUMN(B23:CC23)),IF((B23:CC23&lt;&gt;INT(B23:CC23))+(B23:CC23&lt;=0),COLUMN(B23:CC23))))</f>
        <v>1</v>
      </c>
      <c r="CG23" s="184" cm="1">
        <f t="array" ref="CG23">SUMPRODUCT(--(B23:CC23=INT(B23:CC23)),--(B23:CC23&gt;0))/80*100%</f>
        <v>0.0125</v>
      </c>
      <c r="CH23" s="185">
        <f t="shared" si="0"/>
        <v>39</v>
      </c>
      <c r="CI23" s="185">
        <f t="shared" si="1"/>
        <v>39</v>
      </c>
      <c r="CJ23" s="185">
        <f t="shared" si="2"/>
        <v>27</v>
      </c>
    </row>
    <row r="24" customHeight="1" spans="1:88">
      <c r="A24" s="4">
        <v>22</v>
      </c>
      <c r="B24" s="115"/>
      <c r="C24" s="115">
        <v>1</v>
      </c>
      <c r="D24" s="115">
        <v>1</v>
      </c>
      <c r="E24" s="115">
        <v>1</v>
      </c>
      <c r="F24" s="115"/>
      <c r="G24" s="115">
        <v>1</v>
      </c>
      <c r="H24" s="115"/>
      <c r="I24" s="115">
        <v>1</v>
      </c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>
        <v>1</v>
      </c>
      <c r="U24" s="115"/>
      <c r="V24" s="115">
        <v>1</v>
      </c>
      <c r="W24" s="115"/>
      <c r="X24" s="115"/>
      <c r="Y24" s="115">
        <v>1</v>
      </c>
      <c r="Z24" s="115"/>
      <c r="AA24" s="115"/>
      <c r="AB24" s="115"/>
      <c r="AC24" s="115"/>
      <c r="AD24" s="115"/>
      <c r="AE24" s="115"/>
      <c r="AF24" s="115"/>
      <c r="AG24" s="115"/>
      <c r="AH24" s="115"/>
      <c r="AI24" s="115"/>
      <c r="AJ24" s="115"/>
      <c r="AK24" s="115"/>
      <c r="AL24" s="115"/>
      <c r="AM24" s="115"/>
      <c r="AN24" s="115"/>
      <c r="AO24" s="115"/>
      <c r="AP24" s="115"/>
      <c r="AQ24" s="115"/>
      <c r="AR24" s="115"/>
      <c r="AS24" s="115"/>
      <c r="AT24" s="115"/>
      <c r="AU24" s="115"/>
      <c r="AV24" s="115"/>
      <c r="AW24" s="115"/>
      <c r="AX24" s="115">
        <v>1</v>
      </c>
      <c r="AY24" s="115"/>
      <c r="AZ24" s="115">
        <v>1</v>
      </c>
      <c r="BA24" s="115">
        <v>1</v>
      </c>
      <c r="BB24" s="115">
        <v>1</v>
      </c>
      <c r="BC24" s="115"/>
      <c r="BD24" s="115">
        <v>1</v>
      </c>
      <c r="BE24" s="115">
        <v>1</v>
      </c>
      <c r="BF24" s="115">
        <v>1</v>
      </c>
      <c r="BG24" s="115">
        <v>1</v>
      </c>
      <c r="BH24" s="115"/>
      <c r="BI24" s="115">
        <v>1</v>
      </c>
      <c r="BJ24" s="115">
        <v>1</v>
      </c>
      <c r="BK24" s="115"/>
      <c r="BL24" s="115"/>
      <c r="BM24" s="115"/>
      <c r="BN24" s="115"/>
      <c r="BO24" s="115">
        <v>1</v>
      </c>
      <c r="BP24" s="115"/>
      <c r="BQ24" s="115"/>
      <c r="BR24" s="115">
        <v>1</v>
      </c>
      <c r="BS24" s="115"/>
      <c r="BT24" s="115"/>
      <c r="BU24" s="115"/>
      <c r="BV24" s="115"/>
      <c r="BW24" s="115"/>
      <c r="BX24" s="115"/>
      <c r="BY24" s="115"/>
      <c r="BZ24" s="115"/>
      <c r="CA24" s="115"/>
      <c r="CB24" s="115"/>
      <c r="CC24" s="115"/>
      <c r="CD24" s="183">
        <f t="shared" si="3"/>
        <v>20</v>
      </c>
      <c r="CE24" s="183" cm="1">
        <f t="array" ref="CE24">SUMPRODUCT(--(B24:CC24=INT(B24:CC24)),--(B24:CC24&gt;0))</f>
        <v>20</v>
      </c>
      <c r="CF24" s="183" cm="1">
        <f t="array" ref="CF24">MAX(FREQUENCY(IF((B24:CC24=INT(B24:CC24))*(B24:CC24&gt;0),COLUMN(B24:CC24)),IF((B24:CC24&lt;&gt;INT(B24:CC24))+(B24:CC24&lt;=0),COLUMN(B24:CC24))))</f>
        <v>4</v>
      </c>
      <c r="CG24" s="184" cm="1">
        <f t="array" ref="CG24">SUMPRODUCT(--(B24:CC24=INT(B24:CC24)),--(B24:CC24&gt;0))/80*100%</f>
        <v>0.25</v>
      </c>
      <c r="CH24" s="185">
        <f t="shared" si="0"/>
        <v>16</v>
      </c>
      <c r="CI24" s="185">
        <f t="shared" si="1"/>
        <v>14</v>
      </c>
      <c r="CJ24" s="185">
        <f t="shared" si="2"/>
        <v>13</v>
      </c>
    </row>
    <row r="25" customHeight="1" spans="1:88">
      <c r="A25" s="115">
        <v>23</v>
      </c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>
        <v>1</v>
      </c>
      <c r="Z25" s="115"/>
      <c r="AA25" s="115"/>
      <c r="AB25" s="115"/>
      <c r="AC25" s="115"/>
      <c r="AD25" s="115"/>
      <c r="AE25" s="115"/>
      <c r="AF25" s="115"/>
      <c r="AG25" s="115"/>
      <c r="AH25" s="115"/>
      <c r="AI25" s="115"/>
      <c r="AJ25" s="115"/>
      <c r="AK25" s="115"/>
      <c r="AL25" s="115"/>
      <c r="AM25" s="115"/>
      <c r="AN25" s="115"/>
      <c r="AO25" s="115"/>
      <c r="AP25" s="115"/>
      <c r="AQ25" s="115"/>
      <c r="AR25" s="115"/>
      <c r="AS25" s="115"/>
      <c r="AT25" s="115"/>
      <c r="AU25" s="115"/>
      <c r="AV25" s="115"/>
      <c r="AW25" s="115"/>
      <c r="AX25" s="115"/>
      <c r="AY25" s="115"/>
      <c r="AZ25" s="115"/>
      <c r="BA25" s="115"/>
      <c r="BB25" s="115"/>
      <c r="BC25" s="115"/>
      <c r="BD25" s="115"/>
      <c r="BE25" s="115"/>
      <c r="BF25" s="115"/>
      <c r="BG25" s="115"/>
      <c r="BH25" s="115"/>
      <c r="BI25" s="115"/>
      <c r="BJ25" s="115"/>
      <c r="BK25" s="115"/>
      <c r="BL25" s="115"/>
      <c r="BM25" s="115"/>
      <c r="BN25" s="115"/>
      <c r="BO25" s="115"/>
      <c r="BP25" s="115"/>
      <c r="BQ25" s="115"/>
      <c r="BR25" s="115"/>
      <c r="BS25" s="115"/>
      <c r="BT25" s="115"/>
      <c r="BU25" s="115"/>
      <c r="BV25" s="115"/>
      <c r="BW25" s="115"/>
      <c r="BX25" s="115"/>
      <c r="BY25" s="115"/>
      <c r="BZ25" s="115"/>
      <c r="CA25" s="115"/>
      <c r="CB25" s="115"/>
      <c r="CC25" s="115"/>
      <c r="CD25" s="183">
        <f t="shared" si="3"/>
        <v>1</v>
      </c>
      <c r="CE25" s="183" cm="1">
        <f t="array" ref="CE25">SUMPRODUCT(--(B25:CC25=INT(B25:CC25)),--(B25:CC25&gt;0))</f>
        <v>1</v>
      </c>
      <c r="CF25" s="183" cm="1">
        <f t="array" ref="CF25">MAX(FREQUENCY(IF((B25:CC25=INT(B25:CC25))*(B25:CC25&gt;0),COLUMN(B25:CC25)),IF((B25:CC25&lt;&gt;INT(B25:CC25))+(B25:CC25&lt;=0),COLUMN(B25:CC25))))</f>
        <v>1</v>
      </c>
      <c r="CG25" s="184" cm="1">
        <f t="array" ref="CG25">SUMPRODUCT(--(B25:CC25=INT(B25:CC25)),--(B25:CC25&gt;0))/80*100%</f>
        <v>0.0125</v>
      </c>
      <c r="CH25" s="185">
        <f t="shared" si="0"/>
        <v>39</v>
      </c>
      <c r="CI25" s="185">
        <f t="shared" si="1"/>
        <v>39</v>
      </c>
      <c r="CJ25" s="185">
        <f t="shared" si="2"/>
        <v>27</v>
      </c>
    </row>
    <row r="26" customHeight="1" spans="1:88">
      <c r="A26" s="112">
        <v>24</v>
      </c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  <c r="AD26" s="115"/>
      <c r="AE26" s="115"/>
      <c r="AF26" s="115"/>
      <c r="AG26" s="115"/>
      <c r="AH26" s="115"/>
      <c r="AI26" s="115"/>
      <c r="AJ26" s="115"/>
      <c r="AK26" s="115"/>
      <c r="AL26" s="115"/>
      <c r="AM26" s="115"/>
      <c r="AN26" s="115"/>
      <c r="AO26" s="115"/>
      <c r="AP26" s="115"/>
      <c r="AQ26" s="115"/>
      <c r="AR26" s="115"/>
      <c r="AS26" s="115"/>
      <c r="AT26" s="115"/>
      <c r="AU26" s="115"/>
      <c r="AV26" s="115"/>
      <c r="AW26" s="115"/>
      <c r="AX26" s="115"/>
      <c r="AY26" s="115"/>
      <c r="AZ26" s="115"/>
      <c r="BA26" s="115"/>
      <c r="BB26" s="115"/>
      <c r="BC26" s="115"/>
      <c r="BD26" s="115"/>
      <c r="BE26" s="115"/>
      <c r="BF26" s="115"/>
      <c r="BG26" s="115"/>
      <c r="BH26" s="115"/>
      <c r="BI26" s="115"/>
      <c r="BJ26" s="115"/>
      <c r="BK26" s="115"/>
      <c r="BL26" s="115"/>
      <c r="BM26" s="115"/>
      <c r="BN26" s="115"/>
      <c r="BO26" s="115"/>
      <c r="BP26" s="115"/>
      <c r="BQ26" s="115"/>
      <c r="BR26" s="115"/>
      <c r="BS26" s="115"/>
      <c r="BT26" s="115"/>
      <c r="BU26" s="115"/>
      <c r="BV26" s="115"/>
      <c r="BW26" s="115"/>
      <c r="BX26" s="115"/>
      <c r="BY26" s="115"/>
      <c r="BZ26" s="115"/>
      <c r="CA26" s="115"/>
      <c r="CB26" s="115"/>
      <c r="CC26" s="115"/>
      <c r="CD26" s="183">
        <f t="shared" si="3"/>
        <v>0</v>
      </c>
      <c r="CE26" s="183" cm="1">
        <f t="array" ref="CE26">SUMPRODUCT(--(B26:CC26=INT(B26:CC26)),--(B26:CC26&gt;0))</f>
        <v>0</v>
      </c>
      <c r="CF26" s="183" cm="1">
        <f t="array" ref="CF26">MAX(FREQUENCY(IF((B26:CC26=INT(B26:CC26))*(B26:CC26&gt;0),COLUMN(B26:CC26)),IF((B26:CC26&lt;&gt;INT(B26:CC26))+(B26:CC26&lt;=0),COLUMN(B26:CC26))))</f>
        <v>0</v>
      </c>
      <c r="CG26" s="184" cm="1">
        <f t="array" ref="CG26">SUMPRODUCT(--(B26:CC26=INT(B26:CC26)),--(B26:CC26&gt;0))/80*100%</f>
        <v>0</v>
      </c>
      <c r="CH26" s="185">
        <f t="shared" si="0"/>
        <v>44</v>
      </c>
      <c r="CI26" s="185">
        <f t="shared" si="1"/>
        <v>44</v>
      </c>
      <c r="CJ26" s="185">
        <f t="shared" si="2"/>
        <v>44</v>
      </c>
    </row>
    <row r="27" customHeight="1" spans="1:88">
      <c r="A27" s="115">
        <v>25</v>
      </c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  <c r="AD27" s="115"/>
      <c r="AE27" s="115"/>
      <c r="AF27" s="115"/>
      <c r="AG27" s="115"/>
      <c r="AH27" s="115"/>
      <c r="AI27" s="115"/>
      <c r="AJ27" s="115"/>
      <c r="AK27" s="115"/>
      <c r="AL27" s="115"/>
      <c r="AM27" s="115"/>
      <c r="AN27" s="115"/>
      <c r="AO27" s="115"/>
      <c r="AP27" s="115"/>
      <c r="AQ27" s="115"/>
      <c r="AR27" s="115"/>
      <c r="AS27" s="115"/>
      <c r="AT27" s="115"/>
      <c r="AU27" s="115"/>
      <c r="AV27" s="115"/>
      <c r="AW27" s="115"/>
      <c r="AX27" s="115"/>
      <c r="AY27" s="115"/>
      <c r="AZ27" s="115"/>
      <c r="BA27" s="115"/>
      <c r="BB27" s="115"/>
      <c r="BC27" s="115"/>
      <c r="BD27" s="115"/>
      <c r="BE27" s="115"/>
      <c r="BF27" s="115"/>
      <c r="BG27" s="115"/>
      <c r="BH27" s="115"/>
      <c r="BI27" s="115"/>
      <c r="BJ27" s="115"/>
      <c r="BK27" s="115"/>
      <c r="BL27" s="115"/>
      <c r="BM27" s="115"/>
      <c r="BN27" s="115">
        <v>1</v>
      </c>
      <c r="BO27" s="115"/>
      <c r="BP27" s="115"/>
      <c r="BQ27" s="115"/>
      <c r="BR27" s="115"/>
      <c r="BS27" s="115"/>
      <c r="BT27" s="115"/>
      <c r="BU27" s="115"/>
      <c r="BV27" s="115"/>
      <c r="BW27" s="115"/>
      <c r="BX27" s="115"/>
      <c r="BY27" s="115"/>
      <c r="BZ27" s="115"/>
      <c r="CA27" s="115"/>
      <c r="CB27" s="115"/>
      <c r="CC27" s="115"/>
      <c r="CD27" s="183">
        <f t="shared" si="3"/>
        <v>1</v>
      </c>
      <c r="CE27" s="183" cm="1">
        <f t="array" ref="CE27">SUMPRODUCT(--(B27:CC27=INT(B27:CC27)),--(B27:CC27&gt;0))</f>
        <v>1</v>
      </c>
      <c r="CF27" s="183" cm="1">
        <f t="array" ref="CF27">MAX(FREQUENCY(IF((B27:CC27=INT(B27:CC27))*(B27:CC27&gt;0),COLUMN(B27:CC27)),IF((B27:CC27&lt;&gt;INT(B27:CC27))+(B27:CC27&lt;=0),COLUMN(B27:CC27))))</f>
        <v>1</v>
      </c>
      <c r="CG27" s="184" cm="1">
        <f t="array" ref="CG27">SUMPRODUCT(--(B27:CC27=INT(B27:CC27)),--(B27:CC27&gt;0))/80*100%</f>
        <v>0.0125</v>
      </c>
      <c r="CH27" s="185">
        <f t="shared" si="0"/>
        <v>39</v>
      </c>
      <c r="CI27" s="185">
        <f t="shared" si="1"/>
        <v>39</v>
      </c>
      <c r="CJ27" s="185">
        <f t="shared" si="2"/>
        <v>27</v>
      </c>
    </row>
    <row r="28" customHeight="1" spans="1:88">
      <c r="A28" s="4">
        <v>26</v>
      </c>
      <c r="B28" s="115"/>
      <c r="C28" s="115">
        <v>1</v>
      </c>
      <c r="D28" s="115"/>
      <c r="E28" s="115"/>
      <c r="F28" s="115"/>
      <c r="G28" s="115"/>
      <c r="H28" s="115">
        <v>1</v>
      </c>
      <c r="I28" s="115"/>
      <c r="J28" s="115"/>
      <c r="K28" s="115">
        <v>1</v>
      </c>
      <c r="L28" s="115"/>
      <c r="M28" s="115"/>
      <c r="N28" s="115"/>
      <c r="O28" s="115"/>
      <c r="P28" s="115"/>
      <c r="Q28" s="115">
        <v>1</v>
      </c>
      <c r="R28" s="115"/>
      <c r="S28" s="115">
        <v>1</v>
      </c>
      <c r="T28" s="115">
        <v>1</v>
      </c>
      <c r="U28" s="115"/>
      <c r="V28" s="115">
        <v>1</v>
      </c>
      <c r="W28" s="115"/>
      <c r="X28" s="115"/>
      <c r="Y28" s="115">
        <v>1</v>
      </c>
      <c r="Z28" s="115"/>
      <c r="AA28" s="115"/>
      <c r="AB28" s="115"/>
      <c r="AC28" s="115"/>
      <c r="AD28" s="115"/>
      <c r="AE28" s="115"/>
      <c r="AF28" s="115"/>
      <c r="AG28" s="115"/>
      <c r="AH28" s="115"/>
      <c r="AI28" s="115"/>
      <c r="AJ28" s="115">
        <v>1</v>
      </c>
      <c r="AK28" s="115"/>
      <c r="AL28" s="115"/>
      <c r="AM28" s="115"/>
      <c r="AN28" s="115"/>
      <c r="AO28" s="115"/>
      <c r="AP28" s="115"/>
      <c r="AQ28" s="115"/>
      <c r="AR28" s="115">
        <v>1</v>
      </c>
      <c r="AS28" s="115"/>
      <c r="AT28" s="115"/>
      <c r="AU28" s="115">
        <v>1</v>
      </c>
      <c r="AV28" s="115"/>
      <c r="AW28" s="115"/>
      <c r="AX28" s="115">
        <v>2</v>
      </c>
      <c r="AY28" s="115">
        <v>1</v>
      </c>
      <c r="AZ28" s="115"/>
      <c r="BA28" s="115">
        <v>1</v>
      </c>
      <c r="BB28" s="115"/>
      <c r="BC28" s="115">
        <v>1</v>
      </c>
      <c r="BD28" s="115">
        <v>1</v>
      </c>
      <c r="BE28" s="115">
        <v>1</v>
      </c>
      <c r="BF28" s="115">
        <v>2</v>
      </c>
      <c r="BG28" s="115">
        <v>1</v>
      </c>
      <c r="BH28" s="115"/>
      <c r="BI28" s="115">
        <v>2</v>
      </c>
      <c r="BJ28" s="115"/>
      <c r="BK28" s="115">
        <v>1</v>
      </c>
      <c r="BL28" s="115"/>
      <c r="BM28" s="115"/>
      <c r="BN28" s="115"/>
      <c r="BO28" s="115"/>
      <c r="BP28" s="115"/>
      <c r="BQ28" s="115"/>
      <c r="BR28" s="115"/>
      <c r="BS28" s="115"/>
      <c r="BT28" s="115"/>
      <c r="BU28" s="115"/>
      <c r="BV28" s="115"/>
      <c r="BW28" s="115"/>
      <c r="BX28" s="115"/>
      <c r="BY28" s="115"/>
      <c r="BZ28" s="115"/>
      <c r="CA28" s="115"/>
      <c r="CB28" s="115"/>
      <c r="CC28" s="115"/>
      <c r="CD28" s="183">
        <f t="shared" si="3"/>
        <v>24</v>
      </c>
      <c r="CE28" s="183" cm="1">
        <f t="array" ref="CE28">SUMPRODUCT(--(B28:CC28=INT(B28:CC28)),--(B28:CC28&gt;0))</f>
        <v>21</v>
      </c>
      <c r="CF28" s="183" cm="1">
        <f t="array" ref="CF28">MAX(FREQUENCY(IF((B28:CC28=INT(B28:CC28))*(B28:CC28&gt;0),COLUMN(B28:CC28)),IF((B28:CC28&lt;&gt;INT(B28:CC28))+(B28:CC28&lt;=0),COLUMN(B28:CC28))))</f>
        <v>5</v>
      </c>
      <c r="CG28" s="184" cm="1">
        <f t="array" ref="CG28">SUMPRODUCT(--(B28:CC28=INT(B28:CC28)),--(B28:CC28&gt;0))/80*100%</f>
        <v>0.2625</v>
      </c>
      <c r="CH28" s="185">
        <f t="shared" si="0"/>
        <v>12</v>
      </c>
      <c r="CI28" s="185">
        <f t="shared" si="1"/>
        <v>13</v>
      </c>
      <c r="CJ28" s="185">
        <f t="shared" si="2"/>
        <v>7</v>
      </c>
    </row>
    <row r="29" customHeight="1" spans="1:88">
      <c r="A29" s="4">
        <v>27</v>
      </c>
      <c r="B29" s="115"/>
      <c r="C29" s="115"/>
      <c r="D29" s="115">
        <v>1</v>
      </c>
      <c r="E29" s="115"/>
      <c r="F29" s="115"/>
      <c r="G29" s="115"/>
      <c r="H29" s="115"/>
      <c r="I29" s="115"/>
      <c r="J29" s="115"/>
      <c r="K29" s="115"/>
      <c r="L29" s="115"/>
      <c r="M29" s="115">
        <v>1</v>
      </c>
      <c r="N29" s="115"/>
      <c r="O29" s="115"/>
      <c r="P29" s="115"/>
      <c r="Q29" s="115"/>
      <c r="R29" s="115"/>
      <c r="S29" s="115"/>
      <c r="T29" s="115"/>
      <c r="U29" s="115"/>
      <c r="V29" s="115">
        <v>1</v>
      </c>
      <c r="W29" s="115"/>
      <c r="X29" s="115"/>
      <c r="Y29" s="115">
        <v>1</v>
      </c>
      <c r="Z29" s="115"/>
      <c r="AA29" s="115"/>
      <c r="AB29" s="115"/>
      <c r="AC29" s="115"/>
      <c r="AD29" s="115"/>
      <c r="AE29" s="115"/>
      <c r="AF29" s="115"/>
      <c r="AG29" s="115"/>
      <c r="AH29" s="115"/>
      <c r="AI29" s="115"/>
      <c r="AJ29" s="115">
        <v>1</v>
      </c>
      <c r="AK29" s="115"/>
      <c r="AL29" s="115"/>
      <c r="AM29" s="115"/>
      <c r="AN29" s="115"/>
      <c r="AO29" s="115">
        <v>1</v>
      </c>
      <c r="AP29" s="115"/>
      <c r="AQ29" s="115">
        <v>1</v>
      </c>
      <c r="AR29" s="115">
        <v>1</v>
      </c>
      <c r="AS29" s="115">
        <v>1</v>
      </c>
      <c r="AT29" s="115">
        <v>1</v>
      </c>
      <c r="AU29" s="115">
        <v>1</v>
      </c>
      <c r="AV29" s="115"/>
      <c r="AW29" s="115"/>
      <c r="AX29" s="115"/>
      <c r="AY29" s="115"/>
      <c r="AZ29" s="115"/>
      <c r="BA29" s="115"/>
      <c r="BB29" s="115"/>
      <c r="BC29" s="115"/>
      <c r="BD29" s="115"/>
      <c r="BE29" s="115">
        <v>1</v>
      </c>
      <c r="BF29" s="115"/>
      <c r="BG29" s="115">
        <v>1</v>
      </c>
      <c r="BH29" s="115"/>
      <c r="BI29" s="115">
        <v>1</v>
      </c>
      <c r="BJ29" s="115"/>
      <c r="BK29" s="115">
        <v>1</v>
      </c>
      <c r="BL29" s="115">
        <v>1</v>
      </c>
      <c r="BM29" s="115"/>
      <c r="BN29" s="115"/>
      <c r="BO29" s="115"/>
      <c r="BP29" s="115"/>
      <c r="BQ29" s="115"/>
      <c r="BR29" s="115"/>
      <c r="BS29" s="115"/>
      <c r="BT29" s="115"/>
      <c r="BU29" s="115"/>
      <c r="BV29" s="115"/>
      <c r="BW29" s="115"/>
      <c r="BX29" s="115"/>
      <c r="BY29" s="115"/>
      <c r="BZ29" s="115"/>
      <c r="CA29" s="115"/>
      <c r="CB29" s="115"/>
      <c r="CC29" s="115"/>
      <c r="CD29" s="183">
        <f t="shared" si="3"/>
        <v>16</v>
      </c>
      <c r="CE29" s="183" cm="1">
        <f t="array" ref="CE29">SUMPRODUCT(--(B29:CC29=INT(B29:CC29)),--(B29:CC29&gt;0))</f>
        <v>16</v>
      </c>
      <c r="CF29" s="183" cm="1">
        <f t="array" ref="CF29">MAX(FREQUENCY(IF((B29:CC29=INT(B29:CC29))*(B29:CC29&gt;0),COLUMN(B29:CC29)),IF((B29:CC29&lt;&gt;INT(B29:CC29))+(B29:CC29&lt;=0),COLUMN(B29:CC29))))</f>
        <v>5</v>
      </c>
      <c r="CG29" s="184" cm="1">
        <f t="array" ref="CG29">SUMPRODUCT(--(B29:CC29=INT(B29:CC29)),--(B29:CC29&gt;0))/80*100%</f>
        <v>0.2</v>
      </c>
      <c r="CH29" s="185">
        <f t="shared" si="0"/>
        <v>18</v>
      </c>
      <c r="CI29" s="185">
        <f t="shared" si="1"/>
        <v>18</v>
      </c>
      <c r="CJ29" s="185">
        <f t="shared" si="2"/>
        <v>7</v>
      </c>
    </row>
    <row r="30" customHeight="1" spans="1:88">
      <c r="A30" s="4">
        <v>28</v>
      </c>
      <c r="B30" s="115">
        <v>1</v>
      </c>
      <c r="C30" s="115"/>
      <c r="D30" s="115"/>
      <c r="E30" s="115"/>
      <c r="F30" s="115"/>
      <c r="G30" s="115"/>
      <c r="H30" s="115">
        <v>1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>
        <v>2</v>
      </c>
      <c r="T30" s="115">
        <v>1</v>
      </c>
      <c r="U30" s="115">
        <v>1</v>
      </c>
      <c r="V30" s="115">
        <v>1</v>
      </c>
      <c r="W30" s="115"/>
      <c r="X30" s="115"/>
      <c r="Y30" s="115">
        <v>1</v>
      </c>
      <c r="Z30" s="115"/>
      <c r="AA30" s="115"/>
      <c r="AB30" s="115"/>
      <c r="AC30" s="115"/>
      <c r="AD30" s="115"/>
      <c r="AE30" s="115"/>
      <c r="AF30" s="115"/>
      <c r="AG30" s="115"/>
      <c r="AH30" s="115"/>
      <c r="AI30" s="115"/>
      <c r="AJ30" s="115"/>
      <c r="AK30" s="115"/>
      <c r="AL30" s="115"/>
      <c r="AM30" s="115"/>
      <c r="AN30" s="115"/>
      <c r="AO30" s="115"/>
      <c r="AP30" s="115"/>
      <c r="AQ30" s="115"/>
      <c r="AR30" s="115"/>
      <c r="AS30" s="115"/>
      <c r="AT30" s="115"/>
      <c r="AU30" s="115"/>
      <c r="AV30" s="115"/>
      <c r="AW30" s="115"/>
      <c r="AX30" s="115"/>
      <c r="AY30" s="115"/>
      <c r="AZ30" s="115"/>
      <c r="BA30" s="115"/>
      <c r="BB30" s="115">
        <v>1</v>
      </c>
      <c r="BC30" s="115"/>
      <c r="BD30" s="115"/>
      <c r="BE30" s="115">
        <v>1</v>
      </c>
      <c r="BF30" s="115"/>
      <c r="BG30" s="115">
        <v>1</v>
      </c>
      <c r="BH30" s="115"/>
      <c r="BI30" s="115"/>
      <c r="BJ30" s="115">
        <v>1</v>
      </c>
      <c r="BK30" s="115"/>
      <c r="BL30" s="115"/>
      <c r="BM30" s="115"/>
      <c r="BN30" s="115"/>
      <c r="BO30" s="115">
        <v>1</v>
      </c>
      <c r="BP30" s="115"/>
      <c r="BQ30" s="115"/>
      <c r="BR30" s="115"/>
      <c r="BS30" s="115"/>
      <c r="BT30" s="115"/>
      <c r="BU30" s="115"/>
      <c r="BV30" s="115"/>
      <c r="BW30" s="115"/>
      <c r="BX30" s="115"/>
      <c r="BY30" s="115"/>
      <c r="BZ30" s="115"/>
      <c r="CA30" s="115"/>
      <c r="CB30" s="115"/>
      <c r="CC30" s="115"/>
      <c r="CD30" s="183">
        <f t="shared" si="3"/>
        <v>13</v>
      </c>
      <c r="CE30" s="183" cm="1">
        <f t="array" ref="CE30">SUMPRODUCT(--(B30:CC30=INT(B30:CC30)),--(B30:CC30&gt;0))</f>
        <v>12</v>
      </c>
      <c r="CF30" s="183" cm="1">
        <f t="array" ref="CF30">MAX(FREQUENCY(IF((B30:CC30=INT(B30:CC30))*(B30:CC30&gt;0),COLUMN(B30:CC30)),IF((B30:CC30&lt;&gt;INT(B30:CC30))+(B30:CC30&lt;=0),COLUMN(B30:CC30))))</f>
        <v>4</v>
      </c>
      <c r="CG30" s="184" cm="1">
        <f t="array" ref="CG30">SUMPRODUCT(--(B30:CC30=INT(B30:CC30)),--(B30:CC30&gt;0))/80*100%</f>
        <v>0.15</v>
      </c>
      <c r="CH30" s="185">
        <f t="shared" si="0"/>
        <v>20</v>
      </c>
      <c r="CI30" s="185">
        <f t="shared" si="1"/>
        <v>20</v>
      </c>
      <c r="CJ30" s="185">
        <f t="shared" si="2"/>
        <v>13</v>
      </c>
    </row>
    <row r="31" customHeight="1" spans="1:88">
      <c r="A31" s="4">
        <v>29</v>
      </c>
      <c r="B31" s="115">
        <v>1</v>
      </c>
      <c r="C31" s="115"/>
      <c r="D31" s="115"/>
      <c r="E31" s="115"/>
      <c r="F31" s="115"/>
      <c r="G31" s="115"/>
      <c r="H31" s="115">
        <v>1</v>
      </c>
      <c r="I31" s="115">
        <v>2</v>
      </c>
      <c r="J31" s="115"/>
      <c r="K31" s="115"/>
      <c r="L31" s="115"/>
      <c r="M31" s="115"/>
      <c r="N31" s="115"/>
      <c r="O31" s="115"/>
      <c r="P31" s="115"/>
      <c r="Q31" s="115">
        <v>1</v>
      </c>
      <c r="R31" s="115"/>
      <c r="S31" s="115">
        <v>1</v>
      </c>
      <c r="T31" s="115">
        <v>1</v>
      </c>
      <c r="U31" s="115"/>
      <c r="V31" s="115"/>
      <c r="W31" s="115"/>
      <c r="X31" s="115"/>
      <c r="Y31" s="115">
        <v>1</v>
      </c>
      <c r="Z31" s="115"/>
      <c r="AA31" s="115"/>
      <c r="AB31" s="115"/>
      <c r="AC31" s="115"/>
      <c r="AD31" s="115"/>
      <c r="AE31" s="115"/>
      <c r="AF31" s="115"/>
      <c r="AG31" s="115"/>
      <c r="AH31" s="115"/>
      <c r="AI31" s="115"/>
      <c r="AJ31" s="115">
        <v>1</v>
      </c>
      <c r="AK31" s="115">
        <v>1</v>
      </c>
      <c r="AL31" s="115"/>
      <c r="AM31" s="115"/>
      <c r="AN31" s="115">
        <v>1</v>
      </c>
      <c r="AO31" s="115"/>
      <c r="AP31" s="115">
        <v>1</v>
      </c>
      <c r="AQ31" s="115"/>
      <c r="AR31" s="115"/>
      <c r="AS31" s="115"/>
      <c r="AT31" s="115"/>
      <c r="AU31" s="115"/>
      <c r="AV31" s="115"/>
      <c r="AW31" s="115"/>
      <c r="AX31" s="115"/>
      <c r="AY31" s="115"/>
      <c r="AZ31" s="115"/>
      <c r="BA31" s="115">
        <v>1</v>
      </c>
      <c r="BB31" s="115"/>
      <c r="BC31" s="115">
        <v>1</v>
      </c>
      <c r="BD31" s="115"/>
      <c r="BE31" s="115">
        <v>1</v>
      </c>
      <c r="BF31" s="115"/>
      <c r="BG31" s="115">
        <v>1</v>
      </c>
      <c r="BH31" s="115"/>
      <c r="BI31" s="115">
        <v>1</v>
      </c>
      <c r="BJ31" s="115">
        <v>2</v>
      </c>
      <c r="BK31" s="115">
        <v>1</v>
      </c>
      <c r="BL31" s="115"/>
      <c r="BM31" s="115"/>
      <c r="BN31" s="115"/>
      <c r="BO31" s="115"/>
      <c r="BP31" s="115"/>
      <c r="BQ31" s="115"/>
      <c r="BR31" s="115"/>
      <c r="BS31" s="115"/>
      <c r="BT31" s="115"/>
      <c r="BU31" s="115"/>
      <c r="BV31" s="115"/>
      <c r="BW31" s="115"/>
      <c r="BX31" s="115"/>
      <c r="BY31" s="115"/>
      <c r="BZ31" s="115"/>
      <c r="CA31" s="115"/>
      <c r="CB31" s="115"/>
      <c r="CC31" s="115"/>
      <c r="CD31" s="183">
        <f t="shared" si="3"/>
        <v>20</v>
      </c>
      <c r="CE31" s="183" cm="1">
        <f t="array" ref="CE31">SUMPRODUCT(--(B31:CC31=INT(B31:CC31)),--(B31:CC31&gt;0))</f>
        <v>18</v>
      </c>
      <c r="CF31" s="183" cm="1">
        <f t="array" ref="CF31">MAX(FREQUENCY(IF((B31:CC31=INT(B31:CC31))*(B31:CC31&gt;0),COLUMN(B31:CC31)),IF((B31:CC31&lt;&gt;INT(B31:CC31))+(B31:CC31&lt;=0),COLUMN(B31:CC31))))</f>
        <v>3</v>
      </c>
      <c r="CG31" s="184" cm="1">
        <f t="array" ref="CG31">SUMPRODUCT(--(B31:CC31=INT(B31:CC31)),--(B31:CC31&gt;0))/80*100%</f>
        <v>0.225</v>
      </c>
      <c r="CH31" s="185">
        <f t="shared" si="0"/>
        <v>16</v>
      </c>
      <c r="CI31" s="185">
        <f t="shared" si="1"/>
        <v>16</v>
      </c>
      <c r="CJ31" s="185">
        <f t="shared" si="2"/>
        <v>18</v>
      </c>
    </row>
    <row r="32" customHeight="1" spans="1:88">
      <c r="A32" s="4">
        <v>30</v>
      </c>
      <c r="B32" s="115"/>
      <c r="C32" s="115">
        <v>1</v>
      </c>
      <c r="D32" s="115"/>
      <c r="E32" s="115">
        <v>1</v>
      </c>
      <c r="F32" s="115"/>
      <c r="G32" s="115"/>
      <c r="H32" s="115"/>
      <c r="I32" s="115">
        <v>2</v>
      </c>
      <c r="J32" s="115">
        <v>1</v>
      </c>
      <c r="K32" s="115"/>
      <c r="L32" s="115"/>
      <c r="M32" s="115"/>
      <c r="N32" s="115">
        <v>1</v>
      </c>
      <c r="O32" s="115"/>
      <c r="P32" s="115"/>
      <c r="Q32" s="115"/>
      <c r="R32" s="115">
        <v>1</v>
      </c>
      <c r="S32" s="115">
        <v>1</v>
      </c>
      <c r="T32" s="115">
        <v>1</v>
      </c>
      <c r="U32" s="115"/>
      <c r="V32" s="115"/>
      <c r="W32" s="115"/>
      <c r="X32" s="115"/>
      <c r="Y32" s="115">
        <v>1</v>
      </c>
      <c r="Z32" s="115"/>
      <c r="AA32" s="115"/>
      <c r="AB32" s="115"/>
      <c r="AC32" s="115"/>
      <c r="AD32" s="115"/>
      <c r="AE32" s="115"/>
      <c r="AF32" s="115"/>
      <c r="AG32" s="115"/>
      <c r="AH32" s="115"/>
      <c r="AI32" s="115"/>
      <c r="AJ32" s="115">
        <v>1</v>
      </c>
      <c r="AK32" s="115"/>
      <c r="AL32" s="115"/>
      <c r="AM32" s="115"/>
      <c r="AN32" s="115"/>
      <c r="AO32" s="115"/>
      <c r="AP32" s="115"/>
      <c r="AQ32" s="115"/>
      <c r="AR32" s="115">
        <v>1</v>
      </c>
      <c r="AS32" s="115"/>
      <c r="AT32" s="115"/>
      <c r="AU32" s="115"/>
      <c r="AV32" s="115"/>
      <c r="AW32" s="115"/>
      <c r="AX32" s="115">
        <v>1</v>
      </c>
      <c r="AY32" s="115">
        <v>1</v>
      </c>
      <c r="AZ32" s="115">
        <v>1</v>
      </c>
      <c r="BA32" s="115"/>
      <c r="BB32" s="115"/>
      <c r="BC32" s="115">
        <v>1</v>
      </c>
      <c r="BD32" s="115"/>
      <c r="BE32" s="115">
        <v>2</v>
      </c>
      <c r="BF32" s="115">
        <v>1</v>
      </c>
      <c r="BG32" s="115">
        <v>1</v>
      </c>
      <c r="BH32" s="115">
        <v>1</v>
      </c>
      <c r="BI32" s="115">
        <v>1</v>
      </c>
      <c r="BJ32" s="115">
        <v>1</v>
      </c>
      <c r="BK32" s="115">
        <v>1</v>
      </c>
      <c r="BL32" s="115"/>
      <c r="BM32" s="115"/>
      <c r="BN32" s="115"/>
      <c r="BO32" s="115"/>
      <c r="BP32" s="115"/>
      <c r="BQ32" s="115"/>
      <c r="BR32" s="115"/>
      <c r="BS32" s="115"/>
      <c r="BT32" s="115"/>
      <c r="BU32" s="115"/>
      <c r="BV32" s="115"/>
      <c r="BW32" s="115"/>
      <c r="BX32" s="115"/>
      <c r="BY32" s="115"/>
      <c r="BZ32" s="115"/>
      <c r="CA32" s="115"/>
      <c r="CB32" s="115"/>
      <c r="CC32" s="115"/>
      <c r="CD32" s="183">
        <f t="shared" si="3"/>
        <v>24</v>
      </c>
      <c r="CE32" s="183" cm="1">
        <f t="array" ref="CE32">SUMPRODUCT(--(B32:CC32=INT(B32:CC32)),--(B32:CC32&gt;0))</f>
        <v>22</v>
      </c>
      <c r="CF32" s="183" cm="1">
        <f t="array" ref="CF32">MAX(FREQUENCY(IF((B32:CC32=INT(B32:CC32))*(B32:CC32&gt;0),COLUMN(B32:CC32)),IF((B32:CC32&lt;&gt;INT(B32:CC32))+(B32:CC32&lt;=0),COLUMN(B32:CC32))))</f>
        <v>7</v>
      </c>
      <c r="CG32" s="184" cm="1">
        <f t="array" ref="CG32">SUMPRODUCT(--(B32:CC32=INT(B32:CC32)),--(B32:CC32&gt;0))/80*100%</f>
        <v>0.275</v>
      </c>
      <c r="CH32" s="185">
        <f t="shared" si="0"/>
        <v>12</v>
      </c>
      <c r="CI32" s="185">
        <f t="shared" si="1"/>
        <v>11</v>
      </c>
      <c r="CJ32" s="185">
        <f t="shared" si="2"/>
        <v>3</v>
      </c>
    </row>
    <row r="33" customHeight="1" spans="1:88">
      <c r="A33" s="4">
        <v>31</v>
      </c>
      <c r="B33" s="115">
        <v>1</v>
      </c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>
        <v>1</v>
      </c>
      <c r="U33" s="115"/>
      <c r="V33" s="115"/>
      <c r="W33" s="115"/>
      <c r="X33" s="115"/>
      <c r="Y33" s="115">
        <v>1</v>
      </c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5">
        <v>1</v>
      </c>
      <c r="AK33" s="115"/>
      <c r="AL33" s="115"/>
      <c r="AM33" s="115"/>
      <c r="AN33" s="115"/>
      <c r="AO33" s="115"/>
      <c r="AP33" s="115"/>
      <c r="AQ33" s="115"/>
      <c r="AR33" s="115"/>
      <c r="AS33" s="115">
        <v>1</v>
      </c>
      <c r="AT33" s="115"/>
      <c r="AU33" s="115"/>
      <c r="AV33" s="115"/>
      <c r="AW33" s="115"/>
      <c r="AX33" s="115"/>
      <c r="AY33" s="115"/>
      <c r="AZ33" s="115"/>
      <c r="BA33" s="115"/>
      <c r="BB33" s="115">
        <v>1</v>
      </c>
      <c r="BC33" s="115"/>
      <c r="BD33" s="115">
        <v>1</v>
      </c>
      <c r="BE33" s="115"/>
      <c r="BF33" s="115"/>
      <c r="BG33" s="115"/>
      <c r="BH33" s="115"/>
      <c r="BI33" s="115"/>
      <c r="BJ33" s="115">
        <v>1</v>
      </c>
      <c r="BK33" s="115"/>
      <c r="BL33" s="115"/>
      <c r="BM33" s="115"/>
      <c r="BN33" s="115"/>
      <c r="BO33" s="115"/>
      <c r="BP33" s="115"/>
      <c r="BQ33" s="115">
        <v>1</v>
      </c>
      <c r="BR33" s="115"/>
      <c r="BS33" s="115"/>
      <c r="BT33" s="115"/>
      <c r="BU33" s="115"/>
      <c r="BV33" s="115"/>
      <c r="BW33" s="115"/>
      <c r="BX33" s="115"/>
      <c r="BY33" s="115"/>
      <c r="BZ33" s="115"/>
      <c r="CA33" s="115"/>
      <c r="CB33" s="115"/>
      <c r="CC33" s="115"/>
      <c r="CD33" s="183">
        <f t="shared" si="3"/>
        <v>9</v>
      </c>
      <c r="CE33" s="183" cm="1">
        <f t="array" ref="CE33">SUMPRODUCT(--(B33:CC33=INT(B33:CC33)),--(B33:CC33&gt;0))</f>
        <v>9</v>
      </c>
      <c r="CF33" s="183" cm="1">
        <f t="array" ref="CF33">MAX(FREQUENCY(IF((B33:CC33=INT(B33:CC33))*(B33:CC33&gt;0),COLUMN(B33:CC33)),IF((B33:CC33&lt;&gt;INT(B33:CC33))+(B33:CC33&lt;=0),COLUMN(B33:CC33))))</f>
        <v>1</v>
      </c>
      <c r="CG33" s="184" cm="1">
        <f t="array" ref="CG33">SUMPRODUCT(--(B33:CC33=INT(B33:CC33)),--(B33:CC33&gt;0))/80*100%</f>
        <v>0.1125</v>
      </c>
      <c r="CH33" s="185">
        <f t="shared" si="0"/>
        <v>23</v>
      </c>
      <c r="CI33" s="185">
        <f t="shared" si="1"/>
        <v>23</v>
      </c>
      <c r="CJ33" s="185">
        <f t="shared" si="2"/>
        <v>27</v>
      </c>
    </row>
    <row r="34" customHeight="1" spans="1:88">
      <c r="A34" s="112">
        <v>32</v>
      </c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  <c r="AD34" s="115"/>
      <c r="AE34" s="115"/>
      <c r="AF34" s="115"/>
      <c r="AG34" s="115"/>
      <c r="AH34" s="115"/>
      <c r="AI34" s="115"/>
      <c r="AJ34" s="115"/>
      <c r="AK34" s="115"/>
      <c r="AL34" s="115"/>
      <c r="AM34" s="115"/>
      <c r="AN34" s="115"/>
      <c r="AO34" s="115"/>
      <c r="AP34" s="115"/>
      <c r="AQ34" s="115"/>
      <c r="AR34" s="115"/>
      <c r="AS34" s="115"/>
      <c r="AT34" s="115"/>
      <c r="AU34" s="115"/>
      <c r="AV34" s="115"/>
      <c r="AW34" s="115"/>
      <c r="AX34" s="115"/>
      <c r="AY34" s="115"/>
      <c r="AZ34" s="115"/>
      <c r="BA34" s="115"/>
      <c r="BB34" s="115"/>
      <c r="BC34" s="115"/>
      <c r="BD34" s="115"/>
      <c r="BE34" s="115"/>
      <c r="BF34" s="115"/>
      <c r="BG34" s="115"/>
      <c r="BH34" s="115"/>
      <c r="BI34" s="115"/>
      <c r="BJ34" s="115"/>
      <c r="BK34" s="115"/>
      <c r="BL34" s="115"/>
      <c r="BM34" s="115"/>
      <c r="BN34" s="115"/>
      <c r="BO34" s="115"/>
      <c r="BP34" s="115"/>
      <c r="BQ34" s="115"/>
      <c r="BR34" s="115"/>
      <c r="BS34" s="115"/>
      <c r="BT34" s="115"/>
      <c r="BU34" s="115"/>
      <c r="BV34" s="115"/>
      <c r="BW34" s="115"/>
      <c r="BX34" s="115"/>
      <c r="BY34" s="115"/>
      <c r="BZ34" s="115"/>
      <c r="CA34" s="115"/>
      <c r="CB34" s="115"/>
      <c r="CC34" s="115"/>
      <c r="CD34" s="183">
        <f t="shared" si="3"/>
        <v>0</v>
      </c>
      <c r="CE34" s="183" cm="1">
        <f t="array" ref="CE34">SUMPRODUCT(--(B34:CC34=INT(B34:CC34)),--(B34:CC34&gt;0))</f>
        <v>0</v>
      </c>
      <c r="CF34" s="183" cm="1">
        <f t="array" ref="CF34">MAX(FREQUENCY(IF((B34:CC34=INT(B34:CC34))*(B34:CC34&gt;0),COLUMN(B34:CC34)),IF((B34:CC34&lt;&gt;INT(B34:CC34))+(B34:CC34&lt;=0),COLUMN(B34:CC34))))</f>
        <v>0</v>
      </c>
      <c r="CG34" s="184" cm="1">
        <f t="array" ref="CG34">SUMPRODUCT(--(B34:CC34=INT(B34:CC34)),--(B34:CC34&gt;0))/80*100%</f>
        <v>0</v>
      </c>
      <c r="CH34" s="185">
        <f t="shared" si="0"/>
        <v>44</v>
      </c>
      <c r="CI34" s="185">
        <f t="shared" si="1"/>
        <v>44</v>
      </c>
      <c r="CJ34" s="185">
        <f t="shared" si="2"/>
        <v>44</v>
      </c>
    </row>
    <row r="35" customHeight="1" spans="1:88">
      <c r="A35" s="186">
        <v>33</v>
      </c>
      <c r="B35" s="186"/>
      <c r="C35" s="186"/>
      <c r="D35" s="186"/>
      <c r="E35" s="186"/>
      <c r="F35" s="186"/>
      <c r="G35" s="186"/>
      <c r="H35" s="186"/>
      <c r="I35" s="186"/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  <c r="AA35" s="186"/>
      <c r="AB35" s="186"/>
      <c r="AC35" s="186"/>
      <c r="AD35" s="186"/>
      <c r="AE35" s="186"/>
      <c r="AF35" s="186"/>
      <c r="AG35" s="186"/>
      <c r="AH35" s="186"/>
      <c r="AI35" s="186"/>
      <c r="AJ35" s="186"/>
      <c r="AK35" s="186"/>
      <c r="AL35" s="186"/>
      <c r="AM35" s="186"/>
      <c r="AN35" s="186"/>
      <c r="AO35" s="186"/>
      <c r="AP35" s="186"/>
      <c r="AQ35" s="186"/>
      <c r="AR35" s="186"/>
      <c r="AS35" s="186"/>
      <c r="AT35" s="186"/>
      <c r="AU35" s="186"/>
      <c r="AV35" s="186"/>
      <c r="AW35" s="186"/>
      <c r="AX35" s="186"/>
      <c r="AY35" s="186"/>
      <c r="AZ35" s="186"/>
      <c r="BA35" s="186"/>
      <c r="BB35" s="186"/>
      <c r="BC35" s="186"/>
      <c r="BD35" s="186"/>
      <c r="BE35" s="186"/>
      <c r="BF35" s="186"/>
      <c r="BG35" s="186"/>
      <c r="BH35" s="186"/>
      <c r="BI35" s="186"/>
      <c r="BJ35" s="186"/>
      <c r="BK35" s="186"/>
      <c r="BL35" s="186"/>
      <c r="BM35" s="186"/>
      <c r="BN35" s="186"/>
      <c r="BO35" s="186"/>
      <c r="BP35" s="186"/>
      <c r="BQ35" s="186"/>
      <c r="BR35" s="186"/>
      <c r="BS35" s="186"/>
      <c r="BT35" s="186"/>
      <c r="BU35" s="186"/>
      <c r="BV35" s="186"/>
      <c r="BW35" s="186"/>
      <c r="BX35" s="186"/>
      <c r="BY35" s="186"/>
      <c r="BZ35" s="186"/>
      <c r="CA35" s="186"/>
      <c r="CB35" s="186"/>
      <c r="CC35" s="186"/>
      <c r="CD35" s="183">
        <f t="shared" si="3"/>
        <v>0</v>
      </c>
      <c r="CE35" s="183" cm="1">
        <f t="array" ref="CE35">SUMPRODUCT(--(B35:CC35=INT(B35:CC35)),--(B35:CC35&gt;0))</f>
        <v>0</v>
      </c>
      <c r="CF35" s="183" cm="1">
        <f t="array" ref="CF35">MAX(FREQUENCY(IF((B35:CC35=INT(B35:CC35))*(B35:CC35&gt;0),COLUMN(B35:CC35)),IF((B35:CC35&lt;&gt;INT(B35:CC35))+(B35:CC35&lt;=0),COLUMN(B35:CC35))))</f>
        <v>0</v>
      </c>
      <c r="CG35" s="184" cm="1">
        <f t="array" ref="CG35">SUMPRODUCT(--(B35:CC35=INT(B35:CC35)),--(B35:CC35&gt;0))/80*100%</f>
        <v>0</v>
      </c>
      <c r="CH35" s="185">
        <f t="shared" si="0"/>
        <v>44</v>
      </c>
      <c r="CI35" s="185">
        <f t="shared" si="1"/>
        <v>44</v>
      </c>
      <c r="CJ35" s="185">
        <f t="shared" si="2"/>
        <v>44</v>
      </c>
    </row>
    <row r="36" customHeight="1" spans="1:88">
      <c r="A36" s="115">
        <v>34</v>
      </c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>
        <v>1</v>
      </c>
      <c r="Z36" s="115"/>
      <c r="AA36" s="115"/>
      <c r="AB36" s="115"/>
      <c r="AC36" s="115"/>
      <c r="AD36" s="115"/>
      <c r="AE36" s="115"/>
      <c r="AF36" s="115"/>
      <c r="AG36" s="115"/>
      <c r="AH36" s="115"/>
      <c r="AI36" s="115"/>
      <c r="AJ36" s="115"/>
      <c r="AK36" s="115"/>
      <c r="AL36" s="115"/>
      <c r="AM36" s="115"/>
      <c r="AN36" s="115"/>
      <c r="AO36" s="115"/>
      <c r="AP36" s="115"/>
      <c r="AQ36" s="115"/>
      <c r="AR36" s="115"/>
      <c r="AS36" s="115"/>
      <c r="AT36" s="115"/>
      <c r="AU36" s="115"/>
      <c r="AV36" s="115"/>
      <c r="AW36" s="115"/>
      <c r="AX36" s="115"/>
      <c r="AY36" s="115"/>
      <c r="AZ36" s="115"/>
      <c r="BA36" s="115"/>
      <c r="BB36" s="115"/>
      <c r="BC36" s="115"/>
      <c r="BD36" s="115"/>
      <c r="BE36" s="115">
        <v>1</v>
      </c>
      <c r="BF36" s="115"/>
      <c r="BG36" s="115"/>
      <c r="BH36" s="115"/>
      <c r="BI36" s="115"/>
      <c r="BJ36" s="115"/>
      <c r="BK36" s="115"/>
      <c r="BL36" s="115"/>
      <c r="BM36" s="115"/>
      <c r="BN36" s="115"/>
      <c r="BO36" s="115"/>
      <c r="BP36" s="115"/>
      <c r="BQ36" s="115"/>
      <c r="BR36" s="115"/>
      <c r="BS36" s="115"/>
      <c r="BT36" s="115"/>
      <c r="BU36" s="115"/>
      <c r="BV36" s="115"/>
      <c r="BW36" s="115"/>
      <c r="BX36" s="115"/>
      <c r="BY36" s="115"/>
      <c r="BZ36" s="115"/>
      <c r="CA36" s="115"/>
      <c r="CB36" s="115"/>
      <c r="CC36" s="115"/>
      <c r="CD36" s="183">
        <f t="shared" ref="CD36:CD53" si="4">SUM(B36:CC36)</f>
        <v>2</v>
      </c>
      <c r="CE36" s="183" cm="1">
        <f t="array" ref="CE36">SUMPRODUCT(--(B36:CC36=INT(B36:CC36)),--(B36:CC36&gt;0))</f>
        <v>2</v>
      </c>
      <c r="CF36" s="183" cm="1">
        <f t="array" ref="CF36">MAX(FREQUENCY(IF((B36:CC36=INT(B36:CC36))*(B36:CC36&gt;0),COLUMN(B36:CC36)),IF((B36:CC36&lt;&gt;INT(B36:CC36))+(B36:CC36&lt;=0),COLUMN(B36:CC36))))</f>
        <v>1</v>
      </c>
      <c r="CG36" s="184" cm="1">
        <f t="array" ref="CG36">SUMPRODUCT(--(B36:CC36=INT(B36:CC36)),--(B36:CC36&gt;0))/80*100%</f>
        <v>0.025</v>
      </c>
      <c r="CH36" s="185">
        <f t="shared" si="0"/>
        <v>36</v>
      </c>
      <c r="CI36" s="185">
        <f t="shared" si="1"/>
        <v>35</v>
      </c>
      <c r="CJ36" s="185">
        <f t="shared" si="2"/>
        <v>27</v>
      </c>
    </row>
    <row r="37" customHeight="1" spans="1:88">
      <c r="A37" s="4">
        <v>35</v>
      </c>
      <c r="B37" s="115"/>
      <c r="C37" s="115"/>
      <c r="D37" s="115"/>
      <c r="E37" s="115"/>
      <c r="F37" s="115"/>
      <c r="G37" s="115"/>
      <c r="H37" s="115">
        <v>1</v>
      </c>
      <c r="I37" s="115">
        <v>1</v>
      </c>
      <c r="J37" s="115">
        <v>1</v>
      </c>
      <c r="K37" s="115"/>
      <c r="L37" s="115"/>
      <c r="M37" s="115"/>
      <c r="N37" s="115">
        <v>1</v>
      </c>
      <c r="O37" s="115"/>
      <c r="P37" s="115"/>
      <c r="Q37" s="115"/>
      <c r="R37" s="115"/>
      <c r="S37" s="115"/>
      <c r="T37" s="115">
        <v>1</v>
      </c>
      <c r="U37" s="115"/>
      <c r="V37" s="115">
        <v>2</v>
      </c>
      <c r="W37" s="115"/>
      <c r="X37" s="115"/>
      <c r="Y37" s="115"/>
      <c r="Z37" s="115"/>
      <c r="AA37" s="115"/>
      <c r="AB37" s="115"/>
      <c r="AC37" s="115"/>
      <c r="AD37" s="115"/>
      <c r="AE37" s="115"/>
      <c r="AF37" s="115"/>
      <c r="AG37" s="115"/>
      <c r="AH37" s="115"/>
      <c r="AI37" s="115"/>
      <c r="AJ37" s="115"/>
      <c r="AK37" s="115"/>
      <c r="AL37" s="115">
        <v>1</v>
      </c>
      <c r="AM37" s="115"/>
      <c r="AN37" s="115"/>
      <c r="AO37" s="115"/>
      <c r="AP37" s="115"/>
      <c r="AQ37" s="115"/>
      <c r="AR37" s="115">
        <v>1</v>
      </c>
      <c r="AS37" s="115"/>
      <c r="AT37" s="115"/>
      <c r="AU37" s="115"/>
      <c r="AV37" s="115"/>
      <c r="AW37" s="115"/>
      <c r="AX37" s="115">
        <v>1</v>
      </c>
      <c r="AY37" s="115">
        <v>1</v>
      </c>
      <c r="AZ37" s="115">
        <v>1</v>
      </c>
      <c r="BA37" s="115"/>
      <c r="BB37" s="115"/>
      <c r="BC37" s="115"/>
      <c r="BD37" s="115"/>
      <c r="BE37" s="115">
        <v>1</v>
      </c>
      <c r="BF37" s="115"/>
      <c r="BG37" s="115"/>
      <c r="BH37" s="115"/>
      <c r="BI37" s="115">
        <v>1</v>
      </c>
      <c r="BJ37" s="115">
        <v>1</v>
      </c>
      <c r="BK37" s="115"/>
      <c r="BL37" s="115"/>
      <c r="BM37" s="115"/>
      <c r="BN37" s="115">
        <v>1</v>
      </c>
      <c r="BO37" s="115"/>
      <c r="BP37" s="115"/>
      <c r="BQ37" s="115"/>
      <c r="BR37" s="115"/>
      <c r="BS37" s="115"/>
      <c r="BT37" s="115"/>
      <c r="BU37" s="115"/>
      <c r="BV37" s="115"/>
      <c r="BW37" s="115"/>
      <c r="BX37" s="115"/>
      <c r="BY37" s="115"/>
      <c r="BZ37" s="115"/>
      <c r="CA37" s="115"/>
      <c r="CB37" s="115"/>
      <c r="CC37" s="115"/>
      <c r="CD37" s="183">
        <f t="shared" si="4"/>
        <v>16</v>
      </c>
      <c r="CE37" s="183" cm="1">
        <f t="array" ref="CE37">SUMPRODUCT(--(B37:CC37=INT(B37:CC37)),--(B37:CC37&gt;0))</f>
        <v>15</v>
      </c>
      <c r="CF37" s="183" cm="1">
        <f t="array" ref="CF37">MAX(FREQUENCY(IF((B37:CC37=INT(B37:CC37))*(B37:CC37&gt;0),COLUMN(B37:CC37)),IF((B37:CC37&lt;&gt;INT(B37:CC37))+(B37:CC37&lt;=0),COLUMN(B37:CC37))))</f>
        <v>3</v>
      </c>
      <c r="CG37" s="184" cm="1">
        <f t="array" ref="CG37">SUMPRODUCT(--(B37:CC37=INT(B37:CC37)),--(B37:CC37&gt;0))/80*100%</f>
        <v>0.1875</v>
      </c>
      <c r="CH37" s="185">
        <f t="shared" si="0"/>
        <v>18</v>
      </c>
      <c r="CI37" s="185">
        <f t="shared" si="1"/>
        <v>19</v>
      </c>
      <c r="CJ37" s="185">
        <f t="shared" si="2"/>
        <v>18</v>
      </c>
    </row>
    <row r="38" customHeight="1" spans="1:88">
      <c r="A38" s="4">
        <v>36</v>
      </c>
      <c r="B38" s="115"/>
      <c r="C38" s="115"/>
      <c r="D38" s="115"/>
      <c r="E38" s="115"/>
      <c r="F38" s="115"/>
      <c r="G38" s="115"/>
      <c r="H38" s="115"/>
      <c r="I38" s="115">
        <v>2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>
        <v>1</v>
      </c>
      <c r="Z38" s="115"/>
      <c r="AA38" s="115"/>
      <c r="AB38" s="115"/>
      <c r="AC38" s="115">
        <v>1</v>
      </c>
      <c r="AD38" s="115"/>
      <c r="AE38" s="115"/>
      <c r="AF38" s="115"/>
      <c r="AG38" s="115"/>
      <c r="AH38" s="115"/>
      <c r="AI38" s="115"/>
      <c r="AJ38" s="115"/>
      <c r="AK38" s="115"/>
      <c r="AL38" s="115"/>
      <c r="AM38" s="115"/>
      <c r="AN38" s="115"/>
      <c r="AO38" s="115"/>
      <c r="AP38" s="115"/>
      <c r="AQ38" s="115"/>
      <c r="AR38" s="115"/>
      <c r="AS38" s="115"/>
      <c r="AT38" s="115"/>
      <c r="AU38" s="115"/>
      <c r="AV38" s="115"/>
      <c r="AW38" s="115"/>
      <c r="AX38" s="115"/>
      <c r="AY38" s="115"/>
      <c r="AZ38" s="115"/>
      <c r="BA38" s="115"/>
      <c r="BB38" s="115"/>
      <c r="BC38" s="115"/>
      <c r="BD38" s="115">
        <v>1</v>
      </c>
      <c r="BE38" s="115">
        <v>1</v>
      </c>
      <c r="BF38" s="115"/>
      <c r="BG38" s="115">
        <v>1</v>
      </c>
      <c r="BH38" s="115">
        <v>1</v>
      </c>
      <c r="BI38" s="115">
        <v>1</v>
      </c>
      <c r="BJ38" s="115"/>
      <c r="BK38" s="115"/>
      <c r="BL38" s="115"/>
      <c r="BM38" s="115"/>
      <c r="BN38" s="115"/>
      <c r="BO38" s="115"/>
      <c r="BP38" s="115"/>
      <c r="BQ38" s="115"/>
      <c r="BR38" s="115"/>
      <c r="BS38" s="115"/>
      <c r="BT38" s="115"/>
      <c r="BU38" s="115"/>
      <c r="BV38" s="115"/>
      <c r="BW38" s="115"/>
      <c r="BX38" s="115"/>
      <c r="BY38" s="115"/>
      <c r="BZ38" s="115"/>
      <c r="CA38" s="115"/>
      <c r="CB38" s="115"/>
      <c r="CC38" s="115"/>
      <c r="CD38" s="183">
        <f t="shared" si="4"/>
        <v>9</v>
      </c>
      <c r="CE38" s="183" cm="1">
        <f t="array" ref="CE38">SUMPRODUCT(--(B38:CC38=INT(B38:CC38)),--(B38:CC38&gt;0))</f>
        <v>8</v>
      </c>
      <c r="CF38" s="183" cm="1">
        <f t="array" ref="CF38">MAX(FREQUENCY(IF((B38:CC38=INT(B38:CC38))*(B38:CC38&gt;0),COLUMN(B38:CC38)),IF((B38:CC38&lt;&gt;INT(B38:CC38))+(B38:CC38&lt;=0),COLUMN(B38:CC38))))</f>
        <v>3</v>
      </c>
      <c r="CG38" s="184" cm="1">
        <f t="array" ref="CG38">SUMPRODUCT(--(B38:CC38=INT(B38:CC38)),--(B38:CC38&gt;0))/80*100%</f>
        <v>0.1</v>
      </c>
      <c r="CH38" s="185">
        <f t="shared" si="0"/>
        <v>23</v>
      </c>
      <c r="CI38" s="185">
        <f t="shared" si="1"/>
        <v>25</v>
      </c>
      <c r="CJ38" s="185">
        <f t="shared" si="2"/>
        <v>18</v>
      </c>
    </row>
    <row r="39" customHeight="1" spans="1:88">
      <c r="A39" s="186">
        <v>37</v>
      </c>
      <c r="B39" s="186"/>
      <c r="C39" s="186"/>
      <c r="D39" s="186"/>
      <c r="E39" s="186"/>
      <c r="F39" s="186"/>
      <c r="G39" s="186"/>
      <c r="H39" s="186"/>
      <c r="I39" s="186"/>
      <c r="J39" s="186"/>
      <c r="K39" s="186"/>
      <c r="L39" s="186"/>
      <c r="M39" s="186"/>
      <c r="N39" s="186"/>
      <c r="O39" s="186"/>
      <c r="P39" s="186"/>
      <c r="Q39" s="186"/>
      <c r="R39" s="186"/>
      <c r="S39" s="186"/>
      <c r="T39" s="186"/>
      <c r="U39" s="186"/>
      <c r="V39" s="186"/>
      <c r="W39" s="186"/>
      <c r="X39" s="186"/>
      <c r="Y39" s="186"/>
      <c r="Z39" s="186"/>
      <c r="AA39" s="186"/>
      <c r="AB39" s="186"/>
      <c r="AC39" s="186"/>
      <c r="AD39" s="186"/>
      <c r="AE39" s="186"/>
      <c r="AF39" s="186"/>
      <c r="AG39" s="186"/>
      <c r="AH39" s="186"/>
      <c r="AI39" s="186"/>
      <c r="AJ39" s="186"/>
      <c r="AK39" s="186"/>
      <c r="AL39" s="186"/>
      <c r="AM39" s="186"/>
      <c r="AN39" s="186"/>
      <c r="AO39" s="186"/>
      <c r="AP39" s="186"/>
      <c r="AQ39" s="186"/>
      <c r="AR39" s="186"/>
      <c r="AS39" s="186"/>
      <c r="AT39" s="186"/>
      <c r="AU39" s="186"/>
      <c r="AV39" s="186"/>
      <c r="AW39" s="186"/>
      <c r="AX39" s="186"/>
      <c r="AY39" s="186"/>
      <c r="AZ39" s="186"/>
      <c r="BA39" s="186"/>
      <c r="BB39" s="186"/>
      <c r="BC39" s="186"/>
      <c r="BD39" s="186"/>
      <c r="BE39" s="186"/>
      <c r="BF39" s="186"/>
      <c r="BG39" s="186"/>
      <c r="BH39" s="186"/>
      <c r="BI39" s="186"/>
      <c r="BJ39" s="186"/>
      <c r="BK39" s="186"/>
      <c r="BL39" s="186"/>
      <c r="BM39" s="186"/>
      <c r="BN39" s="186"/>
      <c r="BO39" s="186"/>
      <c r="BP39" s="186"/>
      <c r="BQ39" s="186"/>
      <c r="BR39" s="186"/>
      <c r="BS39" s="186"/>
      <c r="BT39" s="186"/>
      <c r="BU39" s="186"/>
      <c r="BV39" s="186"/>
      <c r="BW39" s="186"/>
      <c r="BX39" s="186"/>
      <c r="BY39" s="186"/>
      <c r="BZ39" s="186"/>
      <c r="CA39" s="186"/>
      <c r="CB39" s="186"/>
      <c r="CC39" s="186"/>
      <c r="CD39" s="183">
        <f t="shared" si="4"/>
        <v>0</v>
      </c>
      <c r="CE39" s="183" cm="1">
        <f t="array" ref="CE39">SUMPRODUCT(--(B39:CC39=INT(B39:CC39)),--(B39:CC39&gt;0))</f>
        <v>0</v>
      </c>
      <c r="CF39" s="183" cm="1">
        <f t="array" ref="CF39">MAX(FREQUENCY(IF((B39:CC39=INT(B39:CC39))*(B39:CC39&gt;0),COLUMN(B39:CC39)),IF((B39:CC39&lt;&gt;INT(B39:CC39))+(B39:CC39&lt;=0),COLUMN(B39:CC39))))</f>
        <v>0</v>
      </c>
      <c r="CG39" s="184" cm="1">
        <f t="array" ref="CG39">SUMPRODUCT(--(B39:CC39=INT(B39:CC39)),--(B39:CC39&gt;0))/80*100%</f>
        <v>0</v>
      </c>
      <c r="CH39" s="187">
        <f t="shared" si="0"/>
        <v>44</v>
      </c>
      <c r="CI39" s="187">
        <f t="shared" si="1"/>
        <v>44</v>
      </c>
      <c r="CJ39" s="187">
        <f t="shared" si="2"/>
        <v>44</v>
      </c>
    </row>
    <row r="40" customHeight="1" spans="1:88">
      <c r="A40" s="4">
        <v>38</v>
      </c>
      <c r="B40" s="115"/>
      <c r="C40" s="115">
        <v>1</v>
      </c>
      <c r="D40" s="115">
        <v>1</v>
      </c>
      <c r="E40" s="115"/>
      <c r="F40" s="115">
        <v>1</v>
      </c>
      <c r="G40" s="115"/>
      <c r="H40" s="115">
        <v>1</v>
      </c>
      <c r="I40" s="115">
        <v>1</v>
      </c>
      <c r="J40" s="115">
        <v>2</v>
      </c>
      <c r="K40" s="115"/>
      <c r="L40" s="115">
        <v>1</v>
      </c>
      <c r="M40" s="115"/>
      <c r="N40" s="115"/>
      <c r="O40" s="115"/>
      <c r="P40" s="115"/>
      <c r="Q40" s="115">
        <v>1</v>
      </c>
      <c r="R40" s="115">
        <v>1</v>
      </c>
      <c r="S40" s="115">
        <v>1</v>
      </c>
      <c r="T40" s="115">
        <v>1</v>
      </c>
      <c r="U40" s="115">
        <v>2</v>
      </c>
      <c r="V40" s="115">
        <v>1</v>
      </c>
      <c r="W40" s="115">
        <v>1</v>
      </c>
      <c r="X40" s="115">
        <v>1</v>
      </c>
      <c r="Y40" s="115">
        <v>1</v>
      </c>
      <c r="Z40" s="115">
        <v>1</v>
      </c>
      <c r="AA40" s="115">
        <v>1</v>
      </c>
      <c r="AB40" s="115">
        <v>1</v>
      </c>
      <c r="AC40" s="115"/>
      <c r="AD40" s="115"/>
      <c r="AE40" s="115">
        <v>1</v>
      </c>
      <c r="AF40" s="115">
        <v>1</v>
      </c>
      <c r="AG40" s="115"/>
      <c r="AH40" s="115"/>
      <c r="AI40" s="115"/>
      <c r="AJ40" s="115">
        <v>2</v>
      </c>
      <c r="AK40" s="115">
        <v>2</v>
      </c>
      <c r="AL40" s="115"/>
      <c r="AM40" s="115"/>
      <c r="AN40" s="115">
        <v>1</v>
      </c>
      <c r="AO40" s="115"/>
      <c r="AP40" s="115"/>
      <c r="AQ40" s="115"/>
      <c r="AR40" s="115"/>
      <c r="AS40" s="115"/>
      <c r="AT40" s="115"/>
      <c r="AU40" s="115">
        <v>1</v>
      </c>
      <c r="AV40" s="115"/>
      <c r="AW40" s="115"/>
      <c r="AX40" s="115">
        <v>2</v>
      </c>
      <c r="AY40" s="115">
        <v>1</v>
      </c>
      <c r="AZ40" s="115">
        <v>1</v>
      </c>
      <c r="BA40" s="115"/>
      <c r="BB40" s="115">
        <v>1</v>
      </c>
      <c r="BC40" s="115">
        <v>2</v>
      </c>
      <c r="BD40" s="115">
        <v>1</v>
      </c>
      <c r="BE40" s="115">
        <v>2</v>
      </c>
      <c r="BF40" s="115"/>
      <c r="BG40" s="115">
        <v>1</v>
      </c>
      <c r="BH40" s="115"/>
      <c r="BI40" s="115">
        <v>1</v>
      </c>
      <c r="BJ40" s="115">
        <v>1</v>
      </c>
      <c r="BK40" s="115">
        <v>1</v>
      </c>
      <c r="BL40" s="115">
        <v>2</v>
      </c>
      <c r="BM40" s="115"/>
      <c r="BN40" s="115">
        <v>1</v>
      </c>
      <c r="BO40" s="115">
        <v>1</v>
      </c>
      <c r="BP40" s="115">
        <v>1</v>
      </c>
      <c r="BQ40" s="115">
        <v>2</v>
      </c>
      <c r="BR40" s="115">
        <v>1</v>
      </c>
      <c r="BS40" s="115"/>
      <c r="BT40" s="115"/>
      <c r="BU40" s="115"/>
      <c r="BV40" s="115"/>
      <c r="BW40" s="115"/>
      <c r="BX40" s="115"/>
      <c r="BY40" s="115"/>
      <c r="BZ40" s="115"/>
      <c r="CA40" s="115"/>
      <c r="CB40" s="115"/>
      <c r="CC40" s="115"/>
      <c r="CD40" s="183">
        <f t="shared" si="4"/>
        <v>51</v>
      </c>
      <c r="CE40" s="183" cm="1">
        <f t="array" ref="CE40">SUMPRODUCT(--(B40:CC40=INT(B40:CC40)),--(B40:CC40&gt;0))</f>
        <v>42</v>
      </c>
      <c r="CF40" s="183" cm="1">
        <f t="array" ref="CF40">MAX(FREQUENCY(IF((B40:CC40=INT(B40:CC40))*(B40:CC40&gt;0),COLUMN(B40:CC40)),IF((B40:CC40&lt;&gt;INT(B40:CC40))+(B40:CC40&lt;=0),COLUMN(B40:CC40))))</f>
        <v>12</v>
      </c>
      <c r="CG40" s="184" cm="1">
        <f t="array" ref="CG40">SUMPRODUCT(--(B40:CC40=INT(B40:CC40)),--(B40:CC40&gt;0))/80*100%</f>
        <v>0.525</v>
      </c>
      <c r="CH40" s="185">
        <f t="shared" si="0"/>
        <v>2</v>
      </c>
      <c r="CI40" s="185">
        <f t="shared" si="1"/>
        <v>2</v>
      </c>
      <c r="CJ40" s="185">
        <f t="shared" si="2"/>
        <v>2</v>
      </c>
    </row>
    <row r="41" customHeight="1" spans="1:88">
      <c r="A41" s="4">
        <v>39</v>
      </c>
      <c r="B41" s="115">
        <v>1</v>
      </c>
      <c r="C41" s="115"/>
      <c r="D41" s="115"/>
      <c r="E41" s="115"/>
      <c r="F41" s="115"/>
      <c r="G41" s="115"/>
      <c r="H41" s="115"/>
      <c r="I41" s="115"/>
      <c r="J41" s="115">
        <v>1</v>
      </c>
      <c r="K41" s="115"/>
      <c r="L41" s="115"/>
      <c r="M41" s="115"/>
      <c r="N41" s="115"/>
      <c r="O41" s="115"/>
      <c r="P41" s="115"/>
      <c r="Q41" s="115">
        <v>1</v>
      </c>
      <c r="R41" s="115"/>
      <c r="S41" s="115"/>
      <c r="T41" s="115">
        <v>2</v>
      </c>
      <c r="U41" s="115"/>
      <c r="V41" s="115"/>
      <c r="W41" s="115">
        <v>1</v>
      </c>
      <c r="X41" s="115"/>
      <c r="Y41" s="115">
        <v>2</v>
      </c>
      <c r="Z41" s="115"/>
      <c r="AA41" s="115"/>
      <c r="AB41" s="115"/>
      <c r="AC41" s="115"/>
      <c r="AD41" s="115"/>
      <c r="AE41" s="115"/>
      <c r="AF41" s="115">
        <v>2</v>
      </c>
      <c r="AG41" s="115">
        <v>1</v>
      </c>
      <c r="AH41" s="115"/>
      <c r="AI41" s="115"/>
      <c r="AJ41" s="115">
        <v>1</v>
      </c>
      <c r="AK41" s="115"/>
      <c r="AL41" s="115">
        <v>1</v>
      </c>
      <c r="AM41" s="115"/>
      <c r="AN41" s="115">
        <v>1</v>
      </c>
      <c r="AO41" s="115">
        <v>2</v>
      </c>
      <c r="AP41" s="115"/>
      <c r="AQ41" s="115"/>
      <c r="AR41" s="115">
        <v>1</v>
      </c>
      <c r="AS41" s="115">
        <v>1</v>
      </c>
      <c r="AT41" s="115"/>
      <c r="AU41" s="115">
        <v>1</v>
      </c>
      <c r="AV41" s="115">
        <v>1</v>
      </c>
      <c r="AW41" s="115"/>
      <c r="AX41" s="115"/>
      <c r="AY41" s="115"/>
      <c r="AZ41" s="115">
        <v>2</v>
      </c>
      <c r="BA41" s="115">
        <v>1</v>
      </c>
      <c r="BB41" s="115">
        <v>2</v>
      </c>
      <c r="BC41" s="115">
        <v>1</v>
      </c>
      <c r="BD41" s="115">
        <v>1</v>
      </c>
      <c r="BE41" s="115">
        <v>1</v>
      </c>
      <c r="BF41" s="115"/>
      <c r="BG41" s="115">
        <v>1</v>
      </c>
      <c r="BH41" s="115"/>
      <c r="BI41" s="115">
        <v>2</v>
      </c>
      <c r="BJ41" s="115">
        <v>2</v>
      </c>
      <c r="BK41" s="115">
        <v>2</v>
      </c>
      <c r="BL41" s="115">
        <v>1</v>
      </c>
      <c r="BM41" s="115"/>
      <c r="BN41" s="115">
        <v>1</v>
      </c>
      <c r="BO41" s="115">
        <v>1</v>
      </c>
      <c r="BP41" s="115"/>
      <c r="BQ41" s="115"/>
      <c r="BR41" s="115"/>
      <c r="BS41" s="115"/>
      <c r="BT41" s="115"/>
      <c r="BU41" s="115"/>
      <c r="BV41" s="115"/>
      <c r="BW41" s="115"/>
      <c r="BX41" s="115"/>
      <c r="BY41" s="115"/>
      <c r="BZ41" s="115"/>
      <c r="CA41" s="115"/>
      <c r="CB41" s="115"/>
      <c r="CC41" s="115"/>
      <c r="CD41" s="183">
        <f t="shared" si="4"/>
        <v>38</v>
      </c>
      <c r="CE41" s="183" cm="1">
        <f t="array" ref="CE41">SUMPRODUCT(--(B41:CC41=INT(B41:CC41)),--(B41:CC41&gt;0))</f>
        <v>29</v>
      </c>
      <c r="CF41" s="183" cm="1">
        <f t="array" ref="CF41">MAX(FREQUENCY(IF((B41:CC41=INT(B41:CC41))*(B41:CC41&gt;0),COLUMN(B41:CC41)),IF((B41:CC41&lt;&gt;INT(B41:CC41))+(B41:CC41&lt;=0),COLUMN(B41:CC41))))</f>
        <v>6</v>
      </c>
      <c r="CG41" s="184" cm="1">
        <f t="array" ref="CG41">SUMPRODUCT(--(B41:CC41=INT(B41:CC41)),--(B41:CC41&gt;0))/80*100%</f>
        <v>0.3625</v>
      </c>
      <c r="CH41" s="185">
        <f t="shared" si="0"/>
        <v>4</v>
      </c>
      <c r="CI41" s="185">
        <f t="shared" si="1"/>
        <v>7</v>
      </c>
      <c r="CJ41" s="185">
        <f t="shared" si="2"/>
        <v>4</v>
      </c>
    </row>
    <row r="42" customHeight="1" spans="1:88">
      <c r="A42" s="4">
        <v>40</v>
      </c>
      <c r="B42" s="115"/>
      <c r="C42" s="115"/>
      <c r="D42" s="115"/>
      <c r="E42" s="115"/>
      <c r="F42" s="115"/>
      <c r="G42" s="115"/>
      <c r="H42" s="115">
        <v>1</v>
      </c>
      <c r="I42" s="115"/>
      <c r="J42" s="115">
        <v>1</v>
      </c>
      <c r="K42" s="115">
        <v>1</v>
      </c>
      <c r="L42" s="115">
        <v>1</v>
      </c>
      <c r="M42" s="115">
        <v>1</v>
      </c>
      <c r="N42" s="115">
        <v>1</v>
      </c>
      <c r="O42" s="115"/>
      <c r="P42" s="115"/>
      <c r="Q42" s="115">
        <v>1</v>
      </c>
      <c r="R42" s="115">
        <v>2</v>
      </c>
      <c r="S42" s="115"/>
      <c r="T42" s="115">
        <v>2</v>
      </c>
      <c r="U42" s="115"/>
      <c r="V42" s="115">
        <v>1</v>
      </c>
      <c r="W42" s="115"/>
      <c r="X42" s="115"/>
      <c r="Y42" s="115">
        <v>1</v>
      </c>
      <c r="Z42" s="115"/>
      <c r="AA42" s="115"/>
      <c r="AB42" s="115"/>
      <c r="AC42" s="115"/>
      <c r="AD42" s="115"/>
      <c r="AE42" s="115"/>
      <c r="AF42" s="115">
        <v>2</v>
      </c>
      <c r="AG42" s="115"/>
      <c r="AH42" s="115"/>
      <c r="AI42" s="115"/>
      <c r="AJ42" s="115">
        <v>1</v>
      </c>
      <c r="AK42" s="115">
        <v>1</v>
      </c>
      <c r="AL42" s="115"/>
      <c r="AM42" s="115"/>
      <c r="AN42" s="115"/>
      <c r="AO42" s="115">
        <v>1</v>
      </c>
      <c r="AP42" s="115"/>
      <c r="AQ42" s="115"/>
      <c r="AR42" s="115">
        <v>2</v>
      </c>
      <c r="AS42" s="115"/>
      <c r="AT42" s="115">
        <v>1</v>
      </c>
      <c r="AU42" s="115">
        <v>3</v>
      </c>
      <c r="AV42" s="115">
        <v>1</v>
      </c>
      <c r="AW42" s="115"/>
      <c r="AX42" s="115">
        <v>2</v>
      </c>
      <c r="AY42" s="115">
        <v>1</v>
      </c>
      <c r="AZ42" s="115">
        <v>1</v>
      </c>
      <c r="BA42" s="115">
        <v>1</v>
      </c>
      <c r="BB42" s="115"/>
      <c r="BC42" s="115">
        <v>4</v>
      </c>
      <c r="BD42" s="115">
        <v>1</v>
      </c>
      <c r="BE42" s="115"/>
      <c r="BF42" s="115">
        <v>2</v>
      </c>
      <c r="BG42" s="115"/>
      <c r="BH42" s="115"/>
      <c r="BI42" s="115">
        <v>1</v>
      </c>
      <c r="BJ42" s="115">
        <v>1</v>
      </c>
      <c r="BK42" s="115">
        <v>2</v>
      </c>
      <c r="BL42" s="115"/>
      <c r="BM42" s="115"/>
      <c r="BN42" s="115">
        <v>1</v>
      </c>
      <c r="BO42" s="115"/>
      <c r="BP42" s="115"/>
      <c r="BQ42" s="115"/>
      <c r="BR42" s="115">
        <v>1</v>
      </c>
      <c r="BS42" s="115">
        <v>1</v>
      </c>
      <c r="BT42" s="115"/>
      <c r="BU42" s="115"/>
      <c r="BV42" s="115"/>
      <c r="BW42" s="115"/>
      <c r="BX42" s="115"/>
      <c r="BY42" s="115"/>
      <c r="BZ42" s="115"/>
      <c r="CA42" s="115"/>
      <c r="CB42" s="115"/>
      <c r="CC42" s="115"/>
      <c r="CD42" s="183">
        <f t="shared" si="4"/>
        <v>44</v>
      </c>
      <c r="CE42" s="183" cm="1">
        <f t="array" ref="CE42">SUMPRODUCT(--(B42:CC42=INT(B42:CC42)),--(B42:CC42&gt;0))</f>
        <v>32</v>
      </c>
      <c r="CF42" s="183" cm="1">
        <f t="array" ref="CF42">MAX(FREQUENCY(IF((B42:CC42=INT(B42:CC42))*(B42:CC42&gt;0),COLUMN(B42:CC42)),IF((B42:CC42&lt;&gt;INT(B42:CC42))+(B42:CC42&lt;=0),COLUMN(B42:CC42))))</f>
        <v>5</v>
      </c>
      <c r="CG42" s="184" cm="1">
        <f t="array" ref="CG42">SUMPRODUCT(--(B42:CC42=INT(B42:CC42)),--(B42:CC42&gt;0))/80*100%</f>
        <v>0.4</v>
      </c>
      <c r="CH42" s="185">
        <f t="shared" si="0"/>
        <v>3</v>
      </c>
      <c r="CI42" s="185">
        <f t="shared" si="1"/>
        <v>4</v>
      </c>
      <c r="CJ42" s="185">
        <f t="shared" si="2"/>
        <v>7</v>
      </c>
    </row>
    <row r="43" customHeight="1" spans="1:88">
      <c r="A43" s="112">
        <v>41</v>
      </c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  <c r="AD43" s="115"/>
      <c r="AE43" s="115"/>
      <c r="AF43" s="115"/>
      <c r="AG43" s="115"/>
      <c r="AH43" s="115"/>
      <c r="AI43" s="115"/>
      <c r="AJ43" s="115"/>
      <c r="AK43" s="115"/>
      <c r="AL43" s="115"/>
      <c r="AM43" s="115"/>
      <c r="AN43" s="115"/>
      <c r="AO43" s="115"/>
      <c r="AP43" s="115"/>
      <c r="AQ43" s="115"/>
      <c r="AR43" s="115"/>
      <c r="AS43" s="115"/>
      <c r="AT43" s="115"/>
      <c r="AU43" s="115"/>
      <c r="AV43" s="115"/>
      <c r="AW43" s="115"/>
      <c r="AX43" s="115"/>
      <c r="AY43" s="115"/>
      <c r="AZ43" s="115"/>
      <c r="BA43" s="115"/>
      <c r="BB43" s="115"/>
      <c r="BC43" s="115"/>
      <c r="BD43" s="115"/>
      <c r="BE43" s="115"/>
      <c r="BF43" s="115"/>
      <c r="BG43" s="115"/>
      <c r="BH43" s="115"/>
      <c r="BI43" s="115"/>
      <c r="BJ43" s="115"/>
      <c r="BK43" s="115"/>
      <c r="BL43" s="115"/>
      <c r="BM43" s="115"/>
      <c r="BN43" s="115"/>
      <c r="BO43" s="115"/>
      <c r="BP43" s="115"/>
      <c r="BQ43" s="115"/>
      <c r="BR43" s="115"/>
      <c r="BS43" s="115"/>
      <c r="BT43" s="115"/>
      <c r="BU43" s="115"/>
      <c r="BV43" s="115"/>
      <c r="BW43" s="115"/>
      <c r="BX43" s="115"/>
      <c r="BY43" s="115"/>
      <c r="BZ43" s="115"/>
      <c r="CA43" s="115"/>
      <c r="CB43" s="115"/>
      <c r="CC43" s="115"/>
      <c r="CD43" s="183">
        <f t="shared" si="4"/>
        <v>0</v>
      </c>
      <c r="CE43" s="183" cm="1">
        <f t="array" ref="CE43">SUMPRODUCT(--(B43:CC43=INT(B43:CC43)),--(B43:CC43&gt;0))</f>
        <v>0</v>
      </c>
      <c r="CF43" s="183" cm="1">
        <f t="array" ref="CF43">MAX(FREQUENCY(IF((B43:CC43=INT(B43:CC43))*(B43:CC43&gt;0),COLUMN(B43:CC43)),IF((B43:CC43&lt;&gt;INT(B43:CC43))+(B43:CC43&lt;=0),COLUMN(B43:CC43))))</f>
        <v>0</v>
      </c>
      <c r="CG43" s="184" cm="1">
        <f t="array" ref="CG43">SUMPRODUCT(--(B43:CC43=INT(B43:CC43)),--(B43:CC43&gt;0))/80*100%</f>
        <v>0</v>
      </c>
      <c r="CH43" s="185">
        <f t="shared" si="0"/>
        <v>44</v>
      </c>
      <c r="CI43" s="185">
        <f t="shared" si="1"/>
        <v>44</v>
      </c>
      <c r="CJ43" s="185">
        <f t="shared" si="2"/>
        <v>44</v>
      </c>
    </row>
    <row r="44" customHeight="1" spans="1:88">
      <c r="A44" s="4">
        <v>42</v>
      </c>
      <c r="B44" s="115">
        <v>1</v>
      </c>
      <c r="C44" s="115">
        <v>1</v>
      </c>
      <c r="D44" s="115">
        <v>2</v>
      </c>
      <c r="E44" s="115">
        <v>1</v>
      </c>
      <c r="F44" s="115">
        <v>1</v>
      </c>
      <c r="G44" s="115"/>
      <c r="H44" s="115">
        <v>1</v>
      </c>
      <c r="I44" s="115">
        <v>1</v>
      </c>
      <c r="J44" s="115">
        <v>1</v>
      </c>
      <c r="K44" s="115"/>
      <c r="L44" s="115">
        <v>1</v>
      </c>
      <c r="M44" s="115"/>
      <c r="N44" s="115"/>
      <c r="O44" s="115"/>
      <c r="P44" s="115"/>
      <c r="Q44" s="115"/>
      <c r="R44" s="115">
        <v>2</v>
      </c>
      <c r="S44" s="115"/>
      <c r="T44" s="115">
        <v>1</v>
      </c>
      <c r="U44" s="115"/>
      <c r="V44" s="115"/>
      <c r="W44" s="115"/>
      <c r="X44" s="115">
        <v>1</v>
      </c>
      <c r="Y44" s="115">
        <v>2</v>
      </c>
      <c r="Z44" s="115"/>
      <c r="AA44" s="115"/>
      <c r="AB44" s="115"/>
      <c r="AC44" s="115"/>
      <c r="AD44" s="115"/>
      <c r="AE44" s="115">
        <v>1</v>
      </c>
      <c r="AF44" s="115"/>
      <c r="AG44" s="115"/>
      <c r="AH44" s="115"/>
      <c r="AI44" s="115"/>
      <c r="AJ44" s="115"/>
      <c r="AK44" s="115"/>
      <c r="AL44" s="115"/>
      <c r="AM44" s="115"/>
      <c r="AN44" s="115"/>
      <c r="AO44" s="115">
        <v>1</v>
      </c>
      <c r="AP44" s="115"/>
      <c r="AQ44" s="115"/>
      <c r="AR44" s="115">
        <v>1</v>
      </c>
      <c r="AS44" s="115"/>
      <c r="AT44" s="115"/>
      <c r="AU44" s="115">
        <v>2</v>
      </c>
      <c r="AV44" s="115">
        <v>1</v>
      </c>
      <c r="AW44" s="115"/>
      <c r="AX44" s="115"/>
      <c r="AY44" s="115">
        <v>1</v>
      </c>
      <c r="AZ44" s="115">
        <v>1</v>
      </c>
      <c r="BA44" s="115">
        <v>1</v>
      </c>
      <c r="BB44" s="115"/>
      <c r="BC44" s="115">
        <v>1</v>
      </c>
      <c r="BD44" s="115"/>
      <c r="BE44" s="115">
        <v>1</v>
      </c>
      <c r="BF44" s="115">
        <v>2</v>
      </c>
      <c r="BG44" s="115">
        <v>2</v>
      </c>
      <c r="BH44" s="115">
        <v>2</v>
      </c>
      <c r="BI44" s="115">
        <v>1</v>
      </c>
      <c r="BJ44" s="115">
        <v>1</v>
      </c>
      <c r="BK44" s="115"/>
      <c r="BL44" s="115"/>
      <c r="BM44" s="115"/>
      <c r="BN44" s="115"/>
      <c r="BO44" s="115">
        <v>1</v>
      </c>
      <c r="BP44" s="115"/>
      <c r="BQ44" s="115">
        <v>1</v>
      </c>
      <c r="BR44" s="115">
        <v>1</v>
      </c>
      <c r="BS44" s="115"/>
      <c r="BT44" s="115"/>
      <c r="BU44" s="115"/>
      <c r="BV44" s="115"/>
      <c r="BW44" s="115"/>
      <c r="BX44" s="115"/>
      <c r="BY44" s="115"/>
      <c r="BZ44" s="115"/>
      <c r="CA44" s="115"/>
      <c r="CB44" s="115"/>
      <c r="CC44" s="115"/>
      <c r="CD44" s="183">
        <f t="shared" si="4"/>
        <v>38</v>
      </c>
      <c r="CE44" s="183" cm="1">
        <f t="array" ref="CE44">SUMPRODUCT(--(B44:CC44=INT(B44:CC44)),--(B44:CC44&gt;0))</f>
        <v>31</v>
      </c>
      <c r="CF44" s="183" cm="1">
        <f t="array" ref="CF44">MAX(FREQUENCY(IF((B44:CC44=INT(B44:CC44))*(B44:CC44&gt;0),COLUMN(B44:CC44)),IF((B44:CC44&lt;&gt;INT(B44:CC44))+(B44:CC44&lt;=0),COLUMN(B44:CC44))))</f>
        <v>6</v>
      </c>
      <c r="CG44" s="184" cm="1">
        <f t="array" ref="CG44">SUMPRODUCT(--(B44:CC44=INT(B44:CC44)),--(B44:CC44&gt;0))/80*100%</f>
        <v>0.3875</v>
      </c>
      <c r="CH44" s="185">
        <f t="shared" si="0"/>
        <v>4</v>
      </c>
      <c r="CI44" s="185">
        <f t="shared" si="1"/>
        <v>6</v>
      </c>
      <c r="CJ44" s="185">
        <f t="shared" si="2"/>
        <v>4</v>
      </c>
    </row>
    <row r="45" customHeight="1" spans="1:88">
      <c r="A45" s="112">
        <v>43</v>
      </c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  <c r="AD45" s="115"/>
      <c r="AE45" s="115"/>
      <c r="AF45" s="115"/>
      <c r="AG45" s="115"/>
      <c r="AH45" s="115"/>
      <c r="AI45" s="115"/>
      <c r="AJ45" s="115"/>
      <c r="AK45" s="115"/>
      <c r="AL45" s="115"/>
      <c r="AM45" s="115"/>
      <c r="AN45" s="115"/>
      <c r="AO45" s="115"/>
      <c r="AP45" s="115"/>
      <c r="AQ45" s="115"/>
      <c r="AR45" s="115"/>
      <c r="AS45" s="115"/>
      <c r="AT45" s="115"/>
      <c r="AU45" s="115"/>
      <c r="AV45" s="115"/>
      <c r="AW45" s="115"/>
      <c r="AX45" s="115"/>
      <c r="AY45" s="115"/>
      <c r="AZ45" s="115"/>
      <c r="BA45" s="115"/>
      <c r="BB45" s="115"/>
      <c r="BC45" s="115"/>
      <c r="BD45" s="115"/>
      <c r="BE45" s="115"/>
      <c r="BF45" s="115"/>
      <c r="BG45" s="115"/>
      <c r="BH45" s="115"/>
      <c r="BI45" s="115"/>
      <c r="BJ45" s="115"/>
      <c r="BK45" s="115"/>
      <c r="BL45" s="115"/>
      <c r="BM45" s="115"/>
      <c r="BN45" s="115"/>
      <c r="BO45" s="115"/>
      <c r="BP45" s="115"/>
      <c r="BQ45" s="115"/>
      <c r="BR45" s="115"/>
      <c r="BS45" s="115"/>
      <c r="BT45" s="115"/>
      <c r="BU45" s="115"/>
      <c r="BV45" s="115"/>
      <c r="BW45" s="115"/>
      <c r="BX45" s="115"/>
      <c r="BY45" s="115"/>
      <c r="BZ45" s="115"/>
      <c r="CA45" s="115"/>
      <c r="CB45" s="115"/>
      <c r="CC45" s="115"/>
      <c r="CD45" s="183">
        <f t="shared" si="4"/>
        <v>0</v>
      </c>
      <c r="CE45" s="183" cm="1">
        <f t="array" ref="CE45">SUMPRODUCT(--(B45:CC45=INT(B45:CC45)),--(B45:CC45&gt;0))</f>
        <v>0</v>
      </c>
      <c r="CF45" s="183" cm="1">
        <f t="array" ref="CF45">MAX(FREQUENCY(IF((B45:CC45=INT(B45:CC45))*(B45:CC45&gt;0),COLUMN(B45:CC45)),IF((B45:CC45&lt;&gt;INT(B45:CC45))+(B45:CC45&lt;=0),COLUMN(B45:CC45))))</f>
        <v>0</v>
      </c>
      <c r="CG45" s="184" cm="1">
        <f t="array" ref="CG45">SUMPRODUCT(--(B45:CC45=INT(B45:CC45)),--(B45:CC45&gt;0))/80*100%</f>
        <v>0</v>
      </c>
      <c r="CH45" s="185">
        <f t="shared" si="0"/>
        <v>44</v>
      </c>
      <c r="CI45" s="185">
        <f t="shared" si="1"/>
        <v>44</v>
      </c>
      <c r="CJ45" s="185">
        <f t="shared" si="2"/>
        <v>44</v>
      </c>
    </row>
    <row r="46" customHeight="1" spans="1:88">
      <c r="A46" s="4">
        <v>44</v>
      </c>
      <c r="B46" s="115">
        <v>1</v>
      </c>
      <c r="C46" s="115">
        <v>1</v>
      </c>
      <c r="D46" s="115">
        <v>1</v>
      </c>
      <c r="E46" s="115">
        <v>1</v>
      </c>
      <c r="F46" s="115"/>
      <c r="G46" s="115">
        <v>3</v>
      </c>
      <c r="H46" s="115">
        <v>1</v>
      </c>
      <c r="I46" s="115">
        <v>1</v>
      </c>
      <c r="J46" s="115">
        <v>2</v>
      </c>
      <c r="K46" s="115">
        <v>2</v>
      </c>
      <c r="L46" s="115">
        <v>1</v>
      </c>
      <c r="M46" s="115">
        <v>2</v>
      </c>
      <c r="N46" s="115">
        <v>2</v>
      </c>
      <c r="O46" s="115"/>
      <c r="P46" s="115"/>
      <c r="Q46" s="115"/>
      <c r="R46" s="115">
        <v>1</v>
      </c>
      <c r="S46" s="115">
        <v>1</v>
      </c>
      <c r="T46" s="115">
        <v>3</v>
      </c>
      <c r="U46" s="115">
        <v>1</v>
      </c>
      <c r="V46" s="115">
        <v>1</v>
      </c>
      <c r="W46" s="115"/>
      <c r="X46" s="115"/>
      <c r="Y46" s="115">
        <v>2</v>
      </c>
      <c r="Z46" s="115">
        <v>1</v>
      </c>
      <c r="AA46" s="115"/>
      <c r="AB46" s="115">
        <v>1</v>
      </c>
      <c r="AC46" s="115"/>
      <c r="AD46" s="115"/>
      <c r="AE46" s="115">
        <v>1</v>
      </c>
      <c r="AF46" s="115"/>
      <c r="AG46" s="115"/>
      <c r="AH46" s="115"/>
      <c r="AI46" s="115"/>
      <c r="AJ46" s="115">
        <v>1</v>
      </c>
      <c r="AK46" s="115"/>
      <c r="AL46" s="115"/>
      <c r="AM46" s="115">
        <v>1</v>
      </c>
      <c r="AN46" s="115">
        <v>1</v>
      </c>
      <c r="AO46" s="115"/>
      <c r="AP46" s="115"/>
      <c r="AQ46" s="115">
        <v>1</v>
      </c>
      <c r="AR46" s="115">
        <v>2</v>
      </c>
      <c r="AS46" s="115">
        <v>1</v>
      </c>
      <c r="AT46" s="115">
        <v>1</v>
      </c>
      <c r="AU46" s="115">
        <v>2</v>
      </c>
      <c r="AV46" s="115">
        <v>1</v>
      </c>
      <c r="AW46" s="115">
        <v>1</v>
      </c>
      <c r="AX46" s="115">
        <v>1</v>
      </c>
      <c r="AY46" s="115">
        <v>1</v>
      </c>
      <c r="AZ46" s="115">
        <v>1</v>
      </c>
      <c r="BA46" s="115">
        <v>1</v>
      </c>
      <c r="BB46" s="115">
        <v>2</v>
      </c>
      <c r="BC46" s="115">
        <v>2</v>
      </c>
      <c r="BD46" s="115">
        <v>1</v>
      </c>
      <c r="BE46" s="115">
        <v>1</v>
      </c>
      <c r="BF46" s="115">
        <v>2</v>
      </c>
      <c r="BG46" s="115">
        <v>1</v>
      </c>
      <c r="BH46" s="115"/>
      <c r="BI46" s="115">
        <v>1</v>
      </c>
      <c r="BJ46" s="115">
        <v>2</v>
      </c>
      <c r="BK46" s="115">
        <v>1</v>
      </c>
      <c r="BL46" s="115"/>
      <c r="BM46" s="115"/>
      <c r="BN46" s="115"/>
      <c r="BO46" s="115">
        <v>1</v>
      </c>
      <c r="BP46" s="115">
        <v>1</v>
      </c>
      <c r="BQ46" s="115">
        <v>1</v>
      </c>
      <c r="BR46" s="115"/>
      <c r="BS46" s="115"/>
      <c r="BT46" s="115">
        <v>1</v>
      </c>
      <c r="BU46" s="115"/>
      <c r="BV46" s="115"/>
      <c r="BW46" s="115"/>
      <c r="BX46" s="115"/>
      <c r="BY46" s="115"/>
      <c r="BZ46" s="115"/>
      <c r="CA46" s="115"/>
      <c r="CB46" s="115"/>
      <c r="CC46" s="115"/>
      <c r="CD46" s="183">
        <f t="shared" si="4"/>
        <v>63</v>
      </c>
      <c r="CE46" s="183" cm="1">
        <f t="array" ref="CE46">SUMPRODUCT(--(B46:CC46=INT(B46:CC46)),--(B46:CC46&gt;0))</f>
        <v>48</v>
      </c>
      <c r="CF46" s="183" cm="1">
        <f t="array" ref="CF46">MAX(FREQUENCY(IF((B46:CC46=INT(B46:CC46))*(B46:CC46&gt;0),COLUMN(B46:CC46)),IF((B46:CC46&lt;&gt;INT(B46:CC46))+(B46:CC46&lt;=0),COLUMN(B46:CC46))))</f>
        <v>17</v>
      </c>
      <c r="CG46" s="184" cm="1">
        <f t="array" ref="CG46">SUMPRODUCT(--(B46:CC46=INT(B46:CC46)),--(B46:CC46&gt;0))/80*100%</f>
        <v>0.6</v>
      </c>
      <c r="CH46" s="185">
        <f t="shared" si="0"/>
        <v>1</v>
      </c>
      <c r="CI46" s="185">
        <f t="shared" si="1"/>
        <v>1</v>
      </c>
      <c r="CJ46" s="185">
        <f t="shared" si="2"/>
        <v>1</v>
      </c>
    </row>
    <row r="47" customHeight="1" spans="1:88">
      <c r="A47" s="112">
        <v>45</v>
      </c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  <c r="AD47" s="115"/>
      <c r="AE47" s="115"/>
      <c r="AF47" s="115"/>
      <c r="AG47" s="115"/>
      <c r="AH47" s="115"/>
      <c r="AI47" s="115"/>
      <c r="AJ47" s="115"/>
      <c r="AK47" s="115"/>
      <c r="AL47" s="115"/>
      <c r="AM47" s="115"/>
      <c r="AN47" s="115"/>
      <c r="AO47" s="115"/>
      <c r="AP47" s="115"/>
      <c r="AQ47" s="115"/>
      <c r="AR47" s="115"/>
      <c r="AS47" s="115"/>
      <c r="AT47" s="115"/>
      <c r="AU47" s="115"/>
      <c r="AV47" s="115"/>
      <c r="AW47" s="115"/>
      <c r="AX47" s="115"/>
      <c r="AY47" s="115"/>
      <c r="AZ47" s="115"/>
      <c r="BA47" s="115"/>
      <c r="BB47" s="115"/>
      <c r="BC47" s="115"/>
      <c r="BD47" s="115"/>
      <c r="BE47" s="115"/>
      <c r="BF47" s="115"/>
      <c r="BG47" s="115"/>
      <c r="BH47" s="115"/>
      <c r="BI47" s="115"/>
      <c r="BJ47" s="115"/>
      <c r="BK47" s="115"/>
      <c r="BL47" s="115"/>
      <c r="BM47" s="115"/>
      <c r="BN47" s="115"/>
      <c r="BO47" s="115"/>
      <c r="BP47" s="115"/>
      <c r="BQ47" s="115"/>
      <c r="BR47" s="115"/>
      <c r="BS47" s="115"/>
      <c r="BT47" s="115"/>
      <c r="BU47" s="115"/>
      <c r="BV47" s="115"/>
      <c r="BW47" s="115"/>
      <c r="BX47" s="115"/>
      <c r="BY47" s="115"/>
      <c r="BZ47" s="115"/>
      <c r="CA47" s="115"/>
      <c r="CB47" s="115"/>
      <c r="CC47" s="115"/>
      <c r="CD47" s="183">
        <f t="shared" si="4"/>
        <v>0</v>
      </c>
      <c r="CE47" s="183" cm="1">
        <f t="array" ref="CE47">SUMPRODUCT(--(B47:CC47=INT(B47:CC47)),--(B47:CC47&gt;0))</f>
        <v>0</v>
      </c>
      <c r="CF47" s="183" cm="1">
        <f t="array" ref="CF47">MAX(FREQUENCY(IF((B47:CC47=INT(B47:CC47))*(B47:CC47&gt;0),COLUMN(B47:CC47)),IF((B47:CC47&lt;&gt;INT(B47:CC47))+(B47:CC47&lt;=0),COLUMN(B47:CC47))))</f>
        <v>0</v>
      </c>
      <c r="CG47" s="184" cm="1">
        <f t="array" ref="CG47">SUMPRODUCT(--(B47:CC47=INT(B47:CC47)),--(B47:CC47&gt;0))/80*100%</f>
        <v>0</v>
      </c>
      <c r="CH47" s="185">
        <f t="shared" si="0"/>
        <v>44</v>
      </c>
      <c r="CI47" s="185">
        <f t="shared" si="1"/>
        <v>44</v>
      </c>
      <c r="CJ47" s="185">
        <f t="shared" si="2"/>
        <v>44</v>
      </c>
    </row>
    <row r="48" customHeight="1" spans="1:88">
      <c r="A48" s="4">
        <v>46</v>
      </c>
      <c r="B48" s="115"/>
      <c r="C48" s="115"/>
      <c r="D48" s="115"/>
      <c r="E48" s="115"/>
      <c r="F48" s="115"/>
      <c r="G48" s="115">
        <v>1</v>
      </c>
      <c r="H48" s="115"/>
      <c r="I48" s="115"/>
      <c r="J48" s="115"/>
      <c r="K48" s="115"/>
      <c r="L48" s="115"/>
      <c r="M48" s="115"/>
      <c r="N48" s="115">
        <v>1</v>
      </c>
      <c r="O48" s="115"/>
      <c r="P48" s="115"/>
      <c r="Q48" s="115">
        <v>1</v>
      </c>
      <c r="R48" s="115">
        <v>1</v>
      </c>
      <c r="S48" s="115"/>
      <c r="T48" s="115">
        <v>1</v>
      </c>
      <c r="U48" s="115"/>
      <c r="V48" s="115"/>
      <c r="W48" s="115"/>
      <c r="X48" s="115"/>
      <c r="Y48" s="115">
        <v>1</v>
      </c>
      <c r="Z48" s="115"/>
      <c r="AA48" s="115"/>
      <c r="AB48" s="115"/>
      <c r="AC48" s="115">
        <v>1</v>
      </c>
      <c r="AD48" s="115">
        <v>1</v>
      </c>
      <c r="AE48" s="115"/>
      <c r="AF48" s="115">
        <v>1</v>
      </c>
      <c r="AG48" s="115"/>
      <c r="AH48" s="115"/>
      <c r="AI48" s="115"/>
      <c r="AJ48" s="115"/>
      <c r="AK48" s="115">
        <v>1</v>
      </c>
      <c r="AL48" s="115"/>
      <c r="AM48" s="115"/>
      <c r="AN48" s="115">
        <v>2</v>
      </c>
      <c r="AO48" s="115">
        <v>1</v>
      </c>
      <c r="AP48" s="115"/>
      <c r="AQ48" s="115"/>
      <c r="AR48" s="115">
        <v>2</v>
      </c>
      <c r="AS48" s="115"/>
      <c r="AT48" s="115"/>
      <c r="AU48" s="115">
        <v>2</v>
      </c>
      <c r="AV48" s="115"/>
      <c r="AW48" s="115"/>
      <c r="AX48" s="115">
        <v>1</v>
      </c>
      <c r="AY48" s="115">
        <v>1</v>
      </c>
      <c r="AZ48" s="115"/>
      <c r="BA48" s="115">
        <v>2</v>
      </c>
      <c r="BB48" s="115"/>
      <c r="BC48" s="115"/>
      <c r="BD48" s="115"/>
      <c r="BE48" s="115">
        <v>1</v>
      </c>
      <c r="BF48" s="115">
        <v>1</v>
      </c>
      <c r="BG48" s="115">
        <v>1</v>
      </c>
      <c r="BH48" s="115"/>
      <c r="BI48" s="115">
        <v>1</v>
      </c>
      <c r="BJ48" s="115"/>
      <c r="BK48" s="115"/>
      <c r="BL48" s="115"/>
      <c r="BM48" s="115"/>
      <c r="BN48" s="115"/>
      <c r="BO48" s="115">
        <v>1</v>
      </c>
      <c r="BP48" s="115"/>
      <c r="BQ48" s="115"/>
      <c r="BR48" s="115"/>
      <c r="BS48" s="115"/>
      <c r="BT48" s="115"/>
      <c r="BU48" s="115"/>
      <c r="BV48" s="115"/>
      <c r="BW48" s="115"/>
      <c r="BX48" s="115"/>
      <c r="BY48" s="115"/>
      <c r="BZ48" s="115"/>
      <c r="CA48" s="115"/>
      <c r="CB48" s="115"/>
      <c r="CC48" s="115"/>
      <c r="CD48" s="183">
        <f t="shared" si="4"/>
        <v>26</v>
      </c>
      <c r="CE48" s="183" cm="1">
        <f t="array" ref="CE48">SUMPRODUCT(--(B48:CC48=INT(B48:CC48)),--(B48:CC48&gt;0))</f>
        <v>22</v>
      </c>
      <c r="CF48" s="183" cm="1">
        <f t="array" ref="CF48">MAX(FREQUENCY(IF((B48:CC48=INT(B48:CC48))*(B48:CC48&gt;0),COLUMN(B48:CC48)),IF((B48:CC48&lt;&gt;INT(B48:CC48))+(B48:CC48&lt;=0),COLUMN(B48:CC48))))</f>
        <v>3</v>
      </c>
      <c r="CG48" s="184" cm="1">
        <f t="array" ref="CG48">SUMPRODUCT(--(B48:CC48=INT(B48:CC48)),--(B48:CC48&gt;0))/80*100%</f>
        <v>0.275</v>
      </c>
      <c r="CH48" s="185">
        <f t="shared" si="0"/>
        <v>11</v>
      </c>
      <c r="CI48" s="185">
        <f t="shared" si="1"/>
        <v>11</v>
      </c>
      <c r="CJ48" s="185">
        <f t="shared" si="2"/>
        <v>18</v>
      </c>
    </row>
    <row r="49" customHeight="1" spans="1:88">
      <c r="A49" s="4">
        <v>47</v>
      </c>
      <c r="B49" s="115"/>
      <c r="C49" s="115"/>
      <c r="D49" s="115"/>
      <c r="E49" s="115"/>
      <c r="F49" s="115"/>
      <c r="G49" s="115"/>
      <c r="H49" s="115">
        <v>1</v>
      </c>
      <c r="I49" s="115"/>
      <c r="J49" s="115"/>
      <c r="K49" s="115"/>
      <c r="L49" s="115"/>
      <c r="M49" s="115">
        <v>1</v>
      </c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>
        <v>1</v>
      </c>
      <c r="Z49" s="115"/>
      <c r="AA49" s="115"/>
      <c r="AB49" s="115"/>
      <c r="AC49" s="115"/>
      <c r="AD49" s="115"/>
      <c r="AE49" s="115"/>
      <c r="AF49" s="115"/>
      <c r="AG49" s="115"/>
      <c r="AH49" s="115"/>
      <c r="AI49" s="115"/>
      <c r="AJ49" s="115">
        <v>1</v>
      </c>
      <c r="AK49" s="115"/>
      <c r="AL49" s="115"/>
      <c r="AM49" s="115"/>
      <c r="AN49" s="115"/>
      <c r="AO49" s="115"/>
      <c r="AP49" s="115"/>
      <c r="AQ49" s="115"/>
      <c r="AR49" s="115"/>
      <c r="AS49" s="115"/>
      <c r="AT49" s="115"/>
      <c r="AU49" s="115"/>
      <c r="AV49" s="115"/>
      <c r="AW49" s="115"/>
      <c r="AX49" s="115"/>
      <c r="AY49" s="115"/>
      <c r="AZ49" s="115"/>
      <c r="BA49" s="115"/>
      <c r="BB49" s="115"/>
      <c r="BC49" s="115"/>
      <c r="BD49" s="115"/>
      <c r="BE49" s="115"/>
      <c r="BF49" s="115"/>
      <c r="BG49" s="115"/>
      <c r="BH49" s="115"/>
      <c r="BI49" s="115"/>
      <c r="BJ49" s="115"/>
      <c r="BK49" s="115"/>
      <c r="BL49" s="115"/>
      <c r="BM49" s="115"/>
      <c r="BN49" s="115"/>
      <c r="BO49" s="115"/>
      <c r="BP49" s="115"/>
      <c r="BQ49" s="115"/>
      <c r="BR49" s="115"/>
      <c r="BS49" s="115"/>
      <c r="BT49" s="115"/>
      <c r="BU49" s="115"/>
      <c r="BV49" s="115"/>
      <c r="BW49" s="115"/>
      <c r="BX49" s="115"/>
      <c r="BY49" s="115"/>
      <c r="BZ49" s="115"/>
      <c r="CA49" s="115"/>
      <c r="CB49" s="115"/>
      <c r="CC49" s="115"/>
      <c r="CD49" s="183">
        <f t="shared" si="4"/>
        <v>4</v>
      </c>
      <c r="CE49" s="183" cm="1">
        <f t="array" ref="CE49">SUMPRODUCT(--(B49:CC49=INT(B49:CC49)),--(B49:CC49&gt;0))</f>
        <v>4</v>
      </c>
      <c r="CF49" s="183" cm="1">
        <f t="array" ref="CF49">MAX(FREQUENCY(IF((B49:CC49=INT(B49:CC49))*(B49:CC49&gt;0),COLUMN(B49:CC49)),IF((B49:CC49&lt;&gt;INT(B49:CC49))+(B49:CC49&lt;=0),COLUMN(B49:CC49))))</f>
        <v>1</v>
      </c>
      <c r="CG49" s="184" cm="1">
        <f t="array" ref="CG49">SUMPRODUCT(--(B49:CC49=INT(B49:CC49)),--(B49:CC49&gt;0))/80*100%</f>
        <v>0.05</v>
      </c>
      <c r="CH49" s="185">
        <f t="shared" si="0"/>
        <v>32</v>
      </c>
      <c r="CI49" s="185">
        <f t="shared" si="1"/>
        <v>32</v>
      </c>
      <c r="CJ49" s="185">
        <f t="shared" si="2"/>
        <v>27</v>
      </c>
    </row>
    <row r="50" customHeight="1" spans="1:88">
      <c r="A50" s="4">
        <v>48</v>
      </c>
      <c r="B50" s="115"/>
      <c r="C50" s="115"/>
      <c r="D50" s="115"/>
      <c r="E50" s="115">
        <v>1</v>
      </c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>
        <v>1</v>
      </c>
      <c r="S50" s="115"/>
      <c r="T50" s="115">
        <v>1</v>
      </c>
      <c r="U50" s="115"/>
      <c r="V50" s="115"/>
      <c r="W50" s="115"/>
      <c r="X50" s="115"/>
      <c r="Y50" s="115"/>
      <c r="Z50" s="115"/>
      <c r="AA50" s="115"/>
      <c r="AB50" s="115"/>
      <c r="AC50" s="115"/>
      <c r="AD50" s="115"/>
      <c r="AE50" s="115">
        <v>1</v>
      </c>
      <c r="AF50" s="115"/>
      <c r="AG50" s="115"/>
      <c r="AH50" s="115"/>
      <c r="AI50" s="115"/>
      <c r="AJ50" s="115">
        <v>1</v>
      </c>
      <c r="AK50" s="115"/>
      <c r="AL50" s="115"/>
      <c r="AM50" s="115"/>
      <c r="AN50" s="115"/>
      <c r="AO50" s="115"/>
      <c r="AP50" s="115"/>
      <c r="AQ50" s="115"/>
      <c r="AR50" s="115"/>
      <c r="AS50" s="115"/>
      <c r="AT50" s="115"/>
      <c r="AU50" s="115"/>
      <c r="AV50" s="115"/>
      <c r="AW50" s="115"/>
      <c r="AX50" s="115"/>
      <c r="AY50" s="115"/>
      <c r="AZ50" s="115"/>
      <c r="BA50" s="115"/>
      <c r="BB50" s="115"/>
      <c r="BC50" s="115"/>
      <c r="BD50" s="115"/>
      <c r="BE50" s="115"/>
      <c r="BF50" s="115"/>
      <c r="BG50" s="115"/>
      <c r="BH50" s="115"/>
      <c r="BI50" s="115"/>
      <c r="BJ50" s="115"/>
      <c r="BK50" s="115"/>
      <c r="BL50" s="115"/>
      <c r="BM50" s="115"/>
      <c r="BN50" s="115"/>
      <c r="BO50" s="115"/>
      <c r="BP50" s="115"/>
      <c r="BQ50" s="115"/>
      <c r="BR50" s="115"/>
      <c r="BS50" s="115"/>
      <c r="BT50" s="115"/>
      <c r="BU50" s="115"/>
      <c r="BV50" s="115"/>
      <c r="BW50" s="115"/>
      <c r="BX50" s="115"/>
      <c r="BY50" s="115"/>
      <c r="BZ50" s="115"/>
      <c r="CA50" s="115"/>
      <c r="CB50" s="115"/>
      <c r="CC50" s="115"/>
      <c r="CD50" s="183">
        <f t="shared" si="4"/>
        <v>5</v>
      </c>
      <c r="CE50" s="183" cm="1">
        <f t="array" ref="CE50">SUMPRODUCT(--(B50:CC50=INT(B50:CC50)),--(B50:CC50&gt;0))</f>
        <v>5</v>
      </c>
      <c r="CF50" s="183" cm="1">
        <f t="array" ref="CF50">MAX(FREQUENCY(IF((B50:CC50=INT(B50:CC50))*(B50:CC50&gt;0),COLUMN(B50:CC50)),IF((B50:CC50&lt;&gt;INT(B50:CC50))+(B50:CC50&lt;=0),COLUMN(B50:CC50))))</f>
        <v>1</v>
      </c>
      <c r="CG50" s="184" cm="1">
        <f t="array" ref="CG50">SUMPRODUCT(--(B50:CC50=INT(B50:CC50)),--(B50:CC50&gt;0))/80*100%</f>
        <v>0.0625</v>
      </c>
      <c r="CH50" s="185">
        <f t="shared" si="0"/>
        <v>29</v>
      </c>
      <c r="CI50" s="185">
        <f t="shared" si="1"/>
        <v>28</v>
      </c>
      <c r="CJ50" s="185">
        <f t="shared" si="2"/>
        <v>27</v>
      </c>
    </row>
    <row r="51" customHeight="1" spans="1:88">
      <c r="A51" s="115">
        <v>49</v>
      </c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  <c r="AD51" s="115"/>
      <c r="AE51" s="115"/>
      <c r="AF51" s="115"/>
      <c r="AG51" s="115"/>
      <c r="AH51" s="115"/>
      <c r="AI51" s="115"/>
      <c r="AJ51" s="115"/>
      <c r="AK51" s="115"/>
      <c r="AL51" s="115"/>
      <c r="AM51" s="115"/>
      <c r="AN51" s="115"/>
      <c r="AO51" s="115"/>
      <c r="AP51" s="115"/>
      <c r="AQ51" s="115"/>
      <c r="AR51" s="115"/>
      <c r="AS51" s="115"/>
      <c r="AT51" s="115"/>
      <c r="AU51" s="115"/>
      <c r="AV51" s="115"/>
      <c r="AW51" s="115"/>
      <c r="AX51" s="115"/>
      <c r="AY51" s="115"/>
      <c r="AZ51" s="115"/>
      <c r="BA51" s="115"/>
      <c r="BB51" s="115">
        <v>1</v>
      </c>
      <c r="BC51" s="115"/>
      <c r="BD51" s="115"/>
      <c r="BE51" s="115"/>
      <c r="BF51" s="115"/>
      <c r="BG51" s="115"/>
      <c r="BH51" s="115"/>
      <c r="BI51" s="115"/>
      <c r="BJ51" s="115"/>
      <c r="BK51" s="115"/>
      <c r="BL51" s="115"/>
      <c r="BM51" s="115"/>
      <c r="BN51" s="115"/>
      <c r="BO51" s="115"/>
      <c r="BP51" s="115"/>
      <c r="BQ51" s="115"/>
      <c r="BR51" s="115"/>
      <c r="BS51" s="115"/>
      <c r="BT51" s="115"/>
      <c r="BU51" s="115"/>
      <c r="BV51" s="115"/>
      <c r="BW51" s="115"/>
      <c r="BX51" s="115"/>
      <c r="BY51" s="115"/>
      <c r="BZ51" s="115"/>
      <c r="CA51" s="115"/>
      <c r="CB51" s="115"/>
      <c r="CC51" s="115"/>
      <c r="CD51" s="183">
        <f t="shared" si="4"/>
        <v>1</v>
      </c>
      <c r="CE51" s="183" cm="1">
        <f t="array" ref="CE51">SUMPRODUCT(--(B51:CC51=INT(B51:CC51)),--(B51:CC51&gt;0))</f>
        <v>1</v>
      </c>
      <c r="CF51" s="183" cm="1">
        <f t="array" ref="CF51">MAX(FREQUENCY(IF((B51:CC51=INT(B51:CC51))*(B51:CC51&gt;0),COLUMN(B51:CC51)),IF((B51:CC51&lt;&gt;INT(B51:CC51))+(B51:CC51&lt;=0),COLUMN(B51:CC51))))</f>
        <v>1</v>
      </c>
      <c r="CG51" s="184" cm="1">
        <f t="array" ref="CG51">SUMPRODUCT(--(B51:CC51=INT(B51:CC51)),--(B51:CC51&gt;0))/80*100%</f>
        <v>0.0125</v>
      </c>
      <c r="CH51" s="185">
        <f t="shared" si="0"/>
        <v>39</v>
      </c>
      <c r="CI51" s="185">
        <f t="shared" si="1"/>
        <v>39</v>
      </c>
      <c r="CJ51" s="185">
        <f t="shared" si="2"/>
        <v>27</v>
      </c>
    </row>
    <row r="52" customHeight="1" spans="1:88">
      <c r="A52" s="112">
        <v>50</v>
      </c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  <c r="AD52" s="115"/>
      <c r="AE52" s="115"/>
      <c r="AF52" s="115"/>
      <c r="AG52" s="115"/>
      <c r="AH52" s="115"/>
      <c r="AI52" s="115"/>
      <c r="AJ52" s="115"/>
      <c r="AK52" s="115"/>
      <c r="AL52" s="115"/>
      <c r="AM52" s="115"/>
      <c r="AN52" s="115"/>
      <c r="AO52" s="115"/>
      <c r="AP52" s="115"/>
      <c r="AQ52" s="115"/>
      <c r="AR52" s="115"/>
      <c r="AS52" s="115"/>
      <c r="AT52" s="115"/>
      <c r="AU52" s="115"/>
      <c r="AV52" s="115"/>
      <c r="AW52" s="115"/>
      <c r="AX52" s="115"/>
      <c r="AY52" s="115"/>
      <c r="AZ52" s="115"/>
      <c r="BA52" s="115"/>
      <c r="BB52" s="115"/>
      <c r="BC52" s="115"/>
      <c r="BD52" s="115"/>
      <c r="BE52" s="115"/>
      <c r="BF52" s="115"/>
      <c r="BG52" s="115"/>
      <c r="BH52" s="115"/>
      <c r="BI52" s="115"/>
      <c r="BJ52" s="115"/>
      <c r="BK52" s="115"/>
      <c r="BL52" s="115"/>
      <c r="BM52" s="115"/>
      <c r="BN52" s="115"/>
      <c r="BO52" s="115"/>
      <c r="BP52" s="115"/>
      <c r="BQ52" s="115"/>
      <c r="BR52" s="115"/>
      <c r="BS52" s="115"/>
      <c r="BT52" s="115"/>
      <c r="BU52" s="115"/>
      <c r="BV52" s="115"/>
      <c r="BW52" s="115"/>
      <c r="BX52" s="115"/>
      <c r="BY52" s="115"/>
      <c r="BZ52" s="115"/>
      <c r="CA52" s="115"/>
      <c r="CB52" s="115"/>
      <c r="CC52" s="115"/>
      <c r="CD52" s="183">
        <f t="shared" si="4"/>
        <v>0</v>
      </c>
      <c r="CE52" s="183" cm="1">
        <f t="array" ref="CE52">SUMPRODUCT(--(B52:CC52=INT(B52:CC52)),--(B52:CC52&gt;0))</f>
        <v>0</v>
      </c>
      <c r="CF52" s="183" cm="1">
        <f t="array" ref="CF52">MAX(FREQUENCY(IF((B52:CC52=INT(B52:CC52))*(B52:CC52&gt;0),COLUMN(B52:CC52)),IF((B52:CC52&lt;&gt;INT(B52:CC52))+(B52:CC52&lt;=0),COLUMN(B52:CC52))))</f>
        <v>0</v>
      </c>
      <c r="CG52" s="184" cm="1">
        <f t="array" ref="CG52">SUMPRODUCT(--(B52:CC52=INT(B52:CC52)),--(B52:CC52&gt;0))/80*100%</f>
        <v>0</v>
      </c>
      <c r="CH52" s="185">
        <f t="shared" si="0"/>
        <v>44</v>
      </c>
      <c r="CI52" s="185">
        <f t="shared" si="1"/>
        <v>44</v>
      </c>
      <c r="CJ52" s="185">
        <f t="shared" si="2"/>
        <v>44</v>
      </c>
    </row>
    <row r="53" customHeight="1" spans="1:88">
      <c r="A53" s="115">
        <v>51</v>
      </c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  <c r="AD53" s="115"/>
      <c r="AE53" s="115"/>
      <c r="AF53" s="115"/>
      <c r="AG53" s="115"/>
      <c r="AH53" s="115"/>
      <c r="AI53" s="115"/>
      <c r="AJ53" s="115">
        <v>1</v>
      </c>
      <c r="AK53" s="115"/>
      <c r="AL53" s="115"/>
      <c r="AM53" s="115"/>
      <c r="AN53" s="115"/>
      <c r="AO53" s="115"/>
      <c r="AP53" s="115"/>
      <c r="AQ53" s="115"/>
      <c r="AR53" s="115"/>
      <c r="AS53" s="115"/>
      <c r="AT53" s="115"/>
      <c r="AU53" s="115"/>
      <c r="AV53" s="115"/>
      <c r="AW53" s="115"/>
      <c r="AX53" s="115"/>
      <c r="AY53" s="115"/>
      <c r="AZ53" s="115"/>
      <c r="BA53" s="115"/>
      <c r="BB53" s="115"/>
      <c r="BC53" s="115">
        <v>1</v>
      </c>
      <c r="BD53" s="115"/>
      <c r="BE53" s="115"/>
      <c r="BF53" s="115"/>
      <c r="BG53" s="115"/>
      <c r="BH53" s="115"/>
      <c r="BI53" s="115"/>
      <c r="BJ53" s="115"/>
      <c r="BK53" s="115"/>
      <c r="BL53" s="115"/>
      <c r="BM53" s="115"/>
      <c r="BN53" s="115"/>
      <c r="BO53" s="115"/>
      <c r="BP53" s="115"/>
      <c r="BQ53" s="115"/>
      <c r="BR53" s="115"/>
      <c r="BS53" s="115"/>
      <c r="BT53" s="115"/>
      <c r="BU53" s="115"/>
      <c r="BV53" s="115"/>
      <c r="BW53" s="115"/>
      <c r="BX53" s="115"/>
      <c r="BY53" s="115"/>
      <c r="BZ53" s="115"/>
      <c r="CA53" s="115"/>
      <c r="CB53" s="115"/>
      <c r="CC53" s="115"/>
      <c r="CD53" s="183">
        <f t="shared" si="4"/>
        <v>2</v>
      </c>
      <c r="CE53" s="183" cm="1">
        <f t="array" ref="CE53">SUMPRODUCT(--(B53:CC53=INT(B53:CC53)),--(B53:CC53&gt;0))</f>
        <v>2</v>
      </c>
      <c r="CF53" s="183" cm="1">
        <f t="array" ref="CF53">MAX(FREQUENCY(IF((B53:CC53=INT(B53:CC53))*(B53:CC53&gt;0),COLUMN(B53:CC53)),IF((B53:CC53&lt;&gt;INT(B53:CC53))+(B53:CC53&lt;=0),COLUMN(B53:CC53))))</f>
        <v>1</v>
      </c>
      <c r="CG53" s="184" cm="1">
        <f t="array" ref="CG53">SUMPRODUCT(--(B53:CC53=INT(B53:CC53)),--(B53:CC53&gt;0))/80*100%</f>
        <v>0.025</v>
      </c>
      <c r="CH53" s="185">
        <f t="shared" si="0"/>
        <v>36</v>
      </c>
      <c r="CI53" s="185">
        <f t="shared" si="1"/>
        <v>35</v>
      </c>
      <c r="CJ53" s="185">
        <f t="shared" si="2"/>
        <v>27</v>
      </c>
    </row>
    <row r="54" s="170" customFormat="1" ht="28" spans="1:88">
      <c r="A54" s="188" t="s">
        <v>386</v>
      </c>
      <c r="B54" s="17" cm="1">
        <f t="array" ref="B54">SUMPRODUCT(--(B3:B53=INT(B3:B53)),--(B3:B53&gt;0))</f>
        <v>11</v>
      </c>
      <c r="C54" s="17" cm="1">
        <f t="array" ref="C54">SUMPRODUCT(--(C3:C53=INT(C3:C53)),--(C3:C53&gt;0))</f>
        <v>9</v>
      </c>
      <c r="D54" s="17" cm="1">
        <f t="array" ref="D54">SUMPRODUCT(--(D3:D53=INT(D3:D53)),--(D3:D53&gt;0))</f>
        <v>10</v>
      </c>
      <c r="E54" s="17" cm="1">
        <f t="array" ref="E54">SUMPRODUCT(--(E3:E53=INT(E3:E53)),--(E3:E53&gt;0))</f>
        <v>6</v>
      </c>
      <c r="F54" s="17" cm="1">
        <f t="array" ref="F54">SUMPRODUCT(--(F3:F53=INT(F3:F53)),--(F3:F53&gt;0))</f>
        <v>2</v>
      </c>
      <c r="G54" s="17" cm="1">
        <f t="array" ref="G54">SUMPRODUCT(--(G3:G53=INT(G3:G53)),--(G3:G53&gt;0))</f>
        <v>5</v>
      </c>
      <c r="H54" s="17" cm="1">
        <f t="array" ref="H54">SUMPRODUCT(--(H3:H53=INT(H3:H53)),--(H3:H53&gt;0))</f>
        <v>12</v>
      </c>
      <c r="I54" s="17" cm="1">
        <f t="array" ref="I54">SUMPRODUCT(--(I3:I53=INT(I3:I53)),--(I3:I53&gt;0))</f>
        <v>13</v>
      </c>
      <c r="J54" s="17" cm="1">
        <f t="array" ref="J54">SUMPRODUCT(--(J3:J53=INT(J3:J53)),--(J3:J53&gt;0))</f>
        <v>12</v>
      </c>
      <c r="K54" s="17" cm="1">
        <f t="array" ref="K54">SUMPRODUCT(--(K3:K53=INT(K3:K53)),--(K3:K53&gt;0))</f>
        <v>5</v>
      </c>
      <c r="L54" s="17" cm="1">
        <f t="array" ref="L54">SUMPRODUCT(--(L3:L53=INT(L3:L53)),--(L3:L53&gt;0))</f>
        <v>12</v>
      </c>
      <c r="M54" s="17" cm="1">
        <f t="array" ref="M54">SUMPRODUCT(--(M3:M53=INT(M3:M53)),--(M3:M53&gt;0))</f>
        <v>6</v>
      </c>
      <c r="N54" s="17" cm="1">
        <f t="array" ref="N54">SUMPRODUCT(--(N3:N53=INT(N3:N53)),--(N3:N53&gt;0))</f>
        <v>9</v>
      </c>
      <c r="O54" s="17" cm="1">
        <f t="array" ref="O54">SUMPRODUCT(--(O3:O53=INT(O3:O53)),--(O3:O53&gt;0))</f>
        <v>0</v>
      </c>
      <c r="P54" s="17" cm="1">
        <f t="array" ref="P54">SUMPRODUCT(--(P3:P53=INT(P3:P53)),--(P3:P53&gt;0))</f>
        <v>1</v>
      </c>
      <c r="Q54" s="17" cm="1">
        <f t="array" ref="Q54">SUMPRODUCT(--(Q3:Q53=INT(Q3:Q53)),--(Q3:Q53&gt;0))</f>
        <v>13</v>
      </c>
      <c r="R54" s="17" cm="1">
        <f t="array" ref="R54">SUMPRODUCT(--(R3:R53=INT(R3:R53)),--(R3:R53&gt;0))</f>
        <v>11</v>
      </c>
      <c r="S54" s="17" cm="1">
        <f t="array" ref="S54">SUMPRODUCT(--(S3:S53=INT(S3:S53)),--(S3:S53&gt;0))</f>
        <v>11</v>
      </c>
      <c r="T54" s="17" cm="1">
        <f t="array" ref="T54">SUMPRODUCT(--(T3:T53=INT(T3:T53)),--(T3:T53&gt;0))</f>
        <v>23</v>
      </c>
      <c r="U54" s="17" cm="1">
        <f t="array" ref="U54">SUMPRODUCT(--(U3:U53=INT(U3:U53)),--(U3:U53&gt;0))</f>
        <v>4</v>
      </c>
      <c r="V54" s="17" cm="1">
        <f t="array" ref="V54">SUMPRODUCT(--(V3:V53=INT(V3:V53)),--(V3:V53&gt;0))</f>
        <v>12</v>
      </c>
      <c r="W54" s="17" cm="1">
        <f t="array" ref="W54">SUMPRODUCT(--(W3:W53=INT(W3:W53)),--(W3:W53&gt;0))</f>
        <v>3</v>
      </c>
      <c r="X54" s="17" cm="1">
        <f t="array" ref="X54">SUMPRODUCT(--(X3:X53=INT(X3:X53)),--(X3:X53&gt;0))</f>
        <v>2</v>
      </c>
      <c r="Y54" s="17" cm="1">
        <f t="array" ref="Y54">SUMPRODUCT(--(Y3:Y53=INT(Y3:Y53)),--(Y3:Y53&gt;0))</f>
        <v>28</v>
      </c>
      <c r="Z54" s="17" cm="1">
        <f t="array" ref="Z54">SUMPRODUCT(--(Z3:Z53=INT(Z3:Z53)),--(Z3:Z53&gt;0))</f>
        <v>3</v>
      </c>
      <c r="AA54" s="17" cm="1">
        <f t="array" ref="AA54">SUMPRODUCT(--(AA3:AA53=INT(AA3:AA53)),--(AA3:AA53&gt;0))</f>
        <v>4</v>
      </c>
      <c r="AB54" s="17" cm="1">
        <f t="array" ref="AB54">SUMPRODUCT(--(AB3:AB53=INT(AB3:AB53)),--(AB3:AB53&gt;0))</f>
        <v>2</v>
      </c>
      <c r="AC54" s="17" cm="1">
        <f t="array" ref="AC54">SUMPRODUCT(--(AC3:AC53=INT(AC3:AC53)),--(AC3:AC53&gt;0))</f>
        <v>3</v>
      </c>
      <c r="AD54" s="17" cm="1">
        <f t="array" ref="AD54">SUMPRODUCT(--(AD3:AD53=INT(AD3:AD53)),--(AD3:AD53&gt;0))</f>
        <v>2</v>
      </c>
      <c r="AE54" s="17" cm="1">
        <f t="array" ref="AE54">SUMPRODUCT(--(AE3:AE53=INT(AE3:AE53)),--(AE3:AE53&gt;0))</f>
        <v>5</v>
      </c>
      <c r="AF54" s="17" cm="1">
        <f t="array" ref="AF54">SUMPRODUCT(--(AF3:AF53=INT(AF3:AF53)),--(AF3:AF53&gt;0))</f>
        <v>7</v>
      </c>
      <c r="AG54" s="17" cm="1">
        <f t="array" ref="AG54">SUMPRODUCT(--(AG3:AG53=INT(AG3:AG53)),--(AG3:AG53&gt;0))</f>
        <v>1</v>
      </c>
      <c r="AH54" s="17" cm="1">
        <f t="array" ref="AH54">SUMPRODUCT(--(AH3:AH53=INT(AH3:AH53)),--(AH3:AH53&gt;0))</f>
        <v>0</v>
      </c>
      <c r="AI54" s="17" cm="1">
        <f t="array" ref="AI54">SUMPRODUCT(--(AI3:AI53=INT(AI3:AI53)),--(AI3:AI53&gt;0))</f>
        <v>0</v>
      </c>
      <c r="AJ54" s="17" cm="1">
        <f t="array" ref="AJ54">SUMPRODUCT(--(AJ3:AJ53=INT(AJ3:AJ53)),--(AJ3:AJ53&gt;0))</f>
        <v>18</v>
      </c>
      <c r="AK54" s="17" cm="1">
        <f t="array" ref="AK54">SUMPRODUCT(--(AK3:AK53=INT(AK3:AK53)),--(AK3:AK53&gt;0))</f>
        <v>6</v>
      </c>
      <c r="AL54" s="17" cm="1">
        <f t="array" ref="AL54">SUMPRODUCT(--(AL3:AL53=INT(AL3:AL53)),--(AL3:AL53&gt;0))</f>
        <v>2</v>
      </c>
      <c r="AM54" s="17" cm="1">
        <f t="array" ref="AM54">SUMPRODUCT(--(AM3:AM53=INT(AM3:AM53)),--(AM3:AM53&gt;0))</f>
        <v>3</v>
      </c>
      <c r="AN54" s="17" cm="1">
        <f t="array" ref="AN54">SUMPRODUCT(--(AN3:AN53=INT(AN3:AN53)),--(AN3:AN53&gt;0))</f>
        <v>9</v>
      </c>
      <c r="AO54" s="17" cm="1">
        <f t="array" ref="AO54">SUMPRODUCT(--(AO3:AO53=INT(AO3:AO53)),--(AO3:AO53&gt;0))</f>
        <v>8</v>
      </c>
      <c r="AP54" s="17" cm="1">
        <f t="array" ref="AP54">SUMPRODUCT(--(AP3:AP53=INT(AP3:AP53)),--(AP3:AP53&gt;0))</f>
        <v>2</v>
      </c>
      <c r="AQ54" s="17" cm="1">
        <f t="array" ref="AQ54">SUMPRODUCT(--(AQ3:AQ53=INT(AQ3:AQ53)),--(AQ3:AQ53&gt;0))</f>
        <v>6</v>
      </c>
      <c r="AR54" s="17" cm="1">
        <f t="array" ref="AR54">SUMPRODUCT(--(AR3:AR53=INT(AR3:AR53)),--(AR3:AR53&gt;0))</f>
        <v>15</v>
      </c>
      <c r="AS54" s="17" cm="1">
        <f t="array" ref="AS54">SUMPRODUCT(--(AS3:AS53=INT(AS3:AS53)),--(AS3:AS53&gt;0))</f>
        <v>10</v>
      </c>
      <c r="AT54" s="17" cm="1">
        <f t="array" ref="AT54">SUMPRODUCT(--(AT3:AT53=INT(AT3:AT53)),--(AT3:AT53&gt;0))</f>
        <v>9</v>
      </c>
      <c r="AU54" s="17" cm="1">
        <f t="array" ref="AU54">SUMPRODUCT(--(AU3:AU53=INT(AU3:AU53)),--(AU3:AU53&gt;0))</f>
        <v>15</v>
      </c>
      <c r="AV54" s="17" cm="1">
        <f t="array" ref="AV54">SUMPRODUCT(--(AV3:AV53=INT(AV3:AV53)),--(AV3:AV53&gt;0))</f>
        <v>8</v>
      </c>
      <c r="AW54" s="17" cm="1">
        <f t="array" ref="AW54">SUMPRODUCT(--(AW3:AW53=INT(AW3:AW53)),--(AW3:AW53&gt;0))</f>
        <v>4</v>
      </c>
      <c r="AX54" s="17" cm="1">
        <f t="array" ref="AX54">SUMPRODUCT(--(AX3:AX53=INT(AX3:AX53)),--(AX3:AX53&gt;0))</f>
        <v>10</v>
      </c>
      <c r="AY54" s="17" cm="1">
        <f t="array" ref="AY54">SUMPRODUCT(--(AY3:AY53=INT(AY3:AY53)),--(AY3:AY53&gt;0))</f>
        <v>17</v>
      </c>
      <c r="AZ54" s="17" cm="1">
        <f t="array" ref="AZ54">SUMPRODUCT(--(AZ3:AZ53=INT(AZ3:AZ53)),--(AZ3:AZ53&gt;0))</f>
        <v>14</v>
      </c>
      <c r="BA54" s="17" cm="1">
        <f t="array" ref="BA54">SUMPRODUCT(--(BA3:BA53=INT(BA3:BA53)),--(BA3:BA53&gt;0))</f>
        <v>17</v>
      </c>
      <c r="BB54" s="17" cm="1">
        <f t="array" ref="BB54">SUMPRODUCT(--(BB3:BB53=INT(BB3:BB53)),--(BB3:BB53&gt;0))</f>
        <v>10</v>
      </c>
      <c r="BC54" s="17" cm="1">
        <f t="array" ref="BC54">SUMPRODUCT(--(BC3:BC53=INT(BC3:BC53)),--(BC3:BC53&gt;0))</f>
        <v>15</v>
      </c>
      <c r="BD54" s="17" cm="1">
        <f t="array" ref="BD54">SUMPRODUCT(--(BD3:BD53=INT(BD3:BD53)),--(BD3:BD53&gt;0))</f>
        <v>14</v>
      </c>
      <c r="BE54" s="17" cm="1">
        <f t="array" ref="BE54">SUMPRODUCT(--(BE3:BE53=INT(BE3:BE53)),--(BE3:BE53&gt;0))</f>
        <v>24</v>
      </c>
      <c r="BF54" s="17" cm="1">
        <f t="array" ref="BF54">SUMPRODUCT(--(BF3:BF53=INT(BF3:BF53)),--(BF3:BF53&gt;0))</f>
        <v>14</v>
      </c>
      <c r="BG54" s="17" cm="1">
        <f t="array" ref="BG54">SUMPRODUCT(--(BG3:BG53=INT(BG3:BG53)),--(BG3:BG53&gt;0))</f>
        <v>19</v>
      </c>
      <c r="BH54" s="17" cm="1">
        <f t="array" ref="BH54">SUMPRODUCT(--(BH3:BH53=INT(BH3:BH53)),--(BH3:BH53&gt;0))</f>
        <v>6</v>
      </c>
      <c r="BI54" s="17" cm="1">
        <f t="array" ref="BI54">SUMPRODUCT(--(BI3:BI53=INT(BI3:BI53)),--(BI3:BI53&gt;0))</f>
        <v>21</v>
      </c>
      <c r="BJ54" s="17" cm="1">
        <f t="array" ref="BJ54">SUMPRODUCT(--(BJ3:BJ53=INT(BJ3:BJ53)),--(BJ3:BJ53&gt;0))</f>
        <v>20</v>
      </c>
      <c r="BK54" s="17" cm="1">
        <f t="array" ref="BK54">SUMPRODUCT(--(BK3:BK53=INT(BK3:BK53)),--(BK3:BK53&gt;0))</f>
        <v>12</v>
      </c>
      <c r="BL54" s="17" cm="1">
        <f t="array" ref="BL54">SUMPRODUCT(--(BL3:BL53=INT(BL3:BL53)),--(BL3:BL53&gt;0))</f>
        <v>5</v>
      </c>
      <c r="BM54" s="17" cm="1">
        <f t="array" ref="BM54">SUMPRODUCT(--(BM3:BM53=INT(BM3:BM53)),--(BM3:BM53&gt;0))</f>
        <v>0</v>
      </c>
      <c r="BN54" s="17" cm="1">
        <f t="array" ref="BN54">SUMPRODUCT(--(BN3:BN53=INT(BN3:BN53)),--(BN3:BN53&gt;0))</f>
        <v>6</v>
      </c>
      <c r="BO54" s="17" cm="1">
        <f t="array" ref="BO54">SUMPRODUCT(--(BO3:BO53=INT(BO3:BO53)),--(BO3:BO53&gt;0))</f>
        <v>10</v>
      </c>
      <c r="BP54" s="17" cm="1">
        <f t="array" ref="BP54">SUMPRODUCT(--(BP3:BP53=INT(BP3:BP53)),--(BP3:BP53&gt;0))</f>
        <v>3</v>
      </c>
      <c r="BQ54" s="17" cm="1">
        <f t="array" ref="BQ54">SUMPRODUCT(--(BQ3:BQ53=INT(BQ3:BQ53)),--(BQ3:BQ53&gt;0))</f>
        <v>5</v>
      </c>
      <c r="BR54" s="17" cm="1">
        <f t="array" ref="BR54">SUMPRODUCT(--(BR3:BR53=INT(BR3:BR53)),--(BR3:BR53&gt;0))</f>
        <v>7</v>
      </c>
      <c r="BS54" s="17" cm="1">
        <f t="array" ref="BS54">SUMPRODUCT(--(BS3:BS53=INT(BS3:BS53)),--(BS3:BS53&gt;0))</f>
        <v>5</v>
      </c>
      <c r="BT54" s="17" cm="1">
        <f t="array" ref="BT54">SUMPRODUCT(--(BT3:BT53=INT(BT3:BT53)),--(BT3:BT53&gt;0))</f>
        <v>1</v>
      </c>
      <c r="BU54" s="17" cm="1">
        <f t="array" ref="BU54">SUMPRODUCT(--(BU3:BU53=INT(BU3:BU53)),--(BU3:BU53&gt;0))</f>
        <v>0</v>
      </c>
      <c r="BV54" s="17" cm="1">
        <f t="array" ref="BV54">SUMPRODUCT(--(BV3:BV53=INT(BV3:BV53)),--(BV3:BV53&gt;0))</f>
        <v>0</v>
      </c>
      <c r="BW54" s="17" cm="1">
        <f t="array" ref="BW54">SUMPRODUCT(--(BW3:BW53=INT(BW3:BW53)),--(BW3:BW53&gt;0))</f>
        <v>0</v>
      </c>
      <c r="BX54" s="17" cm="1">
        <f t="array" ref="BX54">SUMPRODUCT(--(BX3:BX53=INT(BX3:BX53)),--(BX3:BX53&gt;0))</f>
        <v>0</v>
      </c>
      <c r="BY54" s="17" cm="1">
        <f t="array" ref="BY54">SUMPRODUCT(--(BY3:BY53=INT(BY3:BY53)),--(BY3:BY53&gt;0))</f>
        <v>0</v>
      </c>
      <c r="BZ54" s="17" cm="1">
        <f t="array" ref="BZ54">SUMPRODUCT(--(BZ3:BZ53=INT(BZ3:BZ53)),--(BZ3:BZ53&gt;0))</f>
        <v>0</v>
      </c>
      <c r="CA54" s="17" cm="1">
        <f t="array" ref="CA54">SUMPRODUCT(--(CA3:CA53=INT(CA3:CA53)),--(CA3:CA53&gt;0))</f>
        <v>0</v>
      </c>
      <c r="CB54" s="17" cm="1">
        <f t="array" ref="CB54">SUMPRODUCT(--(CB3:CB53=INT(CB3:CB53)),--(CB3:CB53&gt;0))</f>
        <v>0</v>
      </c>
      <c r="CC54" s="17" cm="1">
        <f t="array" ref="CC54">SUMPRODUCT(--(CC3:CC53=INT(CC3:CC53)),--(CC3:CC53&gt;0))</f>
        <v>0</v>
      </c>
      <c r="CD54" s="189" t="s">
        <v>387</v>
      </c>
      <c r="CE54" s="190"/>
      <c r="CF54" s="190"/>
      <c r="CG54" s="190"/>
      <c r="CH54" s="190"/>
      <c r="CI54" s="190"/>
      <c r="CJ54" s="191"/>
    </row>
    <row r="55" s="170" customFormat="1" ht="28" spans="1:88">
      <c r="A55" s="188" t="s">
        <v>388</v>
      </c>
      <c r="B55" s="17">
        <f>SUM(B3:B53)</f>
        <v>11</v>
      </c>
      <c r="C55" s="17">
        <f t="shared" ref="C55:AH55" si="5">SUM(C3:C53)</f>
        <v>9</v>
      </c>
      <c r="D55" s="17">
        <f t="shared" si="5"/>
        <v>12</v>
      </c>
      <c r="E55" s="17">
        <f t="shared" si="5"/>
        <v>6</v>
      </c>
      <c r="F55" s="17">
        <f t="shared" si="5"/>
        <v>2</v>
      </c>
      <c r="G55" s="17">
        <f t="shared" si="5"/>
        <v>7</v>
      </c>
      <c r="H55" s="17">
        <f t="shared" si="5"/>
        <v>12</v>
      </c>
      <c r="I55" s="17">
        <f t="shared" si="5"/>
        <v>16</v>
      </c>
      <c r="J55" s="17">
        <f t="shared" si="5"/>
        <v>14</v>
      </c>
      <c r="K55" s="17">
        <f t="shared" si="5"/>
        <v>6</v>
      </c>
      <c r="L55" s="17">
        <f t="shared" si="5"/>
        <v>12</v>
      </c>
      <c r="M55" s="17">
        <f t="shared" si="5"/>
        <v>7</v>
      </c>
      <c r="N55" s="17">
        <f t="shared" si="5"/>
        <v>10</v>
      </c>
      <c r="O55" s="17">
        <f t="shared" si="5"/>
        <v>0</v>
      </c>
      <c r="P55" s="17">
        <f t="shared" si="5"/>
        <v>1</v>
      </c>
      <c r="Q55" s="17">
        <f t="shared" si="5"/>
        <v>13</v>
      </c>
      <c r="R55" s="17">
        <f t="shared" si="5"/>
        <v>13</v>
      </c>
      <c r="S55" s="17">
        <f t="shared" si="5"/>
        <v>15</v>
      </c>
      <c r="T55" s="17">
        <f t="shared" si="5"/>
        <v>28</v>
      </c>
      <c r="U55" s="17">
        <f t="shared" si="5"/>
        <v>5</v>
      </c>
      <c r="V55" s="17">
        <f t="shared" si="5"/>
        <v>13</v>
      </c>
      <c r="W55" s="17">
        <f t="shared" si="5"/>
        <v>3</v>
      </c>
      <c r="X55" s="17">
        <f t="shared" si="5"/>
        <v>2</v>
      </c>
      <c r="Y55" s="17">
        <f t="shared" si="5"/>
        <v>31</v>
      </c>
      <c r="Z55" s="17">
        <f t="shared" si="5"/>
        <v>3</v>
      </c>
      <c r="AA55" s="17">
        <f t="shared" si="5"/>
        <v>4</v>
      </c>
      <c r="AB55" s="17">
        <f t="shared" si="5"/>
        <v>2</v>
      </c>
      <c r="AC55" s="17">
        <f t="shared" si="5"/>
        <v>3</v>
      </c>
      <c r="AD55" s="17">
        <f t="shared" si="5"/>
        <v>2</v>
      </c>
      <c r="AE55" s="17">
        <f t="shared" si="5"/>
        <v>5</v>
      </c>
      <c r="AF55" s="17">
        <f t="shared" si="5"/>
        <v>9</v>
      </c>
      <c r="AG55" s="17">
        <f t="shared" si="5"/>
        <v>1</v>
      </c>
      <c r="AH55" s="17">
        <f t="shared" si="5"/>
        <v>0</v>
      </c>
      <c r="AI55" s="17">
        <f t="shared" ref="AI55:BH55" si="6">SUM(AI3:AI53)</f>
        <v>0</v>
      </c>
      <c r="AJ55" s="17">
        <f t="shared" si="6"/>
        <v>20</v>
      </c>
      <c r="AK55" s="17">
        <f t="shared" si="6"/>
        <v>7</v>
      </c>
      <c r="AL55" s="17">
        <f t="shared" si="6"/>
        <v>2</v>
      </c>
      <c r="AM55" s="17">
        <f t="shared" si="6"/>
        <v>3</v>
      </c>
      <c r="AN55" s="17">
        <f t="shared" si="6"/>
        <v>11</v>
      </c>
      <c r="AO55" s="17">
        <f t="shared" si="6"/>
        <v>9</v>
      </c>
      <c r="AP55" s="17">
        <f t="shared" si="6"/>
        <v>2</v>
      </c>
      <c r="AQ55" s="17">
        <f t="shared" si="6"/>
        <v>6</v>
      </c>
      <c r="AR55" s="17">
        <f t="shared" si="6"/>
        <v>18</v>
      </c>
      <c r="AS55" s="17">
        <f t="shared" si="6"/>
        <v>10</v>
      </c>
      <c r="AT55" s="17">
        <f t="shared" si="6"/>
        <v>9</v>
      </c>
      <c r="AU55" s="17">
        <f t="shared" si="6"/>
        <v>23</v>
      </c>
      <c r="AV55" s="17">
        <f t="shared" si="6"/>
        <v>8</v>
      </c>
      <c r="AW55" s="17">
        <f t="shared" si="6"/>
        <v>4</v>
      </c>
      <c r="AX55" s="17">
        <f t="shared" si="6"/>
        <v>14</v>
      </c>
      <c r="AY55" s="17">
        <f t="shared" si="6"/>
        <v>17</v>
      </c>
      <c r="AZ55" s="17">
        <f t="shared" si="6"/>
        <v>15</v>
      </c>
      <c r="BA55" s="17">
        <f t="shared" si="6"/>
        <v>20</v>
      </c>
      <c r="BB55" s="17">
        <f t="shared" si="6"/>
        <v>12</v>
      </c>
      <c r="BC55" s="17">
        <f t="shared" si="6"/>
        <v>25</v>
      </c>
      <c r="BD55" s="17">
        <f t="shared" si="6"/>
        <v>14</v>
      </c>
      <c r="BE55" s="17">
        <f t="shared" si="6"/>
        <v>27</v>
      </c>
      <c r="BF55" s="17">
        <f t="shared" si="6"/>
        <v>18</v>
      </c>
      <c r="BG55" s="17">
        <f t="shared" si="6"/>
        <v>20</v>
      </c>
      <c r="BH55" s="17">
        <f t="shared" si="6"/>
        <v>8</v>
      </c>
      <c r="BI55" s="17">
        <f t="shared" ref="BI55:CC55" si="7">SUM(BI3:BI53)</f>
        <v>23</v>
      </c>
      <c r="BJ55" s="17">
        <f t="shared" si="7"/>
        <v>24</v>
      </c>
      <c r="BK55" s="17">
        <f t="shared" si="7"/>
        <v>14</v>
      </c>
      <c r="BL55" s="17">
        <f t="shared" si="7"/>
        <v>6</v>
      </c>
      <c r="BM55" s="17">
        <f t="shared" si="7"/>
        <v>0</v>
      </c>
      <c r="BN55" s="17">
        <f t="shared" si="7"/>
        <v>6</v>
      </c>
      <c r="BO55" s="17">
        <f t="shared" si="7"/>
        <v>10</v>
      </c>
      <c r="BP55" s="17">
        <f t="shared" si="7"/>
        <v>3</v>
      </c>
      <c r="BQ55" s="17">
        <f t="shared" si="7"/>
        <v>6</v>
      </c>
      <c r="BR55" s="17">
        <f t="shared" si="7"/>
        <v>8</v>
      </c>
      <c r="BS55" s="17">
        <f t="shared" si="7"/>
        <v>5</v>
      </c>
      <c r="BT55" s="17">
        <f t="shared" si="7"/>
        <v>1</v>
      </c>
      <c r="BU55" s="17">
        <f t="shared" si="7"/>
        <v>0</v>
      </c>
      <c r="BV55" s="17">
        <f t="shared" si="7"/>
        <v>0</v>
      </c>
      <c r="BW55" s="17">
        <f t="shared" si="7"/>
        <v>0</v>
      </c>
      <c r="BX55" s="17">
        <f t="shared" si="7"/>
        <v>0</v>
      </c>
      <c r="BY55" s="17">
        <f t="shared" si="7"/>
        <v>0</v>
      </c>
      <c r="BZ55" s="17">
        <f t="shared" si="7"/>
        <v>0</v>
      </c>
      <c r="CA55" s="17">
        <f t="shared" si="7"/>
        <v>0</v>
      </c>
      <c r="CB55" s="17">
        <f t="shared" si="7"/>
        <v>0</v>
      </c>
      <c r="CC55" s="17">
        <f t="shared" si="7"/>
        <v>0</v>
      </c>
      <c r="CD55" s="192"/>
      <c r="CE55" s="193"/>
      <c r="CF55" s="193"/>
      <c r="CG55" s="193"/>
      <c r="CH55" s="193"/>
      <c r="CI55" s="193"/>
      <c r="CJ55" s="194"/>
    </row>
    <row r="57" spans="1:88">
      <c r="B57">
        <v>1</v>
      </c>
      <c r="C57">
        <v>2</v>
      </c>
      <c r="D57">
        <v>3</v>
      </c>
      <c r="E57">
        <v>4</v>
      </c>
      <c r="F57">
        <v>5</v>
      </c>
      <c r="G57">
        <v>6</v>
      </c>
      <c r="H57">
        <v>7</v>
      </c>
      <c r="I57">
        <v>8</v>
      </c>
      <c r="J57">
        <v>9</v>
      </c>
      <c r="K57">
        <v>10</v>
      </c>
      <c r="L57">
        <v>11</v>
      </c>
      <c r="M57">
        <v>12</v>
      </c>
      <c r="N57">
        <v>13</v>
      </c>
      <c r="O57">
        <v>14</v>
      </c>
      <c r="P57">
        <v>15</v>
      </c>
      <c r="Q57">
        <v>16</v>
      </c>
      <c r="R57">
        <v>17</v>
      </c>
      <c r="S57">
        <v>18</v>
      </c>
      <c r="T57">
        <v>19</v>
      </c>
      <c r="U57">
        <v>20</v>
      </c>
      <c r="V57">
        <v>21</v>
      </c>
      <c r="W57">
        <v>22</v>
      </c>
      <c r="X57">
        <v>23</v>
      </c>
      <c r="Y57">
        <v>24</v>
      </c>
      <c r="Z57">
        <v>25</v>
      </c>
      <c r="AA57">
        <v>26</v>
      </c>
      <c r="AB57">
        <v>27</v>
      </c>
      <c r="AC57">
        <v>28</v>
      </c>
      <c r="AD57">
        <v>29</v>
      </c>
      <c r="AE57">
        <v>30</v>
      </c>
      <c r="AF57">
        <v>31</v>
      </c>
      <c r="AG57">
        <v>32</v>
      </c>
      <c r="AH57">
        <v>33</v>
      </c>
      <c r="AI57">
        <v>34</v>
      </c>
      <c r="AJ57">
        <v>35</v>
      </c>
      <c r="AK57">
        <v>36</v>
      </c>
      <c r="AL57">
        <v>37</v>
      </c>
      <c r="AM57">
        <v>38</v>
      </c>
      <c r="AN57">
        <v>39</v>
      </c>
      <c r="AO57">
        <v>40</v>
      </c>
      <c r="AP57">
        <v>41</v>
      </c>
      <c r="AQ57">
        <v>42</v>
      </c>
      <c r="AR57">
        <v>43</v>
      </c>
      <c r="AS57">
        <v>44</v>
      </c>
      <c r="AT57">
        <v>45</v>
      </c>
      <c r="AU57">
        <v>46</v>
      </c>
      <c r="AV57">
        <v>47</v>
      </c>
      <c r="AW57">
        <v>48</v>
      </c>
      <c r="AX57">
        <v>49</v>
      </c>
      <c r="AY57">
        <v>50</v>
      </c>
      <c r="AZ57">
        <v>51</v>
      </c>
      <c r="BA57">
        <v>52</v>
      </c>
      <c r="BB57">
        <v>53</v>
      </c>
      <c r="BC57">
        <v>54</v>
      </c>
      <c r="BD57">
        <v>55</v>
      </c>
      <c r="BE57">
        <v>56</v>
      </c>
      <c r="BF57">
        <v>57</v>
      </c>
      <c r="BG57">
        <v>58</v>
      </c>
      <c r="BH57">
        <v>59</v>
      </c>
      <c r="BI57">
        <v>60</v>
      </c>
      <c r="BJ57">
        <v>61</v>
      </c>
      <c r="BK57">
        <v>62</v>
      </c>
      <c r="BL57">
        <v>63</v>
      </c>
      <c r="BM57">
        <v>64</v>
      </c>
      <c r="BN57">
        <v>65</v>
      </c>
      <c r="BO57">
        <v>66</v>
      </c>
      <c r="BP57">
        <v>67</v>
      </c>
      <c r="BQ57">
        <v>68</v>
      </c>
      <c r="BR57">
        <v>69</v>
      </c>
      <c r="BS57">
        <v>70</v>
      </c>
      <c r="BT57">
        <v>71</v>
      </c>
      <c r="BU57">
        <v>72</v>
      </c>
      <c r="BV57">
        <v>73</v>
      </c>
      <c r="BW57">
        <v>74</v>
      </c>
      <c r="BX57">
        <v>75</v>
      </c>
      <c r="BY57">
        <v>76</v>
      </c>
      <c r="BZ57">
        <v>77</v>
      </c>
      <c r="CA57">
        <v>78</v>
      </c>
      <c r="CB57">
        <v>79</v>
      </c>
      <c r="CC57">
        <v>80</v>
      </c>
    </row>
  </sheetData>
  <mergeCells count="8">
    <mergeCell ref="B1:S1"/>
    <mergeCell ref="T1:AI1"/>
    <mergeCell ref="AJ1:AL1"/>
    <mergeCell ref="AM1:BH1"/>
    <mergeCell ref="BI1:CC1"/>
    <mergeCell ref="CD1:CJ1"/>
    <mergeCell ref="A1:A2"/>
    <mergeCell ref="CD54:CJ55"/>
  </mergeCells>
  <conditionalFormatting sqref="B54:CC54">
    <cfRule type="colorScale" priority="264">
      <colorScale>
        <cfvo type="min"/>
        <cfvo type="max"/>
        <color theme="6" tint="0.8"/>
        <color theme="6" tint="-0.25"/>
      </colorScale>
    </cfRule>
  </conditionalFormatting>
  <conditionalFormatting sqref="B55:CC55">
    <cfRule type="colorScale" priority="263">
      <colorScale>
        <cfvo type="min"/>
        <cfvo type="max"/>
        <color theme="6" tint="0.8"/>
        <color theme="6" tint="-0.25"/>
      </colorScale>
    </cfRule>
  </conditionalFormatting>
  <conditionalFormatting sqref="T3:T53">
    <cfRule type="colorScale" priority="393">
      <colorScale>
        <cfvo type="min"/>
        <cfvo type="max"/>
        <color theme="4" tint="0.8"/>
        <color theme="4" tint="-0.25"/>
      </colorScale>
    </cfRule>
    <cfRule type="colorScale" priority="394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380">
      <colorScale>
        <cfvo type="min"/>
        <cfvo type="max"/>
        <color theme="4" tint="0.8"/>
        <color theme="4" tint="-0.25"/>
      </colorScale>
    </cfRule>
    <cfRule type="colorScale" priority="392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379">
      <colorScale>
        <cfvo type="min"/>
        <cfvo type="max"/>
        <color theme="4" tint="0.8"/>
        <color theme="4" tint="-0.25"/>
      </colorScale>
    </cfRule>
    <cfRule type="colorScale" priority="391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378">
      <colorScale>
        <cfvo type="min"/>
        <cfvo type="max"/>
        <color theme="4" tint="0.8"/>
        <color theme="4" tint="-0.25"/>
      </colorScale>
    </cfRule>
    <cfRule type="colorScale" priority="390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377">
      <colorScale>
        <cfvo type="min"/>
        <cfvo type="max"/>
        <color theme="4" tint="0.8"/>
        <color theme="4" tint="-0.25"/>
      </colorScale>
    </cfRule>
    <cfRule type="colorScale" priority="389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376">
      <colorScale>
        <cfvo type="min"/>
        <cfvo type="max"/>
        <color theme="4" tint="0.8"/>
        <color theme="4" tint="-0.25"/>
      </colorScale>
    </cfRule>
    <cfRule type="colorScale" priority="388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375">
      <colorScale>
        <cfvo type="min"/>
        <cfvo type="max"/>
        <color theme="4" tint="0.8"/>
        <color theme="4" tint="-0.25"/>
      </colorScale>
    </cfRule>
    <cfRule type="colorScale" priority="387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374">
      <colorScale>
        <cfvo type="min"/>
        <cfvo type="max"/>
        <color theme="4" tint="0.8"/>
        <color theme="4" tint="-0.25"/>
      </colorScale>
    </cfRule>
    <cfRule type="colorScale" priority="386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373">
      <colorScale>
        <cfvo type="min"/>
        <cfvo type="max"/>
        <color theme="4" tint="0.8"/>
        <color theme="4" tint="-0.25"/>
      </colorScale>
    </cfRule>
    <cfRule type="colorScale" priority="385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372">
      <colorScale>
        <cfvo type="min"/>
        <cfvo type="max"/>
        <color theme="4" tint="0.8"/>
        <color theme="4" tint="-0.25"/>
      </colorScale>
    </cfRule>
    <cfRule type="colorScale" priority="384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371">
      <colorScale>
        <cfvo type="min"/>
        <cfvo type="max"/>
        <color theme="4" tint="0.8"/>
        <color theme="4" tint="-0.25"/>
      </colorScale>
    </cfRule>
    <cfRule type="colorScale" priority="383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370">
      <colorScale>
        <cfvo type="min"/>
        <cfvo type="max"/>
        <color theme="4" tint="0.8"/>
        <color theme="4" tint="-0.25"/>
      </colorScale>
    </cfRule>
    <cfRule type="colorScale" priority="382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369">
      <colorScale>
        <cfvo type="min"/>
        <cfvo type="max"/>
        <color theme="4" tint="0.8"/>
        <color theme="4" tint="-0.25"/>
      </colorScale>
    </cfRule>
    <cfRule type="colorScale" priority="381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362">
      <colorScale>
        <cfvo type="min"/>
        <cfvo type="max"/>
        <color theme="4" tint="-0.25"/>
        <color theme="4" tint="0.8"/>
      </colorScale>
    </cfRule>
    <cfRule type="colorScale" priority="358">
      <colorScale>
        <cfvo type="min"/>
        <cfvo type="max"/>
        <color theme="4" tint="0.8"/>
        <color theme="4" tint="-0.25"/>
      </colorScale>
    </cfRule>
    <cfRule type="colorScale" priority="354">
      <colorScale>
        <cfvo type="min"/>
        <cfvo type="max"/>
        <color theme="4"/>
        <color theme="4" tint="0.8"/>
      </colorScale>
    </cfRule>
    <cfRule type="colorScale" priority="350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361">
      <colorScale>
        <cfvo type="min"/>
        <cfvo type="max"/>
        <color theme="4" tint="-0.25"/>
        <color theme="4" tint="0.8"/>
      </colorScale>
    </cfRule>
    <cfRule type="colorScale" priority="357">
      <colorScale>
        <cfvo type="min"/>
        <cfvo type="max"/>
        <color theme="4" tint="0.8"/>
        <color theme="4" tint="-0.25"/>
      </colorScale>
    </cfRule>
    <cfRule type="colorScale" priority="353">
      <colorScale>
        <cfvo type="min"/>
        <cfvo type="max"/>
        <color theme="4"/>
        <color theme="4" tint="0.8"/>
      </colorScale>
    </cfRule>
    <cfRule type="colorScale" priority="349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348">
      <colorScale>
        <cfvo type="min"/>
        <cfvo type="max"/>
        <color theme="4" tint="0.8"/>
        <color theme="4"/>
      </colorScale>
    </cfRule>
    <cfRule type="colorScale" priority="352">
      <colorScale>
        <cfvo type="min"/>
        <cfvo type="max"/>
        <color theme="4"/>
        <color theme="4" tint="0.8"/>
      </colorScale>
    </cfRule>
    <cfRule type="colorScale" priority="356">
      <colorScale>
        <cfvo type="min"/>
        <cfvo type="max"/>
        <color theme="4" tint="0.8"/>
        <color theme="4" tint="-0.25"/>
      </colorScale>
    </cfRule>
    <cfRule type="colorScale" priority="360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346">
      <colorScale>
        <cfvo type="min"/>
        <cfvo type="max"/>
        <color theme="4" tint="-0.25"/>
        <color theme="4" tint="0.8"/>
      </colorScale>
    </cfRule>
    <cfRule type="colorScale" priority="326">
      <colorScale>
        <cfvo type="min"/>
        <cfvo type="max"/>
        <color theme="4" tint="0.8"/>
        <color theme="4" tint="-0.25"/>
      </colorScale>
    </cfRule>
    <cfRule type="colorScale" priority="306">
      <colorScale>
        <cfvo type="min"/>
        <cfvo type="max"/>
        <color theme="4"/>
        <color theme="4" tint="0.8"/>
      </colorScale>
    </cfRule>
    <cfRule type="colorScale" priority="286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345">
      <colorScale>
        <cfvo type="min"/>
        <cfvo type="max"/>
        <color theme="4" tint="-0.25"/>
        <color theme="4" tint="0.8"/>
      </colorScale>
    </cfRule>
    <cfRule type="colorScale" priority="325">
      <colorScale>
        <cfvo type="min"/>
        <cfvo type="max"/>
        <color theme="4" tint="0.8"/>
        <color theme="4" tint="-0.25"/>
      </colorScale>
    </cfRule>
    <cfRule type="colorScale" priority="305">
      <colorScale>
        <cfvo type="min"/>
        <cfvo type="max"/>
        <color theme="4"/>
        <color theme="4" tint="0.8"/>
      </colorScale>
    </cfRule>
    <cfRule type="colorScale" priority="285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344">
      <colorScale>
        <cfvo type="min"/>
        <cfvo type="max"/>
        <color theme="4" tint="-0.25"/>
        <color theme="4" tint="0.8"/>
      </colorScale>
    </cfRule>
    <cfRule type="colorScale" priority="324">
      <colorScale>
        <cfvo type="min"/>
        <cfvo type="max"/>
        <color theme="4" tint="0.8"/>
        <color theme="4" tint="-0.25"/>
      </colorScale>
    </cfRule>
    <cfRule type="colorScale" priority="304">
      <colorScale>
        <cfvo type="min"/>
        <cfvo type="max"/>
        <color theme="4"/>
        <color theme="4" tint="0.8"/>
      </colorScale>
    </cfRule>
    <cfRule type="colorScale" priority="284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343">
      <colorScale>
        <cfvo type="min"/>
        <cfvo type="max"/>
        <color theme="4" tint="-0.25"/>
        <color theme="4" tint="0.8"/>
      </colorScale>
    </cfRule>
    <cfRule type="colorScale" priority="323">
      <colorScale>
        <cfvo type="min"/>
        <cfvo type="max"/>
        <color theme="4" tint="0.8"/>
        <color theme="4" tint="-0.25"/>
      </colorScale>
    </cfRule>
    <cfRule type="colorScale" priority="303">
      <colorScale>
        <cfvo type="min"/>
        <cfvo type="max"/>
        <color theme="4"/>
        <color theme="4" tint="0.8"/>
      </colorScale>
    </cfRule>
    <cfRule type="colorScale" priority="283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342">
      <colorScale>
        <cfvo type="min"/>
        <cfvo type="max"/>
        <color theme="4" tint="-0.25"/>
        <color theme="4" tint="0.8"/>
      </colorScale>
    </cfRule>
    <cfRule type="colorScale" priority="322">
      <colorScale>
        <cfvo type="min"/>
        <cfvo type="max"/>
        <color theme="4" tint="0.8"/>
        <color theme="4" tint="-0.25"/>
      </colorScale>
    </cfRule>
    <cfRule type="colorScale" priority="302">
      <colorScale>
        <cfvo type="min"/>
        <cfvo type="max"/>
        <color theme="4"/>
        <color theme="4" tint="0.8"/>
      </colorScale>
    </cfRule>
    <cfRule type="colorScale" priority="282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341">
      <colorScale>
        <cfvo type="min"/>
        <cfvo type="max"/>
        <color theme="4" tint="-0.25"/>
        <color theme="4" tint="0.8"/>
      </colorScale>
    </cfRule>
    <cfRule type="colorScale" priority="321">
      <colorScale>
        <cfvo type="min"/>
        <cfvo type="max"/>
        <color theme="4" tint="0.8"/>
        <color theme="4" tint="-0.25"/>
      </colorScale>
    </cfRule>
    <cfRule type="colorScale" priority="301">
      <colorScale>
        <cfvo type="min"/>
        <cfvo type="max"/>
        <color theme="4"/>
        <color theme="4" tint="0.8"/>
      </colorScale>
    </cfRule>
    <cfRule type="colorScale" priority="281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340">
      <colorScale>
        <cfvo type="min"/>
        <cfvo type="max"/>
        <color theme="4" tint="-0.25"/>
        <color theme="4" tint="0.8"/>
      </colorScale>
    </cfRule>
    <cfRule type="colorScale" priority="320">
      <colorScale>
        <cfvo type="min"/>
        <cfvo type="max"/>
        <color theme="4" tint="0.8"/>
        <color theme="4" tint="-0.25"/>
      </colorScale>
    </cfRule>
    <cfRule type="colorScale" priority="300">
      <colorScale>
        <cfvo type="min"/>
        <cfvo type="max"/>
        <color theme="4"/>
        <color theme="4" tint="0.8"/>
      </colorScale>
    </cfRule>
    <cfRule type="colorScale" priority="280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339">
      <colorScale>
        <cfvo type="min"/>
        <cfvo type="max"/>
        <color theme="4" tint="-0.25"/>
        <color theme="4" tint="0.8"/>
      </colorScale>
    </cfRule>
    <cfRule type="colorScale" priority="319">
      <colorScale>
        <cfvo type="min"/>
        <cfvo type="max"/>
        <color theme="4" tint="0.8"/>
        <color theme="4" tint="-0.25"/>
      </colorScale>
    </cfRule>
    <cfRule type="colorScale" priority="299">
      <colorScale>
        <cfvo type="min"/>
        <cfvo type="max"/>
        <color theme="4"/>
        <color theme="4" tint="0.8"/>
      </colorScale>
    </cfRule>
    <cfRule type="colorScale" priority="279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338">
      <colorScale>
        <cfvo type="min"/>
        <cfvo type="max"/>
        <color theme="4" tint="-0.25"/>
        <color theme="4" tint="0.8"/>
      </colorScale>
    </cfRule>
    <cfRule type="colorScale" priority="318">
      <colorScale>
        <cfvo type="min"/>
        <cfvo type="max"/>
        <color theme="4" tint="0.8"/>
        <color theme="4" tint="-0.25"/>
      </colorScale>
    </cfRule>
    <cfRule type="colorScale" priority="298">
      <colorScale>
        <cfvo type="min"/>
        <cfvo type="max"/>
        <color theme="4"/>
        <color theme="4" tint="0.8"/>
      </colorScale>
    </cfRule>
    <cfRule type="colorScale" priority="278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337">
      <colorScale>
        <cfvo type="min"/>
        <cfvo type="max"/>
        <color theme="4" tint="-0.25"/>
        <color theme="4" tint="0.8"/>
      </colorScale>
    </cfRule>
    <cfRule type="colorScale" priority="317">
      <colorScale>
        <cfvo type="min"/>
        <cfvo type="max"/>
        <color theme="4" tint="0.8"/>
        <color theme="4" tint="-0.25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277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336">
      <colorScale>
        <cfvo type="min"/>
        <cfvo type="max"/>
        <color theme="4" tint="-0.25"/>
        <color theme="4" tint="0.8"/>
      </colorScale>
    </cfRule>
    <cfRule type="colorScale" priority="316">
      <colorScale>
        <cfvo type="min"/>
        <cfvo type="max"/>
        <color theme="4" tint="0.8"/>
        <color theme="4" tint="-0.25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276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335">
      <colorScale>
        <cfvo type="min"/>
        <cfvo type="max"/>
        <color theme="4" tint="-0.25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275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334">
      <colorScale>
        <cfvo type="min"/>
        <cfvo type="max"/>
        <color theme="4" tint="-0.25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274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333">
      <colorScale>
        <cfvo type="min"/>
        <cfvo type="max"/>
        <color theme="4" tint="-0.25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273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332">
      <colorScale>
        <cfvo type="min"/>
        <cfvo type="max"/>
        <color theme="4" tint="-0.25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272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331">
      <colorScale>
        <cfvo type="min"/>
        <cfvo type="max"/>
        <color theme="4" tint="-0.25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271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330">
      <colorScale>
        <cfvo type="min"/>
        <cfvo type="max"/>
        <color theme="4" tint="-0.25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270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329">
      <colorScale>
        <cfvo type="min"/>
        <cfvo type="max"/>
        <color theme="4" tint="-0.25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269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328">
      <colorScale>
        <cfvo type="min"/>
        <cfvo type="max"/>
        <color theme="4" tint="-0.25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268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267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BD3:BD53">
    <cfRule type="colorScale" priority="262">
      <colorScale>
        <cfvo type="min"/>
        <cfvo type="max"/>
        <color theme="4" tint="-0.25"/>
        <color theme="4" tint="0.8"/>
      </colorScale>
    </cfRule>
    <cfRule type="colorScale" priority="252">
      <colorScale>
        <cfvo type="min"/>
        <cfvo type="max"/>
        <color theme="4" tint="0.8"/>
        <color theme="4" tint="-0.25"/>
      </colorScale>
    </cfRule>
    <cfRule type="colorScale" priority="242">
      <colorScale>
        <cfvo type="min"/>
        <cfvo type="max"/>
        <color theme="4"/>
        <color theme="4" tint="0.8"/>
      </colorScale>
    </cfRule>
    <cfRule type="colorScale" priority="232">
      <colorScale>
        <cfvo type="min"/>
        <cfvo type="max"/>
        <color theme="4" tint="0.8"/>
        <color theme="4"/>
      </colorScale>
    </cfRule>
  </conditionalFormatting>
  <conditionalFormatting sqref="BE3:BE53">
    <cfRule type="colorScale" priority="257">
      <colorScale>
        <cfvo type="min"/>
        <cfvo type="max"/>
        <color theme="4" tint="-0.25"/>
        <color theme="4" tint="0.8"/>
      </colorScale>
    </cfRule>
    <cfRule type="colorScale" priority="247">
      <colorScale>
        <cfvo type="min"/>
        <cfvo type="max"/>
        <color theme="4" tint="0.8"/>
        <color theme="4" tint="-0.25"/>
      </colorScale>
    </cfRule>
    <cfRule type="colorScale" priority="237">
      <colorScale>
        <cfvo type="min"/>
        <cfvo type="max"/>
        <color theme="4"/>
        <color theme="4" tint="0.8"/>
      </colorScale>
    </cfRule>
    <cfRule type="colorScale" priority="227">
      <colorScale>
        <cfvo type="min"/>
        <cfvo type="max"/>
        <color theme="4" tint="0.8"/>
        <color theme="4"/>
      </colorScale>
    </cfRule>
  </conditionalFormatting>
  <conditionalFormatting sqref="BF3:BF53">
    <cfRule type="colorScale" priority="261">
      <colorScale>
        <cfvo type="min"/>
        <cfvo type="max"/>
        <color theme="4" tint="-0.25"/>
        <color theme="4" tint="0.8"/>
      </colorScale>
    </cfRule>
    <cfRule type="colorScale" priority="251">
      <colorScale>
        <cfvo type="min"/>
        <cfvo type="max"/>
        <color theme="4" tint="0.8"/>
        <color theme="4" tint="-0.25"/>
      </colorScale>
    </cfRule>
    <cfRule type="colorScale" priority="241">
      <colorScale>
        <cfvo type="min"/>
        <cfvo type="max"/>
        <color theme="4"/>
        <color theme="4" tint="0.8"/>
      </colorScale>
    </cfRule>
    <cfRule type="colorScale" priority="231">
      <colorScale>
        <cfvo type="min"/>
        <cfvo type="max"/>
        <color theme="4" tint="0.8"/>
        <color theme="4"/>
      </colorScale>
    </cfRule>
  </conditionalFormatting>
  <conditionalFormatting sqref="BG3:BG53">
    <cfRule type="colorScale" priority="256">
      <colorScale>
        <cfvo type="min"/>
        <cfvo type="max"/>
        <color theme="4" tint="-0.25"/>
        <color theme="4" tint="0.8"/>
      </colorScale>
    </cfRule>
    <cfRule type="colorScale" priority="246">
      <colorScale>
        <cfvo type="min"/>
        <cfvo type="max"/>
        <color theme="4" tint="0.8"/>
        <color theme="4" tint="-0.25"/>
      </colorScale>
    </cfRule>
    <cfRule type="colorScale" priority="236">
      <colorScale>
        <cfvo type="min"/>
        <cfvo type="max"/>
        <color theme="4"/>
        <color theme="4" tint="0.8"/>
      </colorScale>
    </cfRule>
    <cfRule type="colorScale" priority="226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215">
      <colorScale>
        <cfvo type="num" val="1"/>
        <cfvo type="num" val="3"/>
        <color theme="4" tint="0.8"/>
        <color theme="4" tint="-0.25"/>
      </colorScale>
    </cfRule>
    <cfRule type="colorScale" priority="230">
      <colorScale>
        <cfvo type="min"/>
        <cfvo type="max"/>
        <color theme="4" tint="0.8"/>
        <color theme="4"/>
      </colorScale>
    </cfRule>
    <cfRule type="colorScale" priority="240">
      <colorScale>
        <cfvo type="min"/>
        <cfvo type="max"/>
        <color theme="4"/>
        <color theme="4" tint="0.8"/>
      </colorScale>
    </cfRule>
    <cfRule type="colorScale" priority="250">
      <colorScale>
        <cfvo type="min"/>
        <cfvo type="max"/>
        <color theme="4" tint="0.8"/>
        <color theme="4" tint="-0.25"/>
      </colorScale>
    </cfRule>
    <cfRule type="colorScale" priority="260">
      <colorScale>
        <cfvo type="min"/>
        <cfvo type="max"/>
        <color theme="4" tint="-0.25"/>
        <color theme="4" tint="0.8"/>
      </colorScale>
    </cfRule>
  </conditionalFormatting>
  <conditionalFormatting sqref="BH26:BH53">
    <cfRule type="colorScale" priority="220">
      <colorScale>
        <cfvo type="min"/>
        <cfvo type="max"/>
        <color theme="4" tint="0.8"/>
        <color theme="4"/>
      </colorScale>
    </cfRule>
  </conditionalFormatting>
  <conditionalFormatting sqref="BI3:BI53">
    <cfRule type="colorScale" priority="157">
      <colorScale>
        <cfvo type="min"/>
        <cfvo type="max"/>
        <color theme="4" tint="-0.25"/>
        <color theme="4" tint="0.8"/>
      </colorScale>
    </cfRule>
    <cfRule type="colorScale" priority="135">
      <colorScale>
        <cfvo type="min"/>
        <cfvo type="max"/>
        <color theme="4" tint="0.8"/>
        <color theme="4" tint="-0.25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47">
      <colorScale>
        <cfvo type="num" val="1"/>
        <cfvo type="num" val="3"/>
        <color theme="4" tint="0.8"/>
        <color theme="4" tint="-0.25"/>
      </colorScale>
    </cfRule>
  </conditionalFormatting>
  <conditionalFormatting sqref="BI26:BI53">
    <cfRule type="colorScale" priority="69">
      <colorScale>
        <cfvo type="min"/>
        <cfvo type="max"/>
        <color theme="4" tint="0.8"/>
        <color theme="4"/>
      </colorScale>
    </cfRule>
  </conditionalFormatting>
  <conditionalFormatting sqref="BJ3:BJ53">
    <cfRule type="colorScale" priority="156">
      <colorScale>
        <cfvo type="min"/>
        <cfvo type="max"/>
        <color theme="4" tint="-0.25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46">
      <colorScale>
        <cfvo type="num" val="1"/>
        <cfvo type="num" val="3"/>
        <color theme="4" tint="0.8"/>
        <color theme="4" tint="-0.25"/>
      </colorScale>
    </cfRule>
  </conditionalFormatting>
  <conditionalFormatting sqref="BJ26:BJ53">
    <cfRule type="colorScale" priority="68">
      <colorScale>
        <cfvo type="min"/>
        <cfvo type="max"/>
        <color theme="4" tint="0.8"/>
        <color theme="4"/>
      </colorScale>
    </cfRule>
  </conditionalFormatting>
  <conditionalFormatting sqref="BK3:BK53">
    <cfRule type="colorScale" priority="155">
      <colorScale>
        <cfvo type="min"/>
        <cfvo type="max"/>
        <color theme="4" tint="-0.25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45">
      <colorScale>
        <cfvo type="num" val="1"/>
        <cfvo type="num" val="3"/>
        <color theme="4" tint="0.8"/>
        <color theme="4" tint="-0.25"/>
      </colorScale>
    </cfRule>
  </conditionalFormatting>
  <conditionalFormatting sqref="BK26:BK53">
    <cfRule type="colorScale" priority="67">
      <colorScale>
        <cfvo type="min"/>
        <cfvo type="max"/>
        <color theme="4" tint="0.8"/>
        <color theme="4"/>
      </colorScale>
    </cfRule>
  </conditionalFormatting>
  <conditionalFormatting sqref="BL3:BL53">
    <cfRule type="colorScale" priority="154">
      <colorScale>
        <cfvo type="min"/>
        <cfvo type="max"/>
        <color theme="4" tint="-0.25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44">
      <colorScale>
        <cfvo type="num" val="1"/>
        <cfvo type="num" val="3"/>
        <color theme="4" tint="0.8"/>
        <color theme="4" tint="-0.25"/>
      </colorScale>
    </cfRule>
  </conditionalFormatting>
  <conditionalFormatting sqref="BL26:BL53">
    <cfRule type="colorScale" priority="66">
      <colorScale>
        <cfvo type="min"/>
        <cfvo type="max"/>
        <color theme="4" tint="0.8"/>
        <color theme="4"/>
      </colorScale>
    </cfRule>
  </conditionalFormatting>
  <conditionalFormatting sqref="BM3:BM53">
    <cfRule type="colorScale" priority="153">
      <colorScale>
        <cfvo type="min"/>
        <cfvo type="max"/>
        <color theme="4" tint="-0.25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43">
      <colorScale>
        <cfvo type="num" val="1"/>
        <cfvo type="num" val="3"/>
        <color theme="4" tint="0.8"/>
        <color theme="4" tint="-0.25"/>
      </colorScale>
    </cfRule>
  </conditionalFormatting>
  <conditionalFormatting sqref="BM26:BM53">
    <cfRule type="colorScale" priority="65">
      <colorScale>
        <cfvo type="min"/>
        <cfvo type="max"/>
        <color theme="4" tint="0.8"/>
        <color theme="4"/>
      </colorScale>
    </cfRule>
  </conditionalFormatting>
  <conditionalFormatting sqref="BN3:BN53">
    <cfRule type="colorScale" priority="152">
      <colorScale>
        <cfvo type="min"/>
        <cfvo type="max"/>
        <color theme="4" tint="-0.25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42">
      <colorScale>
        <cfvo type="num" val="1"/>
        <cfvo type="num" val="3"/>
        <color theme="4" tint="0.8"/>
        <color theme="4" tint="-0.25"/>
      </colorScale>
    </cfRule>
  </conditionalFormatting>
  <conditionalFormatting sqref="BN26:BN53">
    <cfRule type="colorScale" priority="64">
      <colorScale>
        <cfvo type="min"/>
        <cfvo type="max"/>
        <color theme="4" tint="0.8"/>
        <color theme="4"/>
      </colorScale>
    </cfRule>
  </conditionalFormatting>
  <conditionalFormatting sqref="BO3:BO53">
    <cfRule type="colorScale" priority="151">
      <colorScale>
        <cfvo type="min"/>
        <cfvo type="max"/>
        <color theme="4" tint="-0.25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41">
      <colorScale>
        <cfvo type="num" val="1"/>
        <cfvo type="num" val="3"/>
        <color theme="4" tint="0.8"/>
        <color theme="4" tint="-0.25"/>
      </colorScale>
    </cfRule>
  </conditionalFormatting>
  <conditionalFormatting sqref="BO26:BO5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BP3:BP53">
    <cfRule type="colorScale" priority="150">
      <colorScale>
        <cfvo type="min"/>
        <cfvo type="max"/>
        <color theme="4" tint="-0.25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40">
      <colorScale>
        <cfvo type="num" val="1"/>
        <cfvo type="num" val="3"/>
        <color theme="4" tint="0.8"/>
        <color theme="4" tint="-0.25"/>
      </colorScale>
    </cfRule>
  </conditionalFormatting>
  <conditionalFormatting sqref="BP26:BP53">
    <cfRule type="colorScale" priority="62">
      <colorScale>
        <cfvo type="min"/>
        <cfvo type="max"/>
        <color theme="4" tint="0.8"/>
        <color theme="4"/>
      </colorScale>
    </cfRule>
  </conditionalFormatting>
  <conditionalFormatting sqref="BQ3:BQ53">
    <cfRule type="colorScale" priority="149">
      <colorScale>
        <cfvo type="min"/>
        <cfvo type="max"/>
        <color theme="4" tint="-0.25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39">
      <colorScale>
        <cfvo type="num" val="1"/>
        <cfvo type="num" val="3"/>
        <color theme="4" tint="0.8"/>
        <color theme="4" tint="-0.25"/>
      </colorScale>
    </cfRule>
  </conditionalFormatting>
  <conditionalFormatting sqref="BQ26:BQ53">
    <cfRule type="colorScale" priority="61">
      <colorScale>
        <cfvo type="min"/>
        <cfvo type="max"/>
        <color theme="4" tint="0.8"/>
        <color theme="4"/>
      </colorScale>
    </cfRule>
  </conditionalFormatting>
  <conditionalFormatting sqref="BR3:BR53">
    <cfRule type="colorScale" priority="148">
      <colorScale>
        <cfvo type="min"/>
        <cfvo type="max"/>
        <color theme="4" tint="-0.25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82">
      <colorScale>
        <cfvo type="min"/>
        <cfvo type="max"/>
        <color theme="4" tint="0.8"/>
        <color theme="4"/>
      </colorScale>
    </cfRule>
    <cfRule type="colorScale" priority="38">
      <colorScale>
        <cfvo type="num" val="1"/>
        <cfvo type="num" val="3"/>
        <color theme="4" tint="0.8"/>
        <color theme="4" tint="-0.25"/>
      </colorScale>
    </cfRule>
  </conditionalFormatting>
  <conditionalFormatting sqref="BR26:BR53">
    <cfRule type="colorScale" priority="60">
      <colorScale>
        <cfvo type="min"/>
        <cfvo type="max"/>
        <color theme="4" tint="0.8"/>
        <color theme="4"/>
      </colorScale>
    </cfRule>
  </conditionalFormatting>
  <conditionalFormatting sqref="BS3:BS53">
    <cfRule type="colorScale" priority="147">
      <colorScale>
        <cfvo type="min"/>
        <cfvo type="max"/>
        <color theme="4" tint="-0.25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81">
      <colorScale>
        <cfvo type="min"/>
        <cfvo type="max"/>
        <color theme="4" tint="0.8"/>
        <color theme="4"/>
      </colorScale>
    </cfRule>
    <cfRule type="colorScale" priority="37">
      <colorScale>
        <cfvo type="num" val="1"/>
        <cfvo type="num" val="3"/>
        <color theme="4" tint="0.8"/>
        <color theme="4" tint="-0.25"/>
      </colorScale>
    </cfRule>
  </conditionalFormatting>
  <conditionalFormatting sqref="BS26:BS53">
    <cfRule type="colorScale" priority="59">
      <colorScale>
        <cfvo type="min"/>
        <cfvo type="max"/>
        <color theme="4" tint="0.8"/>
        <color theme="4"/>
      </colorScale>
    </cfRule>
  </conditionalFormatting>
  <conditionalFormatting sqref="BT3:BT53">
    <cfRule type="colorScale" priority="146">
      <colorScale>
        <cfvo type="min"/>
        <cfvo type="max"/>
        <color theme="4" tint="-0.25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02">
      <colorScale>
        <cfvo type="min"/>
        <cfvo type="max"/>
        <color theme="4"/>
        <color theme="4" tint="0.8"/>
      </colorScale>
    </cfRule>
    <cfRule type="colorScale" priority="80">
      <colorScale>
        <cfvo type="min"/>
        <cfvo type="max"/>
        <color theme="4" tint="0.8"/>
        <color theme="4"/>
      </colorScale>
    </cfRule>
    <cfRule type="colorScale" priority="36">
      <colorScale>
        <cfvo type="num" val="1"/>
        <cfvo type="num" val="3"/>
        <color theme="4" tint="0.8"/>
        <color theme="4" tint="-0.25"/>
      </colorScale>
    </cfRule>
  </conditionalFormatting>
  <conditionalFormatting sqref="BT26:BT53">
    <cfRule type="colorScale" priority="58">
      <colorScale>
        <cfvo type="min"/>
        <cfvo type="max"/>
        <color theme="4" tint="0.8"/>
        <color theme="4"/>
      </colorScale>
    </cfRule>
  </conditionalFormatting>
  <conditionalFormatting sqref="BU3:BU53">
    <cfRule type="colorScale" priority="145">
      <colorScale>
        <cfvo type="min"/>
        <cfvo type="max"/>
        <color theme="4" tint="-0.25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01">
      <colorScale>
        <cfvo type="min"/>
        <cfvo type="max"/>
        <color theme="4"/>
        <color theme="4" tint="0.8"/>
      </colorScale>
    </cfRule>
    <cfRule type="colorScale" priority="79">
      <colorScale>
        <cfvo type="min"/>
        <cfvo type="max"/>
        <color theme="4" tint="0.8"/>
        <color theme="4"/>
      </colorScale>
    </cfRule>
    <cfRule type="colorScale" priority="35">
      <colorScale>
        <cfvo type="num" val="1"/>
        <cfvo type="num" val="3"/>
        <color theme="4" tint="0.8"/>
        <color theme="4" tint="-0.25"/>
      </colorScale>
    </cfRule>
  </conditionalFormatting>
  <conditionalFormatting sqref="BU26:BU53">
    <cfRule type="colorScale" priority="57">
      <colorScale>
        <cfvo type="min"/>
        <cfvo type="max"/>
        <color theme="4" tint="0.8"/>
        <color theme="4"/>
      </colorScale>
    </cfRule>
  </conditionalFormatting>
  <conditionalFormatting sqref="BV3:BV53">
    <cfRule type="colorScale" priority="144">
      <colorScale>
        <cfvo type="min"/>
        <cfvo type="max"/>
        <color theme="4" tint="-0.25"/>
        <color theme="4" tint="0.8"/>
      </colorScale>
    </cfRule>
    <cfRule type="colorScale" priority="122">
      <colorScale>
        <cfvo type="min"/>
        <cfvo type="max"/>
        <color theme="4" tint="0.8"/>
        <color theme="4" tint="-0.25"/>
      </colorScale>
    </cfRule>
    <cfRule type="colorScale" priority="100">
      <colorScale>
        <cfvo type="min"/>
        <cfvo type="max"/>
        <color theme="4"/>
        <color theme="4" tint="0.8"/>
      </colorScale>
    </cfRule>
    <cfRule type="colorScale" priority="78">
      <colorScale>
        <cfvo type="min"/>
        <cfvo type="max"/>
        <color theme="4" tint="0.8"/>
        <color theme="4"/>
      </colorScale>
    </cfRule>
    <cfRule type="colorScale" priority="34">
      <colorScale>
        <cfvo type="num" val="1"/>
        <cfvo type="num" val="3"/>
        <color theme="4" tint="0.8"/>
        <color theme="4" tint="-0.25"/>
      </colorScale>
    </cfRule>
  </conditionalFormatting>
  <conditionalFormatting sqref="BV26:BV53">
    <cfRule type="colorScale" priority="56">
      <colorScale>
        <cfvo type="min"/>
        <cfvo type="max"/>
        <color theme="4" tint="0.8"/>
        <color theme="4"/>
      </colorScale>
    </cfRule>
  </conditionalFormatting>
  <conditionalFormatting sqref="BW3:BW53">
    <cfRule type="colorScale" priority="143">
      <colorScale>
        <cfvo type="min"/>
        <cfvo type="max"/>
        <color theme="4" tint="-0.25"/>
        <color theme="4" tint="0.8"/>
      </colorScale>
    </cfRule>
    <cfRule type="colorScale" priority="121">
      <colorScale>
        <cfvo type="min"/>
        <cfvo type="max"/>
        <color theme="4" tint="0.8"/>
        <color theme="4" tint="-0.25"/>
      </colorScale>
    </cfRule>
    <cfRule type="colorScale" priority="99">
      <colorScale>
        <cfvo type="min"/>
        <cfvo type="max"/>
        <color theme="4"/>
        <color theme="4" tint="0.8"/>
      </colorScale>
    </cfRule>
    <cfRule type="colorScale" priority="77">
      <colorScale>
        <cfvo type="min"/>
        <cfvo type="max"/>
        <color theme="4" tint="0.8"/>
        <color theme="4"/>
      </colorScale>
    </cfRule>
    <cfRule type="colorScale" priority="33">
      <colorScale>
        <cfvo type="num" val="1"/>
        <cfvo type="num" val="3"/>
        <color theme="4" tint="0.8"/>
        <color theme="4" tint="-0.25"/>
      </colorScale>
    </cfRule>
  </conditionalFormatting>
  <conditionalFormatting sqref="BW26:BW53">
    <cfRule type="colorScale" priority="55">
      <colorScale>
        <cfvo type="min"/>
        <cfvo type="max"/>
        <color theme="4" tint="0.8"/>
        <color theme="4"/>
      </colorScale>
    </cfRule>
  </conditionalFormatting>
  <conditionalFormatting sqref="BX3:BX53">
    <cfRule type="colorScale" priority="142">
      <colorScale>
        <cfvo type="min"/>
        <cfvo type="max"/>
        <color theme="4" tint="-0.25"/>
        <color theme="4" tint="0.8"/>
      </colorScale>
    </cfRule>
    <cfRule type="colorScale" priority="120">
      <colorScale>
        <cfvo type="min"/>
        <cfvo type="max"/>
        <color theme="4" tint="0.8"/>
        <color theme="4" tint="-0.25"/>
      </colorScale>
    </cfRule>
    <cfRule type="colorScale" priority="98">
      <colorScale>
        <cfvo type="min"/>
        <cfvo type="max"/>
        <color theme="4"/>
        <color theme="4" tint="0.8"/>
      </colorScale>
    </cfRule>
    <cfRule type="colorScale" priority="76">
      <colorScale>
        <cfvo type="min"/>
        <cfvo type="max"/>
        <color theme="4" tint="0.8"/>
        <color theme="4"/>
      </colorScale>
    </cfRule>
    <cfRule type="colorScale" priority="32">
      <colorScale>
        <cfvo type="num" val="1"/>
        <cfvo type="num" val="3"/>
        <color theme="4" tint="0.8"/>
        <color theme="4" tint="-0.25"/>
      </colorScale>
    </cfRule>
  </conditionalFormatting>
  <conditionalFormatting sqref="BX26:BX53">
    <cfRule type="colorScale" priority="54">
      <colorScale>
        <cfvo type="min"/>
        <cfvo type="max"/>
        <color theme="4" tint="0.8"/>
        <color theme="4"/>
      </colorScale>
    </cfRule>
  </conditionalFormatting>
  <conditionalFormatting sqref="BY3:BY53">
    <cfRule type="colorScale" priority="141">
      <colorScale>
        <cfvo type="min"/>
        <cfvo type="max"/>
        <color theme="4" tint="-0.25"/>
        <color theme="4" tint="0.8"/>
      </colorScale>
    </cfRule>
    <cfRule type="colorScale" priority="119">
      <colorScale>
        <cfvo type="min"/>
        <cfvo type="max"/>
        <color theme="4" tint="0.8"/>
        <color theme="4" tint="-0.25"/>
      </colorScale>
    </cfRule>
    <cfRule type="colorScale" priority="97">
      <colorScale>
        <cfvo type="min"/>
        <cfvo type="max"/>
        <color theme="4"/>
        <color theme="4" tint="0.8"/>
      </colorScale>
    </cfRule>
    <cfRule type="colorScale" priority="75">
      <colorScale>
        <cfvo type="min"/>
        <cfvo type="max"/>
        <color theme="4" tint="0.8"/>
        <color theme="4"/>
      </colorScale>
    </cfRule>
    <cfRule type="colorScale" priority="31">
      <colorScale>
        <cfvo type="num" val="1"/>
        <cfvo type="num" val="3"/>
        <color theme="4" tint="0.8"/>
        <color theme="4" tint="-0.25"/>
      </colorScale>
    </cfRule>
  </conditionalFormatting>
  <conditionalFormatting sqref="BY26:BY53">
    <cfRule type="colorScale" priority="53">
      <colorScale>
        <cfvo type="min"/>
        <cfvo type="max"/>
        <color theme="4" tint="0.8"/>
        <color theme="4"/>
      </colorScale>
    </cfRule>
  </conditionalFormatting>
  <conditionalFormatting sqref="BZ3:BZ53">
    <cfRule type="colorScale" priority="140">
      <colorScale>
        <cfvo type="min"/>
        <cfvo type="max"/>
        <color theme="4" tint="-0.25"/>
        <color theme="4" tint="0.8"/>
      </colorScale>
    </cfRule>
    <cfRule type="colorScale" priority="118">
      <colorScale>
        <cfvo type="min"/>
        <cfvo type="max"/>
        <color theme="4" tint="0.8"/>
        <color theme="4" tint="-0.25"/>
      </colorScale>
    </cfRule>
    <cfRule type="colorScale" priority="96">
      <colorScale>
        <cfvo type="min"/>
        <cfvo type="max"/>
        <color theme="4"/>
        <color theme="4" tint="0.8"/>
      </colorScale>
    </cfRule>
    <cfRule type="colorScale" priority="74">
      <colorScale>
        <cfvo type="min"/>
        <cfvo type="max"/>
        <color theme="4" tint="0.8"/>
        <color theme="4"/>
      </colorScale>
    </cfRule>
    <cfRule type="colorScale" priority="30">
      <colorScale>
        <cfvo type="num" val="1"/>
        <cfvo type="num" val="3"/>
        <color theme="4" tint="0.8"/>
        <color theme="4" tint="-0.25"/>
      </colorScale>
    </cfRule>
  </conditionalFormatting>
  <conditionalFormatting sqref="BZ26:BZ53">
    <cfRule type="colorScale" priority="52">
      <colorScale>
        <cfvo type="min"/>
        <cfvo type="max"/>
        <color theme="4" tint="0.8"/>
        <color theme="4"/>
      </colorScale>
    </cfRule>
  </conditionalFormatting>
  <conditionalFormatting sqref="CA3:CA53">
    <cfRule type="colorScale" priority="139">
      <colorScale>
        <cfvo type="min"/>
        <cfvo type="max"/>
        <color theme="4" tint="-0.25"/>
        <color theme="4" tint="0.8"/>
      </colorScale>
    </cfRule>
    <cfRule type="colorScale" priority="117">
      <colorScale>
        <cfvo type="min"/>
        <cfvo type="max"/>
        <color theme="4" tint="0.8"/>
        <color theme="4" tint="-0.25"/>
      </colorScale>
    </cfRule>
    <cfRule type="colorScale" priority="95">
      <colorScale>
        <cfvo type="min"/>
        <cfvo type="max"/>
        <color theme="4"/>
        <color theme="4" tint="0.8"/>
      </colorScale>
    </cfRule>
    <cfRule type="colorScale" priority="73">
      <colorScale>
        <cfvo type="min"/>
        <cfvo type="max"/>
        <color theme="4" tint="0.8"/>
        <color theme="4"/>
      </colorScale>
    </cfRule>
    <cfRule type="colorScale" priority="29">
      <colorScale>
        <cfvo type="num" val="1"/>
        <cfvo type="num" val="3"/>
        <color theme="4" tint="0.8"/>
        <color theme="4" tint="-0.25"/>
      </colorScale>
    </cfRule>
  </conditionalFormatting>
  <conditionalFormatting sqref="CA26:CA53">
    <cfRule type="colorScale" priority="51">
      <colorScale>
        <cfvo type="min"/>
        <cfvo type="max"/>
        <color theme="4" tint="0.8"/>
        <color theme="4"/>
      </colorScale>
    </cfRule>
  </conditionalFormatting>
  <conditionalFormatting sqref="CB3:CB53">
    <cfRule type="colorScale" priority="138">
      <colorScale>
        <cfvo type="min"/>
        <cfvo type="max"/>
        <color theme="4" tint="-0.25"/>
        <color theme="4" tint="0.8"/>
      </colorScale>
    </cfRule>
    <cfRule type="colorScale" priority="116">
      <colorScale>
        <cfvo type="min"/>
        <cfvo type="max"/>
        <color theme="4" tint="0.8"/>
        <color theme="4" tint="-0.25"/>
      </colorScale>
    </cfRule>
    <cfRule type="colorScale" priority="94">
      <colorScale>
        <cfvo type="min"/>
        <cfvo type="max"/>
        <color theme="4"/>
        <color theme="4" tint="0.8"/>
      </colorScale>
    </cfRule>
    <cfRule type="colorScale" priority="72">
      <colorScale>
        <cfvo type="min"/>
        <cfvo type="max"/>
        <color theme="4" tint="0.8"/>
        <color theme="4"/>
      </colorScale>
    </cfRule>
    <cfRule type="colorScale" priority="28">
      <colorScale>
        <cfvo type="num" val="1"/>
        <cfvo type="num" val="3"/>
        <color theme="4" tint="0.8"/>
        <color theme="4" tint="-0.25"/>
      </colorScale>
    </cfRule>
  </conditionalFormatting>
  <conditionalFormatting sqref="CB26:CB53">
    <cfRule type="colorScale" priority="50">
      <colorScale>
        <cfvo type="min"/>
        <cfvo type="max"/>
        <color theme="4" tint="0.8"/>
        <color theme="4"/>
      </colorScale>
    </cfRule>
  </conditionalFormatting>
  <conditionalFormatting sqref="CC3:CC53">
    <cfRule type="colorScale" priority="137">
      <colorScale>
        <cfvo type="min"/>
        <cfvo type="max"/>
        <color theme="4" tint="-0.25"/>
        <color theme="4" tint="0.8"/>
      </colorScale>
    </cfRule>
    <cfRule type="colorScale" priority="115">
      <colorScale>
        <cfvo type="min"/>
        <cfvo type="max"/>
        <color theme="4" tint="0.8"/>
        <color theme="4" tint="-0.25"/>
      </colorScale>
    </cfRule>
    <cfRule type="colorScale" priority="93">
      <colorScale>
        <cfvo type="min"/>
        <cfvo type="max"/>
        <color theme="4"/>
        <color theme="4" tint="0.8"/>
      </colorScale>
    </cfRule>
    <cfRule type="colorScale" priority="71">
      <colorScale>
        <cfvo type="min"/>
        <cfvo type="max"/>
        <color theme="4" tint="0.8"/>
        <color theme="4"/>
      </colorScale>
    </cfRule>
    <cfRule type="colorScale" priority="27">
      <colorScale>
        <cfvo type="num" val="1"/>
        <cfvo type="num" val="3"/>
        <color theme="4" tint="0.8"/>
        <color theme="4" tint="-0.25"/>
      </colorScale>
    </cfRule>
  </conditionalFormatting>
  <conditionalFormatting sqref="CC26:CC53">
    <cfRule type="colorScale" priority="49">
      <colorScale>
        <cfvo type="min"/>
        <cfvo type="max"/>
        <color theme="4" tint="0.8"/>
        <color theme="4"/>
      </colorScale>
    </cfRule>
  </conditionalFormatting>
  <conditionalFormatting sqref="CH3:CH53">
    <cfRule type="colorScale" priority="367">
      <colorScale>
        <cfvo type="min"/>
        <cfvo type="max"/>
        <color theme="9" tint="-0.5"/>
        <color theme="9" tint="0.8"/>
      </colorScale>
    </cfRule>
    <cfRule type="colorScale" priority="368">
      <colorScale>
        <cfvo type="min"/>
        <cfvo type="max"/>
        <color rgb="FFFF7128"/>
        <color rgb="FFFFEF9C"/>
      </colorScale>
    </cfRule>
  </conditionalFormatting>
  <conditionalFormatting sqref="CI3:CI53">
    <cfRule type="colorScale" priority="366">
      <colorScale>
        <cfvo type="min"/>
        <cfvo type="max"/>
        <color theme="9" tint="-0.5"/>
        <color theme="9" tint="0.8"/>
      </colorScale>
    </cfRule>
  </conditionalFormatting>
  <conditionalFormatting sqref="CJ3:CJ53">
    <cfRule type="colorScale" priority="365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395">
      <colorScale>
        <cfvo type="min"/>
        <cfvo type="max"/>
        <color theme="4" tint="0.8"/>
        <color theme="4" tint="-0.25"/>
      </colorScale>
    </cfRule>
    <cfRule type="colorScale" priority="396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363">
      <colorScale>
        <cfvo type="min"/>
        <cfvo type="max"/>
        <color theme="4" tint="0.8"/>
        <color theme="4"/>
      </colorScale>
    </cfRule>
    <cfRule type="colorScale" priority="364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265">
      <colorScale>
        <cfvo type="num" val="1"/>
        <cfvo type="num" val="3"/>
        <color theme="4" tint="0.8"/>
        <color theme="4" tint="-0.25"/>
      </colorScale>
    </cfRule>
  </conditionalFormatting>
  <conditionalFormatting sqref="B3:BH53">
    <cfRule type="colorScale" priority="202">
      <colorScale>
        <cfvo type="min"/>
        <cfvo type="max"/>
        <color theme="4" tint="0.8"/>
        <color theme="4"/>
      </colorScale>
    </cfRule>
  </conditionalFormatting>
  <conditionalFormatting sqref="B3:CC53">
    <cfRule type="colorScale" priority="2">
      <colorScale>
        <cfvo type="min"/>
        <cfvo type="max"/>
        <color theme="4" tint="0.8"/>
        <color theme="4" tint="-0.25"/>
      </colorScale>
    </cfRule>
    <cfRule type="colorScale" priority="1">
      <colorScale>
        <cfvo type="min"/>
        <cfvo type="max"/>
        <color theme="4" tint="0.8"/>
        <color theme="4"/>
      </colorScale>
    </cfRule>
  </conditionalFormatting>
  <conditionalFormatting sqref="BD3:BE53">
    <cfRule type="colorScale" priority="217">
      <colorScale>
        <cfvo type="num" val="1"/>
        <cfvo type="num" val="3"/>
        <color theme="4" tint="0.8"/>
        <color theme="4" tint="-0.25"/>
      </colorScale>
    </cfRule>
  </conditionalFormatting>
  <conditionalFormatting sqref="BF3:BG53">
    <cfRule type="colorScale" priority="216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266">
      <colorScale>
        <cfvo type="min"/>
        <cfvo type="max"/>
        <color theme="4" tint="0.8"/>
        <color theme="4"/>
      </colorScale>
    </cfRule>
  </conditionalFormatting>
  <conditionalFormatting sqref="BD26:BE53">
    <cfRule type="colorScale" priority="222">
      <colorScale>
        <cfvo type="min"/>
        <cfvo type="max"/>
        <color theme="4" tint="0.8"/>
        <color theme="4"/>
      </colorScale>
    </cfRule>
  </conditionalFormatting>
  <conditionalFormatting sqref="BF26:BG53">
    <cfRule type="colorScale" priority="221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U1:AF1 C1:S1 Z12:AF12 Z13 AB13:AF13 Z14:AF14 A24:X24" unlockedFormula="1"/>
    <ignoredError sqref="CH7:CJ8 Z4:AE4 Z10:AF10 Z15 AB15:AE15 A16:AF16 A8:V8 X8:AF8 Z9:AB9 AD9:AF9 A26:AF27 A42:X42 Z36:AF36 A36:X36 Z41:AE42 CH25:CJ28 A25:X25 A12:X15 A9:X10 A5:AF7 A3:X4 CD1:CJ2 A51:AF51 A2:AF2 Z48:AB48 AE48 A47:AF47 AF46 AC46:AD46 AA46 A46:X46 A45:AF45 AF44 Z44:AD44 A44:W44 A43:AF43 A40:V40 AC40:AD40 X41 A37:AF37 CI35:CJ35 A34:AF35 CH38:CJ39 A39:AF39 AD38:AF38 Z38:AB38 A38:X38 A32:X32 Z29:AF29 A28:X28 Z24:AF24 A23:AF23 AF22 AA22:AD22 A22:X22 A19:AF21 Z17:AF18 A17:X18 CH11:CJ14 AE11 AB11:AC11 A11:Z11 CI9:CJ9 CH4:CJ4 Z3:AF3 CI3 A1 AA52:AF52 Y52 V52 P52 A52 A53:AF53 AF50 A50:AD50 A49:X49 Z49:AF49" formulaRange="1" unlockedFormula="1"/>
    <ignoredError sqref="AC9:BJ9 W40:BJ40 AA15 BP48:CF48 AG26:CF26 AG27:BM27 BO27:CF27 Y41:Y42 AG5:CF6 AG7:BK8 BM7:CF7 BM8:BN8 BP8 BT8:CF8 BR8 CH36:CJ37 A54:CJ57 BL4:BM4 BT4:CF4 BP4:BQ4 BS9:CF9 BL9:BQ9 AG19:BJ19 BL19:CF19 AG20:CF21 BL22:CF22 BL28:CF28 BM29:CF29 A30:BN30 BP30:CF30 A31:BJ31 BL31:CF32 BM40:BM41 BP41:CF41 BS40:CF40 BT42:CF42 BO42:BQ42 BL42:BM42 BL46:BN46 BR46:BS46 BU46:CF46 AG34:CF36 BO37:CF37 AG38:CF39 CH15:CJ24 AG49:CF53 BP44 BS44:CF44 A33:BP33 BR33:CF33 A29:Y29 AG24:BN24 BS24:CF24 BP24:BQ24 CH3 AG16:CF18 BT11:CF11 BQ11:BR11 CH4:CJ6 AF4:BJ4 AG10:CF10 Y15 AF15:CF15 A5:AF7 W8:AF8 A34:AF35 A36:Y36 AF41:BJ42 CH29:CJ34 Y25:CF25 Y3:Y4 AG2:CC2 AC48:AD48 AF48:BN48 AG47:CF47 AE46 AG46:BJ46 A46:AB46 AG45:CF45 AE44 AG44:BN44 A44:Y44 AG43:CF43 A41:W41 AG37:BM37 CH35 CH40:CJ53 A38:AC38 Y32:BJ32 AG29:BJ29 Y28:BJ28 Y24 AG23:CF23 AE22 AG22:BJ22 A22:Z22 A17:Y18 CH10:CJ10 AF11:BO11 A11:AA11 AD11 CH9 AG3:CF3 CJ3 A52:Z52 A53:AF53 A50:AE50 A48:Y48 Y49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3"/>
      <c r="B1" s="144" t="s">
        <v>1</v>
      </c>
      <c r="C1" s="144"/>
      <c r="D1" s="145" t="s">
        <v>2</v>
      </c>
      <c r="E1" s="146"/>
      <c r="F1" s="147"/>
      <c r="G1" s="144" t="s">
        <v>3</v>
      </c>
      <c r="H1" s="144" t="s">
        <v>4</v>
      </c>
      <c r="I1" s="144" t="s">
        <v>5</v>
      </c>
      <c r="J1" s="144" t="s">
        <v>6</v>
      </c>
    </row>
    <row r="2" ht="16.5" spans="1:10">
      <c r="A2" s="144" t="s">
        <v>389</v>
      </c>
      <c r="B2" s="148" t="s">
        <v>390</v>
      </c>
      <c r="C2" s="149" t="s">
        <v>391</v>
      </c>
      <c r="D2" s="150"/>
      <c r="E2" s="148" t="s">
        <v>390</v>
      </c>
      <c r="F2" s="148"/>
      <c r="G2" s="151" t="s">
        <v>392</v>
      </c>
      <c r="H2" s="143"/>
      <c r="I2" s="143"/>
      <c r="J2" s="152"/>
    </row>
    <row r="3" ht="16.5" spans="1:10">
      <c r="A3" s="144" t="s">
        <v>393</v>
      </c>
      <c r="B3" s="153" t="s">
        <v>394</v>
      </c>
      <c r="C3" s="153"/>
      <c r="D3" s="153"/>
      <c r="E3" s="153"/>
      <c r="F3" s="153"/>
      <c r="G3" s="153"/>
      <c r="H3" s="143"/>
      <c r="I3" s="143"/>
      <c r="J3" s="152"/>
    </row>
    <row r="4" ht="16.5" spans="1:10">
      <c r="A4" s="144" t="s">
        <v>395</v>
      </c>
      <c r="B4" s="154" t="s">
        <v>269</v>
      </c>
      <c r="C4" s="154"/>
      <c r="D4" s="154"/>
      <c r="E4" s="154"/>
      <c r="F4" s="154"/>
      <c r="G4" s="154"/>
      <c r="H4" s="143"/>
      <c r="I4" s="143"/>
      <c r="J4" s="152"/>
    </row>
    <row r="5" ht="16.5" spans="1:10">
      <c r="A5" s="144" t="s">
        <v>396</v>
      </c>
      <c r="B5" s="155">
        <v>1</v>
      </c>
      <c r="C5" s="155"/>
      <c r="D5" s="156">
        <v>2</v>
      </c>
      <c r="E5" s="156"/>
      <c r="F5" s="156"/>
      <c r="G5" s="155">
        <v>3</v>
      </c>
      <c r="H5" s="143"/>
      <c r="I5" s="143"/>
      <c r="J5" s="152"/>
    </row>
    <row r="6" ht="16.5" spans="1:10">
      <c r="A6" s="144" t="s">
        <v>397</v>
      </c>
      <c r="B6" s="157">
        <v>1</v>
      </c>
      <c r="C6" s="157"/>
      <c r="D6" s="157"/>
      <c r="E6" s="157"/>
      <c r="F6" s="157"/>
      <c r="G6" s="158" t="s">
        <v>398</v>
      </c>
      <c r="H6" s="143"/>
      <c r="I6" s="143"/>
      <c r="J6" s="152"/>
    </row>
    <row r="7" ht="16.5" spans="1:10">
      <c r="A7" s="144" t="s">
        <v>399</v>
      </c>
      <c r="B7" s="159" t="s">
        <v>400</v>
      </c>
      <c r="C7" s="159"/>
      <c r="D7" s="159"/>
      <c r="E7" s="159"/>
      <c r="F7" s="159"/>
      <c r="G7" s="160">
        <v>2</v>
      </c>
      <c r="H7" s="143"/>
      <c r="I7" s="143"/>
      <c r="J7" s="152"/>
    </row>
    <row r="8" ht="16.5" spans="1:10">
      <c r="A8" s="144" t="s">
        <v>401</v>
      </c>
      <c r="B8" s="161">
        <v>1</v>
      </c>
      <c r="C8" s="161"/>
      <c r="D8" s="162" t="s">
        <v>402</v>
      </c>
      <c r="E8" s="162"/>
      <c r="F8" s="162"/>
      <c r="G8" s="161"/>
      <c r="H8" s="143"/>
      <c r="I8" s="143"/>
      <c r="J8" s="152"/>
    </row>
    <row r="9" ht="16.5" spans="1:10">
      <c r="A9" s="144" t="s">
        <v>403</v>
      </c>
      <c r="B9" s="148" t="s">
        <v>404</v>
      </c>
      <c r="C9" s="148"/>
      <c r="D9" s="148"/>
      <c r="E9" s="148"/>
      <c r="F9" s="148"/>
      <c r="G9" s="148"/>
      <c r="H9" s="143"/>
      <c r="I9" s="143"/>
      <c r="J9" s="152"/>
    </row>
    <row r="10" ht="16.5" spans="1:10">
      <c r="A10" s="144" t="s">
        <v>405</v>
      </c>
      <c r="B10" s="153">
        <v>1</v>
      </c>
      <c r="C10" s="153"/>
      <c r="D10" s="163" t="s">
        <v>406</v>
      </c>
      <c r="E10" s="153">
        <v>1</v>
      </c>
      <c r="F10" s="163" t="s">
        <v>406</v>
      </c>
      <c r="G10" s="143" t="s">
        <v>407</v>
      </c>
      <c r="H10" s="143"/>
      <c r="I10" s="143"/>
      <c r="J10" s="152"/>
    </row>
    <row r="11" ht="16.5" spans="1:10">
      <c r="A11" s="144" t="s">
        <v>408</v>
      </c>
      <c r="B11" s="154">
        <v>1</v>
      </c>
      <c r="C11" s="154"/>
      <c r="D11" s="154"/>
      <c r="E11" s="154"/>
      <c r="F11" s="154"/>
      <c r="G11" s="154"/>
      <c r="H11" s="143"/>
      <c r="I11" s="143"/>
      <c r="J11" s="152"/>
    </row>
    <row r="12" ht="16.5" spans="1:10">
      <c r="A12" s="144" t="s">
        <v>409</v>
      </c>
      <c r="B12" s="155">
        <v>1</v>
      </c>
      <c r="C12" s="155"/>
      <c r="D12" s="155"/>
      <c r="E12" s="155"/>
      <c r="F12" s="155"/>
      <c r="G12" s="156">
        <v>2</v>
      </c>
      <c r="H12" s="143"/>
      <c r="I12" s="143"/>
      <c r="J12" s="152"/>
    </row>
    <row r="13" s="1" customFormat="1" ht="16.5" spans="1:10">
      <c r="A13" s="144" t="s">
        <v>410</v>
      </c>
      <c r="B13" s="2" t="s">
        <v>407</v>
      </c>
      <c r="C13" s="2"/>
      <c r="D13" s="2"/>
      <c r="E13" s="2"/>
      <c r="F13" s="2"/>
      <c r="G13" s="164" t="s">
        <v>411</v>
      </c>
      <c r="H13" s="1"/>
      <c r="I13" s="1"/>
      <c r="J13" s="165"/>
    </row>
    <row r="14" s="1" customFormat="1" ht="16.5" spans="1:10">
      <c r="A14" s="144" t="s">
        <v>412</v>
      </c>
      <c r="B14" s="166" t="s">
        <v>407</v>
      </c>
      <c r="C14" s="166"/>
      <c r="D14" s="166"/>
      <c r="E14" s="166"/>
      <c r="F14" s="166"/>
      <c r="G14" s="166"/>
      <c r="H14" s="166"/>
      <c r="I14" s="167"/>
      <c r="J14" s="168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C35" sqref="C35"/>
    </sheetView>
  </sheetViews>
  <sheetFormatPr defaultColWidth="8.72727272727273" defaultRowHeight="14"/>
  <cols>
    <col min="1" max="1" width="6.58181818181818" style="115" customWidth="1"/>
    <col min="2" max="2" width="12.4545454545455" style="115" customWidth="1"/>
    <col min="3" max="4" width="8.72727272727273" style="115"/>
    <col min="5" max="5" width="2.06363636363636" style="115" customWidth="1"/>
    <col min="6" max="6" width="6.32727272727273" style="115" customWidth="1"/>
    <col min="7" max="16384" width="8.72727272727273" style="115"/>
  </cols>
  <sheetData>
    <row r="1" s="112" customFormat="1" spans="1:9">
      <c r="A1" s="116" t="s">
        <v>413</v>
      </c>
      <c r="B1" s="117"/>
      <c r="C1" s="112" t="s">
        <v>1</v>
      </c>
      <c r="D1" s="112" t="s">
        <v>2</v>
      </c>
      <c r="E1" s="118" t="s">
        <v>3</v>
      </c>
      <c r="F1" s="119"/>
      <c r="G1" s="112" t="s">
        <v>4</v>
      </c>
      <c r="H1" s="112" t="s">
        <v>5</v>
      </c>
      <c r="I1" s="112" t="s">
        <v>6</v>
      </c>
    </row>
    <row r="2" s="113" customFormat="1" spans="1:9">
      <c r="A2" s="120" t="s">
        <v>414</v>
      </c>
      <c r="B2" s="121" t="s">
        <v>415</v>
      </c>
      <c r="C2" s="122" t="s">
        <v>7</v>
      </c>
      <c r="D2" s="123"/>
      <c r="E2" s="123"/>
      <c r="F2" s="123"/>
      <c r="G2" s="124"/>
    </row>
    <row r="3" s="113" customFormat="1" spans="1:9">
      <c r="A3" s="125"/>
      <c r="B3" s="121" t="s">
        <v>416</v>
      </c>
      <c r="C3" s="122" t="s">
        <v>30</v>
      </c>
      <c r="D3" s="123"/>
      <c r="E3" s="123"/>
      <c r="F3" s="123"/>
      <c r="G3" s="124"/>
    </row>
    <row r="4" s="113" customFormat="1" spans="1:9">
      <c r="A4" s="125"/>
      <c r="B4" s="121"/>
      <c r="C4" s="122" t="s">
        <v>24</v>
      </c>
      <c r="D4" s="123"/>
      <c r="E4" s="123"/>
      <c r="F4" s="123"/>
      <c r="G4" s="124"/>
    </row>
    <row r="5" s="113" customFormat="1" spans="1:9">
      <c r="A5" s="125"/>
      <c r="B5" s="121" t="s">
        <v>417</v>
      </c>
      <c r="C5" s="122" t="s">
        <v>33</v>
      </c>
      <c r="D5" s="123"/>
      <c r="E5" s="123"/>
      <c r="F5" s="123"/>
      <c r="G5" s="124"/>
    </row>
    <row r="6" s="113" customFormat="1" spans="1:9">
      <c r="A6" s="125"/>
      <c r="B6" s="121" t="s">
        <v>418</v>
      </c>
      <c r="C6" s="15" t="s">
        <v>20</v>
      </c>
      <c r="D6" s="126" t="s">
        <v>112</v>
      </c>
      <c r="E6" s="127"/>
      <c r="F6" s="127"/>
      <c r="G6" s="128"/>
    </row>
    <row r="7" s="113" customFormat="1" spans="1:9">
      <c r="A7" s="125"/>
      <c r="B7" s="121"/>
      <c r="C7" s="15" t="s">
        <v>53</v>
      </c>
      <c r="D7" s="113" t="s">
        <v>85</v>
      </c>
      <c r="E7" s="126" t="s">
        <v>99</v>
      </c>
      <c r="F7" s="127"/>
      <c r="G7" s="128"/>
    </row>
    <row r="8" s="113" customFormat="1" spans="1:9">
      <c r="A8" s="125"/>
      <c r="B8" s="121" t="s">
        <v>419</v>
      </c>
      <c r="C8" s="15" t="s">
        <v>15</v>
      </c>
      <c r="D8" s="126" t="s">
        <v>90</v>
      </c>
      <c r="E8" s="127"/>
      <c r="F8" s="127"/>
      <c r="G8" s="128"/>
    </row>
    <row r="9" s="113" customFormat="1" spans="1:9">
      <c r="A9" s="125"/>
      <c r="B9" s="121" t="s">
        <v>420</v>
      </c>
      <c r="C9" s="122" t="s">
        <v>26</v>
      </c>
      <c r="D9" s="123"/>
      <c r="E9" s="123"/>
      <c r="F9" s="123"/>
      <c r="G9" s="124"/>
    </row>
    <row r="10" s="113" customFormat="1" spans="1:9">
      <c r="A10" s="125"/>
      <c r="B10" s="121" t="s">
        <v>421</v>
      </c>
      <c r="C10" s="122" t="s">
        <v>36</v>
      </c>
      <c r="D10" s="123"/>
      <c r="E10" s="123"/>
      <c r="F10" s="123"/>
      <c r="G10" s="124"/>
    </row>
    <row r="11" s="113" customFormat="1" spans="1:9">
      <c r="A11" s="129"/>
      <c r="B11" s="121" t="s">
        <v>422</v>
      </c>
      <c r="C11" s="122" t="s">
        <v>78</v>
      </c>
      <c r="D11" s="123"/>
      <c r="E11" s="123"/>
      <c r="F11" s="123"/>
      <c r="G11" s="124"/>
    </row>
    <row r="12" s="114" customFormat="1" spans="1:9">
      <c r="A12" s="130" t="s">
        <v>423</v>
      </c>
      <c r="B12" s="131" t="s">
        <v>424</v>
      </c>
      <c r="C12" s="132" t="s">
        <v>99</v>
      </c>
      <c r="D12" s="133"/>
      <c r="E12" s="134" t="s">
        <v>20</v>
      </c>
      <c r="F12" s="135"/>
      <c r="G12" s="136"/>
    </row>
    <row r="13" s="114" customFormat="1" spans="1:9">
      <c r="A13" s="137"/>
      <c r="B13" s="131"/>
      <c r="C13" s="132" t="s">
        <v>40</v>
      </c>
      <c r="D13" s="138"/>
      <c r="E13" s="138"/>
      <c r="F13" s="138"/>
      <c r="G13" s="133"/>
    </row>
    <row r="14" s="114" customFormat="1" spans="1:9">
      <c r="A14" s="137"/>
      <c r="B14" s="131" t="s">
        <v>425</v>
      </c>
      <c r="C14" s="132" t="s">
        <v>426</v>
      </c>
      <c r="D14" s="138"/>
      <c r="E14" s="133"/>
      <c r="F14" s="135" t="s">
        <v>36</v>
      </c>
      <c r="G14" s="136"/>
    </row>
    <row r="15" s="114" customFormat="1" spans="1:9">
      <c r="A15" s="137"/>
      <c r="B15" s="131" t="s">
        <v>427</v>
      </c>
      <c r="C15" s="132" t="s">
        <v>10</v>
      </c>
      <c r="D15" s="138"/>
      <c r="E15" s="138"/>
      <c r="F15" s="138"/>
      <c r="G15" s="133"/>
    </row>
    <row r="16" s="114" customFormat="1" spans="1:9">
      <c r="A16" s="137"/>
      <c r="B16" s="131"/>
      <c r="C16" s="132" t="s">
        <v>13</v>
      </c>
      <c r="D16" s="138"/>
      <c r="E16" s="138"/>
      <c r="F16" s="138"/>
      <c r="G16" s="133"/>
    </row>
    <row r="17" s="114" customFormat="1" spans="1:7">
      <c r="A17" s="137"/>
      <c r="B17" s="131" t="s">
        <v>428</v>
      </c>
      <c r="C17" s="132" t="s">
        <v>29</v>
      </c>
      <c r="D17" s="138"/>
      <c r="E17" s="138"/>
      <c r="F17" s="138"/>
      <c r="G17" s="133"/>
    </row>
    <row r="18" s="114" customFormat="1" spans="1:7">
      <c r="A18" s="137"/>
      <c r="B18" s="131" t="s">
        <v>429</v>
      </c>
      <c r="C18" s="132" t="s">
        <v>45</v>
      </c>
      <c r="D18" s="138"/>
      <c r="E18" s="138"/>
      <c r="F18" s="138"/>
      <c r="G18" s="133"/>
    </row>
    <row r="19" s="114" customFormat="1" spans="1:7">
      <c r="A19" s="137"/>
      <c r="B19" s="131" t="s">
        <v>430</v>
      </c>
      <c r="C19" s="132" t="s">
        <v>90</v>
      </c>
      <c r="D19" s="138"/>
      <c r="E19" s="138"/>
      <c r="F19" s="138"/>
      <c r="G19" s="133"/>
    </row>
    <row r="20" s="114" customFormat="1" spans="1:7">
      <c r="A20" s="137"/>
      <c r="B20" s="131" t="s">
        <v>431</v>
      </c>
      <c r="C20" s="132" t="s">
        <v>94</v>
      </c>
      <c r="D20" s="138"/>
      <c r="E20" s="138"/>
      <c r="F20" s="138"/>
      <c r="G20" s="133"/>
    </row>
    <row r="21" s="114" customFormat="1" spans="1:7">
      <c r="A21" s="137"/>
      <c r="B21" s="131" t="s">
        <v>432</v>
      </c>
      <c r="C21" s="139"/>
      <c r="D21" s="140"/>
      <c r="E21" s="134" t="s">
        <v>27</v>
      </c>
      <c r="F21" s="135"/>
      <c r="G21" s="136"/>
    </row>
    <row r="22" s="114" customFormat="1" spans="1:7">
      <c r="A22" s="141"/>
      <c r="B22" s="131" t="s">
        <v>433</v>
      </c>
      <c r="C22" s="139"/>
      <c r="D22" s="142"/>
      <c r="E22" s="142"/>
      <c r="F22" s="142"/>
      <c r="G22" s="140"/>
    </row>
  </sheetData>
  <mergeCells count="32">
    <mergeCell ref="A1:B1"/>
    <mergeCell ref="E1:F1"/>
    <mergeCell ref="C2:G2"/>
    <mergeCell ref="C3:G3"/>
    <mergeCell ref="C4:G4"/>
    <mergeCell ref="C5:G5"/>
    <mergeCell ref="D6:G6"/>
    <mergeCell ref="E7:G7"/>
    <mergeCell ref="D8:G8"/>
    <mergeCell ref="C9:G9"/>
    <mergeCell ref="C10:G10"/>
    <mergeCell ref="C11:G11"/>
    <mergeCell ref="C12:D12"/>
    <mergeCell ref="E12:G12"/>
    <mergeCell ref="C13:G13"/>
    <mergeCell ref="C14:E14"/>
    <mergeCell ref="F14:G14"/>
    <mergeCell ref="C15:G15"/>
    <mergeCell ref="C16:G16"/>
    <mergeCell ref="C17:G17"/>
    <mergeCell ref="C18:G18"/>
    <mergeCell ref="C19:G19"/>
    <mergeCell ref="C20:G20"/>
    <mergeCell ref="C21:D21"/>
    <mergeCell ref="E21:G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41"/>
  <sheetViews>
    <sheetView topLeftCell="A21" workbookViewId="0">
      <selection activeCell="F44" sqref="F44"/>
    </sheetView>
  </sheetViews>
  <sheetFormatPr defaultColWidth="8.72727272727273" defaultRowHeight="19" customHeight="1"/>
  <cols>
    <col min="1" max="1" width="8.72727272727273" style="92"/>
    <col min="2" max="9" width="10.3272727272727" style="92" customWidth="1"/>
    <col min="10" max="16384" width="8.72727272727273" style="92"/>
  </cols>
  <sheetData>
    <row r="1" s="91" customFormat="1" customHeight="1" spans="1:16">
      <c r="A1" s="93" t="s">
        <v>434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</row>
    <row r="2" s="92" customFormat="1" customHeight="1" spans="1:16">
      <c r="A2" s="95" t="s">
        <v>435</v>
      </c>
      <c r="B2" s="96"/>
      <c r="C2" s="97"/>
      <c r="D2" s="98" t="s">
        <v>45</v>
      </c>
      <c r="E2" s="98" t="s">
        <v>116</v>
      </c>
      <c r="F2" s="99"/>
      <c r="G2" s="99"/>
      <c r="H2" s="100"/>
      <c r="I2" s="100"/>
    </row>
    <row r="3" s="92" customFormat="1" customHeight="1" spans="1:16">
      <c r="A3" s="101"/>
      <c r="B3" s="97" t="s">
        <v>35</v>
      </c>
      <c r="C3" s="97" t="s">
        <v>45</v>
      </c>
      <c r="D3" s="98" t="s">
        <v>29</v>
      </c>
      <c r="E3" s="98" t="s">
        <v>7</v>
      </c>
      <c r="F3" s="99" t="s">
        <v>72</v>
      </c>
      <c r="G3" s="99" t="s">
        <v>85</v>
      </c>
      <c r="H3" s="100" t="s">
        <v>116</v>
      </c>
      <c r="I3" s="100" t="s">
        <v>99</v>
      </c>
    </row>
    <row r="4" s="92" customFormat="1" customHeight="1" spans="1:16">
      <c r="A4" s="101"/>
      <c r="B4" s="97" t="s">
        <v>40</v>
      </c>
      <c r="C4" s="97" t="s">
        <v>38</v>
      </c>
      <c r="D4" s="98" t="s">
        <v>127</v>
      </c>
      <c r="E4" s="98" t="s">
        <v>88</v>
      </c>
      <c r="F4" s="99" t="s">
        <v>20</v>
      </c>
      <c r="G4" s="99" t="s">
        <v>63</v>
      </c>
      <c r="H4" s="100" t="s">
        <v>52</v>
      </c>
      <c r="I4" s="100" t="s">
        <v>31</v>
      </c>
    </row>
    <row r="5" s="92" customFormat="1" customHeight="1" spans="1:16">
      <c r="A5" s="101"/>
      <c r="B5" s="97" t="s">
        <v>79</v>
      </c>
      <c r="C5" s="97" t="s">
        <v>30</v>
      </c>
      <c r="D5" s="98" t="s">
        <v>42</v>
      </c>
      <c r="E5" s="98" t="s">
        <v>82</v>
      </c>
      <c r="F5" s="99" t="s">
        <v>78</v>
      </c>
      <c r="G5" s="99" t="s">
        <v>27</v>
      </c>
      <c r="H5" s="100" t="s">
        <v>36</v>
      </c>
      <c r="I5" s="100" t="s">
        <v>117</v>
      </c>
    </row>
    <row r="6" s="92" customFormat="1" customHeight="1" spans="1:16">
      <c r="A6" s="101"/>
      <c r="B6" s="97" t="s">
        <v>24</v>
      </c>
      <c r="C6" s="97" t="s">
        <v>81</v>
      </c>
      <c r="D6" s="98" t="s">
        <v>10</v>
      </c>
      <c r="E6" s="98" t="s">
        <v>80</v>
      </c>
      <c r="F6" s="99" t="s">
        <v>94</v>
      </c>
      <c r="G6" s="99" t="s">
        <v>125</v>
      </c>
      <c r="H6" s="100" t="s">
        <v>67</v>
      </c>
      <c r="I6" s="100" t="s">
        <v>18</v>
      </c>
    </row>
    <row r="7" s="92" customFormat="1" customHeight="1" spans="1:16">
      <c r="A7" s="101"/>
      <c r="B7" s="97" t="s">
        <v>110</v>
      </c>
      <c r="C7" s="97" t="s">
        <v>33</v>
      </c>
      <c r="D7" s="98" t="s">
        <v>64</v>
      </c>
      <c r="E7" s="98" t="s">
        <v>13</v>
      </c>
      <c r="F7" s="99" t="s">
        <v>106</v>
      </c>
      <c r="G7" s="99" t="s">
        <v>53</v>
      </c>
      <c r="H7" s="100" t="s">
        <v>83</v>
      </c>
      <c r="I7" s="100" t="s">
        <v>107</v>
      </c>
    </row>
    <row r="8" s="92" customFormat="1" customHeight="1" spans="1:16">
      <c r="A8" s="101"/>
      <c r="B8" s="97" t="s">
        <v>123</v>
      </c>
      <c r="C8" s="97" t="s">
        <v>62</v>
      </c>
      <c r="D8" s="98" t="s">
        <v>75</v>
      </c>
      <c r="E8" s="98" t="s">
        <v>112</v>
      </c>
      <c r="F8" s="99" t="s">
        <v>48</v>
      </c>
      <c r="G8" s="99" t="s">
        <v>119</v>
      </c>
      <c r="H8" s="100" t="s">
        <v>57</v>
      </c>
      <c r="I8" s="100" t="s">
        <v>90</v>
      </c>
    </row>
    <row r="9" s="92" customFormat="1" customHeight="1" spans="1:16">
      <c r="A9" s="102"/>
      <c r="B9" s="103"/>
      <c r="C9" s="104"/>
      <c r="D9" s="105" t="s">
        <v>128</v>
      </c>
      <c r="E9" s="106"/>
      <c r="F9" s="107"/>
      <c r="G9" s="107"/>
      <c r="H9" s="107"/>
      <c r="I9" s="108"/>
    </row>
    <row r="10" s="92" customFormat="1" customHeight="1" spans="1:16">
      <c r="A10" s="95" t="s">
        <v>436</v>
      </c>
      <c r="B10" s="96"/>
      <c r="C10" s="97"/>
      <c r="D10" s="98" t="s">
        <v>45</v>
      </c>
      <c r="E10" s="98" t="s">
        <v>116</v>
      </c>
      <c r="F10" s="99"/>
      <c r="G10" s="99"/>
      <c r="H10" s="100"/>
      <c r="I10" s="100"/>
    </row>
    <row r="11" s="92" customFormat="1" customHeight="1" spans="1:16">
      <c r="A11" s="101"/>
      <c r="B11" s="97" t="s">
        <v>52</v>
      </c>
      <c r="C11" s="97" t="s">
        <v>99</v>
      </c>
      <c r="D11" s="98" t="s">
        <v>63</v>
      </c>
      <c r="E11" s="98" t="s">
        <v>127</v>
      </c>
      <c r="F11" s="99" t="s">
        <v>15</v>
      </c>
      <c r="G11" s="99" t="s">
        <v>85</v>
      </c>
      <c r="H11" s="100" t="s">
        <v>35</v>
      </c>
      <c r="I11" s="100" t="s">
        <v>26</v>
      </c>
    </row>
    <row r="12" s="92" customFormat="1" customHeight="1" spans="1:16">
      <c r="A12" s="101"/>
      <c r="B12" s="97" t="s">
        <v>88</v>
      </c>
      <c r="C12" s="97" t="s">
        <v>31</v>
      </c>
      <c r="D12" s="98" t="s">
        <v>7</v>
      </c>
      <c r="E12" s="98" t="s">
        <v>29</v>
      </c>
      <c r="F12" s="99" t="s">
        <v>20</v>
      </c>
      <c r="G12" s="99" t="s">
        <v>72</v>
      </c>
      <c r="H12" s="100" t="s">
        <v>40</v>
      </c>
      <c r="I12" s="100" t="s">
        <v>38</v>
      </c>
    </row>
    <row r="13" s="92" customFormat="1" customHeight="1" spans="1:16">
      <c r="A13" s="101"/>
      <c r="B13" s="97" t="s">
        <v>79</v>
      </c>
      <c r="C13" s="97" t="s">
        <v>42</v>
      </c>
      <c r="D13" s="98" t="s">
        <v>36</v>
      </c>
      <c r="E13" s="98" t="s">
        <v>117</v>
      </c>
      <c r="F13" s="99" t="s">
        <v>125</v>
      </c>
      <c r="G13" s="99" t="s">
        <v>80</v>
      </c>
      <c r="H13" s="100" t="s">
        <v>82</v>
      </c>
      <c r="I13" s="100" t="s">
        <v>30</v>
      </c>
    </row>
    <row r="14" s="92" customFormat="1" customHeight="1" spans="1:16">
      <c r="A14" s="101"/>
      <c r="B14" s="97" t="s">
        <v>24</v>
      </c>
      <c r="C14" s="97" t="s">
        <v>81</v>
      </c>
      <c r="D14" s="98" t="s">
        <v>10</v>
      </c>
      <c r="E14" s="98" t="s">
        <v>67</v>
      </c>
      <c r="F14" s="99" t="s">
        <v>27</v>
      </c>
      <c r="G14" s="99" t="s">
        <v>78</v>
      </c>
      <c r="H14" s="100" t="s">
        <v>18</v>
      </c>
      <c r="I14" s="100" t="s">
        <v>94</v>
      </c>
    </row>
    <row r="15" s="92" customFormat="1" customHeight="1" spans="1:16">
      <c r="A15" s="101"/>
      <c r="B15" s="97" t="s">
        <v>33</v>
      </c>
      <c r="C15" s="97" t="s">
        <v>110</v>
      </c>
      <c r="D15" s="98" t="s">
        <v>107</v>
      </c>
      <c r="E15" s="98" t="s">
        <v>106</v>
      </c>
      <c r="F15" s="99" t="s">
        <v>13</v>
      </c>
      <c r="G15" s="99" t="s">
        <v>53</v>
      </c>
      <c r="H15" s="100" t="s">
        <v>83</v>
      </c>
      <c r="I15" s="100" t="s">
        <v>64</v>
      </c>
    </row>
    <row r="16" s="92" customFormat="1" customHeight="1" spans="1:16">
      <c r="A16" s="101"/>
      <c r="B16" s="97" t="s">
        <v>123</v>
      </c>
      <c r="C16" s="97" t="s">
        <v>62</v>
      </c>
      <c r="D16" s="98" t="s">
        <v>119</v>
      </c>
      <c r="E16" s="98" t="s">
        <v>112</v>
      </c>
      <c r="F16" s="99" t="s">
        <v>48</v>
      </c>
      <c r="G16" s="99" t="s">
        <v>75</v>
      </c>
      <c r="H16" s="100" t="s">
        <v>128</v>
      </c>
      <c r="I16" s="100" t="s">
        <v>90</v>
      </c>
    </row>
    <row r="17" s="92" customFormat="1" customHeight="1" spans="1:9">
      <c r="A17" s="102"/>
      <c r="B17" s="103"/>
      <c r="C17" s="104"/>
      <c r="D17" s="105" t="s">
        <v>57</v>
      </c>
      <c r="E17" s="106"/>
      <c r="F17" s="107"/>
      <c r="G17" s="107"/>
      <c r="H17" s="107"/>
      <c r="I17" s="108"/>
    </row>
    <row r="18" s="92" customFormat="1" customHeight="1" spans="1:9">
      <c r="A18" s="95" t="s">
        <v>437</v>
      </c>
      <c r="B18" s="96"/>
      <c r="C18" s="97"/>
      <c r="D18" s="98" t="s">
        <v>45</v>
      </c>
      <c r="E18" s="98"/>
      <c r="F18" s="99" t="s">
        <v>116</v>
      </c>
      <c r="G18" s="99"/>
      <c r="H18" s="100"/>
      <c r="I18" s="100"/>
    </row>
    <row r="19" s="92" customFormat="1" customHeight="1" spans="1:9">
      <c r="A19" s="101"/>
      <c r="B19" s="109" t="s">
        <v>26</v>
      </c>
      <c r="C19" s="97" t="s">
        <v>35</v>
      </c>
      <c r="D19" s="98" t="s">
        <v>127</v>
      </c>
      <c r="E19" s="98" t="s">
        <v>85</v>
      </c>
      <c r="F19" s="99" t="s">
        <v>52</v>
      </c>
      <c r="G19" s="99" t="s">
        <v>99</v>
      </c>
      <c r="H19" s="100" t="s">
        <v>15</v>
      </c>
      <c r="I19" s="100" t="s">
        <v>63</v>
      </c>
    </row>
    <row r="20" s="92" customFormat="1" customHeight="1" spans="1:9">
      <c r="A20" s="101"/>
      <c r="B20" s="97" t="s">
        <v>72</v>
      </c>
      <c r="C20" s="97" t="s">
        <v>29</v>
      </c>
      <c r="D20" s="98" t="s">
        <v>88</v>
      </c>
      <c r="E20" s="98" t="s">
        <v>31</v>
      </c>
      <c r="F20" s="99" t="s">
        <v>38</v>
      </c>
      <c r="G20" s="99" t="s">
        <v>42</v>
      </c>
      <c r="H20" s="100" t="s">
        <v>40</v>
      </c>
      <c r="I20" s="100" t="s">
        <v>7</v>
      </c>
    </row>
    <row r="21" s="92" customFormat="1" customHeight="1" spans="1:9">
      <c r="A21" s="101"/>
      <c r="B21" s="97" t="s">
        <v>82</v>
      </c>
      <c r="C21" s="97" t="s">
        <v>79</v>
      </c>
      <c r="D21" s="98" t="s">
        <v>78</v>
      </c>
      <c r="E21" s="98" t="s">
        <v>36</v>
      </c>
      <c r="F21" s="99" t="s">
        <v>27</v>
      </c>
      <c r="G21" s="99" t="s">
        <v>20</v>
      </c>
      <c r="H21" s="100" t="s">
        <v>83</v>
      </c>
      <c r="I21" s="100" t="s">
        <v>30</v>
      </c>
    </row>
    <row r="22" s="92" customFormat="1" customHeight="1" spans="1:9">
      <c r="A22" s="101"/>
      <c r="B22" s="97" t="s">
        <v>24</v>
      </c>
      <c r="C22" s="97" t="s">
        <v>94</v>
      </c>
      <c r="D22" s="98" t="s">
        <v>80</v>
      </c>
      <c r="E22" s="98" t="s">
        <v>67</v>
      </c>
      <c r="F22" s="99" t="s">
        <v>125</v>
      </c>
      <c r="G22" s="99" t="s">
        <v>106</v>
      </c>
      <c r="H22" s="100" t="s">
        <v>18</v>
      </c>
      <c r="I22" s="100" t="s">
        <v>13</v>
      </c>
    </row>
    <row r="23" s="92" customFormat="1" customHeight="1" spans="1:9">
      <c r="A23" s="101"/>
      <c r="B23" s="97" t="s">
        <v>64</v>
      </c>
      <c r="C23" s="97" t="s">
        <v>110</v>
      </c>
      <c r="D23" s="98" t="s">
        <v>81</v>
      </c>
      <c r="E23" s="98" t="s">
        <v>33</v>
      </c>
      <c r="F23" s="99" t="s">
        <v>112</v>
      </c>
      <c r="G23" s="99" t="s">
        <v>10</v>
      </c>
      <c r="H23" s="100" t="s">
        <v>53</v>
      </c>
      <c r="I23" s="100" t="s">
        <v>48</v>
      </c>
    </row>
    <row r="24" s="92" customFormat="1" customHeight="1" spans="1:9">
      <c r="A24" s="101"/>
      <c r="B24" s="97" t="s">
        <v>119</v>
      </c>
      <c r="C24" s="97" t="s">
        <v>90</v>
      </c>
      <c r="D24" s="98" t="s">
        <v>75</v>
      </c>
      <c r="E24" s="98" t="s">
        <v>62</v>
      </c>
      <c r="F24" s="99" t="s">
        <v>81</v>
      </c>
      <c r="G24" s="99" t="s">
        <v>107</v>
      </c>
      <c r="H24" s="100" t="s">
        <v>123</v>
      </c>
      <c r="I24" s="100" t="s">
        <v>48</v>
      </c>
    </row>
    <row r="25" s="92" customFormat="1" customHeight="1" spans="1:9">
      <c r="A25" s="102"/>
      <c r="B25" s="110"/>
      <c r="C25" s="111"/>
      <c r="D25" s="105" t="s">
        <v>128</v>
      </c>
      <c r="E25" s="106"/>
      <c r="F25" s="107"/>
      <c r="G25" s="107"/>
      <c r="H25" s="107"/>
      <c r="I25" s="108"/>
    </row>
    <row r="26" customHeight="1" spans="1:9">
      <c r="A26" s="95" t="s">
        <v>438</v>
      </c>
      <c r="B26" s="96"/>
      <c r="C26" s="97"/>
      <c r="D26" s="98"/>
      <c r="E26" s="98"/>
      <c r="F26" s="99"/>
      <c r="G26" s="99"/>
      <c r="H26" s="100" t="s">
        <v>81</v>
      </c>
      <c r="I26" s="100"/>
    </row>
    <row r="27" customHeight="1" spans="1:9">
      <c r="A27" s="101"/>
      <c r="B27" s="109" t="s">
        <v>15</v>
      </c>
      <c r="C27" s="97" t="s">
        <v>35</v>
      </c>
      <c r="D27" s="98" t="s">
        <v>26</v>
      </c>
      <c r="E27" s="98" t="s">
        <v>38</v>
      </c>
      <c r="F27" s="99" t="s">
        <v>116</v>
      </c>
      <c r="G27" s="99" t="s">
        <v>85</v>
      </c>
      <c r="H27" s="100" t="s">
        <v>127</v>
      </c>
      <c r="I27" s="100" t="s">
        <v>52</v>
      </c>
    </row>
    <row r="28" customHeight="1" spans="1:9">
      <c r="A28" s="101"/>
      <c r="B28" s="97" t="s">
        <v>40</v>
      </c>
      <c r="C28" s="97" t="s">
        <v>7</v>
      </c>
      <c r="D28" s="98" t="s">
        <v>72</v>
      </c>
      <c r="E28" s="98" t="s">
        <v>29</v>
      </c>
      <c r="F28" s="99" t="s">
        <v>80</v>
      </c>
      <c r="G28" s="99" t="s">
        <v>82</v>
      </c>
      <c r="H28" s="100" t="s">
        <v>63</v>
      </c>
      <c r="I28" s="100" t="s">
        <v>45</v>
      </c>
    </row>
    <row r="29" customHeight="1" spans="1:9">
      <c r="A29" s="101"/>
      <c r="B29" s="97" t="s">
        <v>83</v>
      </c>
      <c r="C29" s="97" t="s">
        <v>57</v>
      </c>
      <c r="D29" s="98" t="s">
        <v>125</v>
      </c>
      <c r="E29" s="98" t="s">
        <v>79</v>
      </c>
      <c r="F29" s="99" t="s">
        <v>31</v>
      </c>
      <c r="G29" s="99" t="s">
        <v>36</v>
      </c>
      <c r="H29" s="100" t="s">
        <v>27</v>
      </c>
      <c r="I29" s="100" t="s">
        <v>30</v>
      </c>
    </row>
    <row r="30" customHeight="1" spans="1:9">
      <c r="A30" s="101"/>
      <c r="B30" s="97" t="s">
        <v>48</v>
      </c>
      <c r="C30" s="97" t="s">
        <v>20</v>
      </c>
      <c r="D30" s="98" t="s">
        <v>94</v>
      </c>
      <c r="E30" s="98" t="s">
        <v>78</v>
      </c>
      <c r="F30" s="99" t="s">
        <v>67</v>
      </c>
      <c r="G30" s="99" t="s">
        <v>18</v>
      </c>
      <c r="H30" s="100" t="s">
        <v>117</v>
      </c>
      <c r="I30" s="100" t="s">
        <v>24</v>
      </c>
    </row>
    <row r="31" customHeight="1" spans="1:9">
      <c r="A31" s="101"/>
      <c r="B31" s="97" t="s">
        <v>119</v>
      </c>
      <c r="C31" s="97" t="s">
        <v>53</v>
      </c>
      <c r="D31" s="98" t="s">
        <v>10</v>
      </c>
      <c r="E31" s="98" t="s">
        <v>64</v>
      </c>
      <c r="F31" s="99" t="s">
        <v>75</v>
      </c>
      <c r="G31" s="99" t="s">
        <v>33</v>
      </c>
      <c r="H31" s="100" t="s">
        <v>42</v>
      </c>
      <c r="I31" s="100" t="s">
        <v>106</v>
      </c>
    </row>
    <row r="32" customHeight="1" spans="1:9">
      <c r="A32" s="101"/>
      <c r="B32" s="97" t="s">
        <v>110</v>
      </c>
      <c r="C32" s="97" t="s">
        <v>107</v>
      </c>
      <c r="D32" s="98" t="s">
        <v>123</v>
      </c>
      <c r="E32" s="98" t="s">
        <v>99</v>
      </c>
      <c r="F32" s="99" t="s">
        <v>13</v>
      </c>
      <c r="G32" s="99" t="s">
        <v>90</v>
      </c>
      <c r="H32" s="100" t="s">
        <v>62</v>
      </c>
      <c r="I32" s="100" t="s">
        <v>112</v>
      </c>
    </row>
    <row r="33" customHeight="1" spans="1:9">
      <c r="A33" s="102"/>
      <c r="B33" s="110"/>
      <c r="C33" s="111"/>
      <c r="D33" s="105" t="s">
        <v>128</v>
      </c>
      <c r="E33" s="106"/>
      <c r="F33" s="107"/>
      <c r="G33" s="107"/>
      <c r="H33" s="107"/>
      <c r="I33" s="108"/>
    </row>
    <row r="34" customHeight="1" spans="1:9">
      <c r="A34" s="95" t="s">
        <v>439</v>
      </c>
      <c r="B34" s="96"/>
      <c r="C34" s="97"/>
      <c r="D34" s="98"/>
      <c r="E34" s="98"/>
      <c r="F34" s="99" t="s">
        <v>81</v>
      </c>
      <c r="G34" s="99" t="s">
        <v>57</v>
      </c>
      <c r="H34" s="100"/>
      <c r="I34" s="100"/>
    </row>
    <row r="35" customHeight="1" spans="1:9">
      <c r="A35" s="101"/>
      <c r="B35" s="109" t="s">
        <v>80</v>
      </c>
      <c r="C35" s="97" t="s">
        <v>127</v>
      </c>
      <c r="D35" s="98" t="s">
        <v>45</v>
      </c>
      <c r="E35" s="98" t="s">
        <v>26</v>
      </c>
      <c r="F35" s="99" t="s">
        <v>38</v>
      </c>
      <c r="G35" s="99" t="s">
        <v>15</v>
      </c>
      <c r="H35" s="100" t="s">
        <v>116</v>
      </c>
      <c r="I35" s="100" t="s">
        <v>63</v>
      </c>
    </row>
    <row r="36" customHeight="1" spans="1:9">
      <c r="A36" s="101"/>
      <c r="B36" s="97" t="s">
        <v>117</v>
      </c>
      <c r="C36" s="97" t="s">
        <v>125</v>
      </c>
      <c r="D36" s="98" t="s">
        <v>82</v>
      </c>
      <c r="E36" s="98" t="s">
        <v>52</v>
      </c>
      <c r="F36" s="99" t="s">
        <v>85</v>
      </c>
      <c r="G36" s="99" t="s">
        <v>35</v>
      </c>
      <c r="H36" s="100" t="s">
        <v>40</v>
      </c>
      <c r="I36" s="100" t="s">
        <v>72</v>
      </c>
    </row>
    <row r="37" customHeight="1" spans="1:9">
      <c r="A37" s="101"/>
      <c r="B37" s="97" t="s">
        <v>31</v>
      </c>
      <c r="C37" s="97" t="s">
        <v>29</v>
      </c>
      <c r="D37" s="98" t="s">
        <v>83</v>
      </c>
      <c r="E37" s="98" t="s">
        <v>79</v>
      </c>
      <c r="F37" s="99" t="s">
        <v>7</v>
      </c>
      <c r="G37" s="99" t="s">
        <v>30</v>
      </c>
      <c r="H37" s="100" t="s">
        <v>94</v>
      </c>
      <c r="I37" s="100" t="s">
        <v>36</v>
      </c>
    </row>
    <row r="38" customHeight="1" spans="1:9">
      <c r="A38" s="101"/>
      <c r="B38" s="97" t="s">
        <v>67</v>
      </c>
      <c r="C38" s="97" t="s">
        <v>20</v>
      </c>
      <c r="D38" s="98" t="s">
        <v>27</v>
      </c>
      <c r="E38" s="98" t="s">
        <v>42</v>
      </c>
      <c r="F38" s="99" t="s">
        <v>48</v>
      </c>
      <c r="G38" s="99" t="s">
        <v>78</v>
      </c>
      <c r="H38" s="100" t="s">
        <v>106</v>
      </c>
      <c r="I38" s="100" t="s">
        <v>10</v>
      </c>
    </row>
    <row r="39" customHeight="1" spans="1:9">
      <c r="A39" s="101"/>
      <c r="B39" s="97" t="s">
        <v>107</v>
      </c>
      <c r="C39" s="97" t="s">
        <v>119</v>
      </c>
      <c r="D39" s="98" t="s">
        <v>64</v>
      </c>
      <c r="E39" s="98" t="s">
        <v>18</v>
      </c>
      <c r="F39" s="99" t="s">
        <v>112</v>
      </c>
      <c r="G39" s="99" t="s">
        <v>13</v>
      </c>
      <c r="H39" s="100" t="s">
        <v>24</v>
      </c>
      <c r="I39" s="100" t="s">
        <v>53</v>
      </c>
    </row>
    <row r="40" customHeight="1" spans="1:9">
      <c r="A40" s="101"/>
      <c r="B40" s="97" t="s">
        <v>99</v>
      </c>
      <c r="C40" s="97" t="s">
        <v>110</v>
      </c>
      <c r="D40" s="98" t="s">
        <v>90</v>
      </c>
      <c r="E40" s="98" t="s">
        <v>123</v>
      </c>
      <c r="F40" s="99" t="s">
        <v>128</v>
      </c>
      <c r="G40" s="99" t="s">
        <v>62</v>
      </c>
      <c r="H40" s="100" t="s">
        <v>33</v>
      </c>
      <c r="I40" s="100" t="s">
        <v>75</v>
      </c>
    </row>
    <row r="41" customHeight="1" spans="1:9">
      <c r="A41" s="102"/>
      <c r="B41" s="110"/>
      <c r="C41" s="111"/>
      <c r="D41" s="105"/>
      <c r="E41" s="106"/>
      <c r="F41" s="107"/>
      <c r="G41" s="107"/>
      <c r="H41" s="107"/>
      <c r="I41" s="10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440</v>
      </c>
      <c r="B1" s="83" t="s">
        <v>441</v>
      </c>
      <c r="C1" s="84" t="s">
        <v>218</v>
      </c>
    </row>
    <row r="2" spans="1:3">
      <c r="A2" s="85" t="s">
        <v>1</v>
      </c>
      <c r="B2" s="80" t="s">
        <v>442</v>
      </c>
      <c r="C2" s="81" t="s">
        <v>443</v>
      </c>
    </row>
    <row r="3" spans="1:3">
      <c r="A3" s="85"/>
      <c r="B3" s="80" t="s">
        <v>444</v>
      </c>
      <c r="C3" s="81" t="s">
        <v>445</v>
      </c>
    </row>
    <row r="4" spans="1:3">
      <c r="A4" s="85"/>
      <c r="B4" s="80" t="s">
        <v>446</v>
      </c>
      <c r="C4" s="81" t="s">
        <v>447</v>
      </c>
    </row>
    <row r="5" spans="1:3">
      <c r="A5" s="85"/>
      <c r="B5" s="80" t="s">
        <v>448</v>
      </c>
      <c r="C5" s="81" t="s">
        <v>449</v>
      </c>
    </row>
    <row r="6" spans="1:3">
      <c r="A6" s="85"/>
      <c r="B6" s="80" t="s">
        <v>450</v>
      </c>
      <c r="C6" s="81" t="s">
        <v>451</v>
      </c>
    </row>
    <row r="7" spans="1:3">
      <c r="A7" s="85"/>
      <c r="B7" s="80" t="s">
        <v>452</v>
      </c>
      <c r="C7" s="81" t="s">
        <v>453</v>
      </c>
    </row>
    <row r="8" spans="1:3">
      <c r="A8" s="85"/>
      <c r="B8" s="80" t="s">
        <v>454</v>
      </c>
      <c r="C8" s="81" t="s">
        <v>455</v>
      </c>
    </row>
    <row r="9" spans="1:3">
      <c r="A9" s="85"/>
      <c r="B9" s="80" t="s">
        <v>456</v>
      </c>
      <c r="C9" s="81" t="s">
        <v>457</v>
      </c>
    </row>
    <row r="10" spans="1:3">
      <c r="A10" s="85"/>
      <c r="B10" s="80" t="s">
        <v>458</v>
      </c>
      <c r="C10" s="81" t="s">
        <v>459</v>
      </c>
    </row>
    <row r="11" spans="1:3">
      <c r="A11" s="85"/>
      <c r="B11" s="80" t="s">
        <v>460</v>
      </c>
      <c r="C11" s="81" t="s">
        <v>461</v>
      </c>
    </row>
    <row r="12" spans="1:3">
      <c r="A12" s="85"/>
      <c r="B12" s="80" t="s">
        <v>462</v>
      </c>
      <c r="C12" s="81" t="s">
        <v>463</v>
      </c>
    </row>
    <row r="13" spans="1:3">
      <c r="A13" s="85"/>
      <c r="B13" s="80" t="s">
        <v>464</v>
      </c>
      <c r="C13" s="81" t="s">
        <v>465</v>
      </c>
    </row>
    <row r="14" spans="1:3">
      <c r="A14" s="85"/>
      <c r="B14" s="80" t="s">
        <v>466</v>
      </c>
      <c r="C14" s="81" t="s">
        <v>467</v>
      </c>
    </row>
    <row r="15" spans="1:3">
      <c r="A15" s="85"/>
      <c r="B15" s="80" t="s">
        <v>468</v>
      </c>
      <c r="C15" s="81" t="s">
        <v>469</v>
      </c>
    </row>
    <row r="16" spans="1:3">
      <c r="A16" s="85"/>
      <c r="B16" s="80" t="s">
        <v>470</v>
      </c>
      <c r="C16" s="81" t="s">
        <v>471</v>
      </c>
    </row>
    <row r="17" spans="1:3">
      <c r="A17" s="85"/>
      <c r="B17" s="80" t="s">
        <v>472</v>
      </c>
      <c r="C17" s="81" t="s">
        <v>473</v>
      </c>
    </row>
    <row r="18" spans="1:3">
      <c r="A18" s="85"/>
      <c r="B18" s="80" t="s">
        <v>474</v>
      </c>
      <c r="C18" s="81" t="s">
        <v>475</v>
      </c>
    </row>
    <row r="19" spans="1:3">
      <c r="A19" s="85"/>
      <c r="B19" s="80" t="s">
        <v>476</v>
      </c>
      <c r="C19" s="81" t="s">
        <v>477</v>
      </c>
    </row>
    <row r="20" spans="1:3">
      <c r="A20" s="85"/>
      <c r="B20" s="80" t="s">
        <v>478</v>
      </c>
      <c r="C20" s="81" t="s">
        <v>479</v>
      </c>
    </row>
    <row r="21" spans="1:3">
      <c r="A21" s="85"/>
      <c r="B21" s="80" t="s">
        <v>478</v>
      </c>
      <c r="C21" s="81" t="s">
        <v>480</v>
      </c>
    </row>
    <row r="22" spans="1:3">
      <c r="A22" s="85"/>
      <c r="B22" s="80" t="s">
        <v>481</v>
      </c>
      <c r="C22" s="81" t="s">
        <v>482</v>
      </c>
    </row>
    <row r="23" spans="1:3">
      <c r="A23" s="85"/>
      <c r="B23" s="80" t="s">
        <v>483</v>
      </c>
      <c r="C23" s="81" t="s">
        <v>484</v>
      </c>
    </row>
    <row r="24" spans="1:3">
      <c r="A24" s="85"/>
      <c r="B24" s="80" t="s">
        <v>485</v>
      </c>
      <c r="C24" s="81" t="s">
        <v>486</v>
      </c>
    </row>
    <row r="25" spans="1:3">
      <c r="A25" s="86" t="s">
        <v>2</v>
      </c>
      <c r="B25" s="80" t="s">
        <v>487</v>
      </c>
      <c r="C25" s="81" t="s">
        <v>488</v>
      </c>
    </row>
    <row r="26" spans="1:3">
      <c r="A26" s="86"/>
      <c r="B26" s="80" t="s">
        <v>489</v>
      </c>
      <c r="C26" s="81" t="s">
        <v>490</v>
      </c>
    </row>
    <row r="27" spans="1:3">
      <c r="A27" s="86"/>
      <c r="B27" s="80" t="s">
        <v>491</v>
      </c>
      <c r="C27" s="81" t="s">
        <v>492</v>
      </c>
    </row>
    <row r="28" spans="1:3">
      <c r="A28" s="86"/>
      <c r="B28" s="80" t="s">
        <v>493</v>
      </c>
      <c r="C28" s="81" t="s">
        <v>494</v>
      </c>
    </row>
    <row r="29" spans="1:3">
      <c r="A29" s="86"/>
      <c r="B29" s="80" t="s">
        <v>495</v>
      </c>
      <c r="C29" s="81" t="s">
        <v>496</v>
      </c>
    </row>
    <row r="30" spans="1:3">
      <c r="A30" s="86"/>
      <c r="B30" s="80" t="s">
        <v>497</v>
      </c>
      <c r="C30" s="81" t="s">
        <v>498</v>
      </c>
    </row>
    <row r="31" spans="1:3">
      <c r="A31" s="86"/>
      <c r="B31" s="80" t="s">
        <v>499</v>
      </c>
      <c r="C31" s="81" t="s">
        <v>500</v>
      </c>
    </row>
    <row r="32" spans="1:3">
      <c r="A32" s="86"/>
      <c r="B32" s="80" t="s">
        <v>501</v>
      </c>
      <c r="C32" s="81" t="s">
        <v>502</v>
      </c>
    </row>
    <row r="33" spans="1:3">
      <c r="A33" s="86"/>
      <c r="B33" s="80" t="s">
        <v>503</v>
      </c>
      <c r="C33" s="81" t="s">
        <v>504</v>
      </c>
    </row>
    <row r="34" spans="1:3">
      <c r="A34" s="86"/>
      <c r="B34" s="80" t="s">
        <v>505</v>
      </c>
      <c r="C34" s="81" t="s">
        <v>506</v>
      </c>
    </row>
    <row r="35" spans="1:3">
      <c r="A35" s="86"/>
      <c r="B35" s="80" t="s">
        <v>507</v>
      </c>
      <c r="C35" s="81" t="s">
        <v>508</v>
      </c>
    </row>
    <row r="36" spans="1:3">
      <c r="A36" s="86"/>
      <c r="B36" s="80" t="s">
        <v>509</v>
      </c>
      <c r="C36" s="81" t="s">
        <v>510</v>
      </c>
    </row>
    <row r="37" spans="1:3">
      <c r="A37" s="87"/>
      <c r="B37" s="80" t="s">
        <v>511</v>
      </c>
      <c r="C37" s="81" t="s">
        <v>512</v>
      </c>
    </row>
    <row r="38" spans="1:3">
      <c r="A38" s="88" t="s">
        <v>3</v>
      </c>
      <c r="B38" s="80" t="s">
        <v>513</v>
      </c>
      <c r="C38" s="81" t="s">
        <v>514</v>
      </c>
    </row>
    <row r="39" spans="1:3">
      <c r="A39" s="89"/>
      <c r="B39" s="80" t="s">
        <v>515</v>
      </c>
      <c r="C39" s="81" t="s">
        <v>516</v>
      </c>
    </row>
    <row r="40" spans="1:3">
      <c r="A40" s="89"/>
      <c r="B40" s="80" t="s">
        <v>517</v>
      </c>
      <c r="C40" s="81" t="s">
        <v>518</v>
      </c>
    </row>
    <row r="41" spans="1:3">
      <c r="A41" s="89"/>
      <c r="B41" s="80" t="s">
        <v>519</v>
      </c>
      <c r="C41" s="81" t="s">
        <v>451</v>
      </c>
    </row>
    <row r="42" spans="1:3">
      <c r="A42" s="89"/>
      <c r="B42" s="80" t="s">
        <v>520</v>
      </c>
      <c r="C42" s="81" t="s">
        <v>521</v>
      </c>
    </row>
    <row r="43" spans="1:3">
      <c r="A43" s="89"/>
      <c r="B43" s="80" t="s">
        <v>522</v>
      </c>
      <c r="C43" s="81" t="s">
        <v>523</v>
      </c>
    </row>
    <row r="44" spans="1:3">
      <c r="A44" s="89"/>
      <c r="B44" s="80" t="s">
        <v>524</v>
      </c>
      <c r="C44" s="81" t="s">
        <v>525</v>
      </c>
    </row>
    <row r="45" spans="1:3">
      <c r="A45" s="89"/>
      <c r="B45" s="80" t="s">
        <v>526</v>
      </c>
      <c r="C45" s="81" t="s">
        <v>527</v>
      </c>
    </row>
    <row r="46" spans="1:3">
      <c r="A46" s="89"/>
      <c r="B46" s="80" t="s">
        <v>528</v>
      </c>
      <c r="C46" s="81" t="s">
        <v>529</v>
      </c>
    </row>
    <row r="47" spans="1:3">
      <c r="A47" s="89"/>
      <c r="B47" s="80" t="s">
        <v>530</v>
      </c>
      <c r="C47" s="81" t="s">
        <v>531</v>
      </c>
    </row>
    <row r="48" spans="1:3">
      <c r="A48" s="89"/>
      <c r="B48" s="80" t="s">
        <v>532</v>
      </c>
      <c r="C48" s="81" t="s">
        <v>533</v>
      </c>
    </row>
    <row r="49" spans="1:3">
      <c r="A49" s="89"/>
      <c r="B49" s="80" t="s">
        <v>534</v>
      </c>
      <c r="C49" s="81" t="s">
        <v>535</v>
      </c>
    </row>
    <row r="50" spans="1:3">
      <c r="A50" s="90"/>
      <c r="B50" s="80" t="s">
        <v>536</v>
      </c>
      <c r="C50" s="81" t="s">
        <v>537</v>
      </c>
    </row>
    <row r="51" customFormat="1" spans="1:3">
      <c r="A51" s="79"/>
      <c r="B51" s="80" t="s">
        <v>538</v>
      </c>
      <c r="C51" s="81"/>
    </row>
    <row r="52" customFormat="1" spans="1:3">
      <c r="A52" s="79"/>
      <c r="B52" s="80" t="s">
        <v>538</v>
      </c>
      <c r="C52" s="81"/>
    </row>
    <row r="53" customFormat="1" spans="1:3">
      <c r="A53" s="79"/>
      <c r="B53" s="80" t="s">
        <v>538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workbookViewId="0">
      <selection activeCell="H29" sqref="H29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62.4545454545455" style="66" customWidth="1"/>
  </cols>
  <sheetData>
    <row r="1" spans="1:4">
      <c r="A1" s="67" t="s">
        <v>372</v>
      </c>
      <c r="B1" s="68" t="s">
        <v>0</v>
      </c>
      <c r="C1" s="69" t="s">
        <v>539</v>
      </c>
      <c r="D1" s="70" t="s">
        <v>540</v>
      </c>
    </row>
    <row r="2" spans="1:4">
      <c r="A2" s="71">
        <v>1</v>
      </c>
      <c r="B2" s="72" t="s">
        <v>7</v>
      </c>
      <c r="C2" s="73">
        <v>20111216</v>
      </c>
      <c r="D2" s="66" t="s">
        <v>541</v>
      </c>
    </row>
    <row r="3" spans="1:4">
      <c r="A3" s="71">
        <v>2</v>
      </c>
      <c r="B3" s="72" t="s">
        <v>10</v>
      </c>
      <c r="C3" s="74">
        <v>20111227</v>
      </c>
      <c r="D3" s="66" t="s">
        <v>542</v>
      </c>
    </row>
    <row r="4" spans="1:4">
      <c r="A4" s="71">
        <v>3</v>
      </c>
      <c r="B4" s="72" t="s">
        <v>13</v>
      </c>
      <c r="C4" s="74">
        <v>20120518</v>
      </c>
      <c r="D4" s="66" t="s">
        <v>543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390</v>
      </c>
    </row>
    <row r="7" spans="1:4">
      <c r="A7" s="71">
        <v>6</v>
      </c>
      <c r="B7" s="72" t="s">
        <v>20</v>
      </c>
      <c r="C7" s="74">
        <v>20120809</v>
      </c>
      <c r="D7" s="66" t="s">
        <v>544</v>
      </c>
    </row>
    <row r="8" spans="1:4">
      <c r="A8" s="71">
        <v>7</v>
      </c>
      <c r="B8" s="72" t="s">
        <v>24</v>
      </c>
      <c r="C8" s="74">
        <v>20120227</v>
      </c>
      <c r="D8" s="66" t="s">
        <v>545</v>
      </c>
    </row>
    <row r="9" spans="1:4">
      <c r="A9" s="71">
        <v>8</v>
      </c>
      <c r="B9" s="72" t="s">
        <v>26</v>
      </c>
      <c r="C9" s="74">
        <v>20120127</v>
      </c>
      <c r="D9" s="66" t="s">
        <v>546</v>
      </c>
    </row>
    <row r="10" spans="1:4">
      <c r="A10" s="71">
        <v>9</v>
      </c>
      <c r="B10" s="72" t="s">
        <v>27</v>
      </c>
      <c r="C10" s="74">
        <v>20111202</v>
      </c>
      <c r="D10" s="66" t="s">
        <v>547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548</v>
      </c>
    </row>
    <row r="13" spans="1:4">
      <c r="A13" s="71">
        <v>12</v>
      </c>
      <c r="B13" s="72" t="s">
        <v>31</v>
      </c>
      <c r="C13" s="74">
        <v>20110908</v>
      </c>
      <c r="D13" s="66" t="s">
        <v>549</v>
      </c>
    </row>
    <row r="14" spans="1:4">
      <c r="A14" s="71">
        <v>13</v>
      </c>
      <c r="B14" s="72" t="s">
        <v>33</v>
      </c>
      <c r="C14" s="74">
        <v>20120228</v>
      </c>
      <c r="D14" s="66" t="s">
        <v>550</v>
      </c>
    </row>
    <row r="15" customFormat="1" spans="1:4">
      <c r="A15" s="71">
        <v>14</v>
      </c>
      <c r="B15" s="72" t="s">
        <v>35</v>
      </c>
      <c r="C15" s="74">
        <v>20110904</v>
      </c>
      <c r="D15" s="66"/>
    </row>
    <row r="16" spans="1:4">
      <c r="A16" s="71">
        <v>15</v>
      </c>
      <c r="B16" s="72" t="s">
        <v>36</v>
      </c>
      <c r="C16" s="73">
        <v>20111201</v>
      </c>
      <c r="D16" s="66" t="s">
        <v>551</v>
      </c>
    </row>
    <row r="17" spans="1:4">
      <c r="A17" s="71">
        <v>16</v>
      </c>
      <c r="B17" s="72" t="s">
        <v>38</v>
      </c>
      <c r="C17" s="74">
        <v>20120722</v>
      </c>
      <c r="D17" s="66" t="s">
        <v>552</v>
      </c>
    </row>
    <row r="18" customFormat="1" spans="1:4">
      <c r="A18" s="71">
        <v>17</v>
      </c>
      <c r="B18" s="72" t="s">
        <v>40</v>
      </c>
      <c r="C18" s="74">
        <v>20111215</v>
      </c>
      <c r="D18" s="66"/>
    </row>
    <row r="19" customFormat="1" spans="1:4">
      <c r="A19" s="71">
        <v>18</v>
      </c>
      <c r="B19" s="72" t="s">
        <v>42</v>
      </c>
      <c r="C19" s="74">
        <v>20120509</v>
      </c>
      <c r="D19" s="66"/>
    </row>
    <row r="20" spans="1:4">
      <c r="A20" s="71">
        <v>19</v>
      </c>
      <c r="B20" s="72" t="s">
        <v>45</v>
      </c>
      <c r="C20" s="74">
        <v>20120530</v>
      </c>
      <c r="D20" s="66" t="s">
        <v>553</v>
      </c>
    </row>
    <row r="21" spans="1:4">
      <c r="A21" s="71">
        <v>20</v>
      </c>
      <c r="B21" s="72" t="s">
        <v>48</v>
      </c>
      <c r="C21" s="74">
        <v>20120827</v>
      </c>
      <c r="D21" s="66" t="s">
        <v>554</v>
      </c>
    </row>
    <row r="22" customFormat="1" spans="1:4">
      <c r="A22" s="71">
        <v>21</v>
      </c>
      <c r="B22" s="72" t="s">
        <v>52</v>
      </c>
      <c r="C22" s="74">
        <v>20120816</v>
      </c>
      <c r="D22" s="66"/>
    </row>
    <row r="23" spans="1:4">
      <c r="A23" s="71">
        <v>22</v>
      </c>
      <c r="B23" s="72" t="s">
        <v>53</v>
      </c>
      <c r="C23" s="74">
        <v>20120518</v>
      </c>
      <c r="D23" s="66" t="s">
        <v>555</v>
      </c>
    </row>
    <row r="24" spans="1:4">
      <c r="A24" s="71">
        <v>23</v>
      </c>
      <c r="B24" s="72" t="s">
        <v>57</v>
      </c>
      <c r="C24" s="74">
        <v>20120413</v>
      </c>
      <c r="D24" s="66" t="s">
        <v>556</v>
      </c>
    </row>
    <row r="25" spans="1:4">
      <c r="A25" s="71">
        <v>24</v>
      </c>
      <c r="B25" s="72" t="s">
        <v>62</v>
      </c>
      <c r="C25" s="74">
        <v>20120629</v>
      </c>
      <c r="D25" s="66" t="s">
        <v>557</v>
      </c>
    </row>
    <row r="26" spans="1:4">
      <c r="A26" s="71">
        <v>25</v>
      </c>
      <c r="B26" s="72" t="s">
        <v>63</v>
      </c>
      <c r="C26" s="74">
        <v>20111105</v>
      </c>
      <c r="D26" s="66" t="s">
        <v>558</v>
      </c>
    </row>
    <row r="27" spans="1:4">
      <c r="A27" s="71">
        <v>26</v>
      </c>
      <c r="B27" s="72" t="s">
        <v>64</v>
      </c>
      <c r="C27" s="74">
        <v>20120112</v>
      </c>
      <c r="D27" s="66" t="s">
        <v>559</v>
      </c>
    </row>
    <row r="28" spans="1:4">
      <c r="A28" s="71">
        <v>27</v>
      </c>
      <c r="B28" s="72" t="s">
        <v>67</v>
      </c>
      <c r="C28" s="74">
        <v>20111119</v>
      </c>
      <c r="D28" s="66" t="s">
        <v>560</v>
      </c>
    </row>
    <row r="29" customFormat="1" spans="1:4">
      <c r="A29" s="71">
        <v>28</v>
      </c>
      <c r="B29" s="72" t="s">
        <v>72</v>
      </c>
      <c r="C29" s="74">
        <v>20120110</v>
      </c>
      <c r="D29" s="66" t="s">
        <v>561</v>
      </c>
    </row>
    <row r="30" spans="1:4">
      <c r="A30" s="71">
        <v>29</v>
      </c>
      <c r="B30" s="72" t="s">
        <v>75</v>
      </c>
      <c r="C30" s="74">
        <v>20120331</v>
      </c>
      <c r="D30" s="66" t="s">
        <v>562</v>
      </c>
    </row>
    <row r="31" spans="1:4">
      <c r="A31" s="71">
        <v>30</v>
      </c>
      <c r="B31" s="72" t="s">
        <v>78</v>
      </c>
      <c r="C31" s="74">
        <v>20111109</v>
      </c>
      <c r="D31" s="66" t="s">
        <v>563</v>
      </c>
    </row>
    <row r="32" spans="1:4">
      <c r="A32" s="71">
        <v>31</v>
      </c>
      <c r="B32" s="72" t="s">
        <v>79</v>
      </c>
      <c r="C32" s="74">
        <v>20120824</v>
      </c>
      <c r="D32" s="66" t="s">
        <v>564</v>
      </c>
    </row>
    <row r="33" customFormat="1" spans="1:5">
      <c r="A33" s="71">
        <v>32</v>
      </c>
      <c r="B33" s="72" t="s">
        <v>80</v>
      </c>
      <c r="C33" s="74">
        <v>20120425</v>
      </c>
      <c r="D33" s="66"/>
    </row>
    <row r="34" spans="1:5">
      <c r="A34" s="71">
        <v>33</v>
      </c>
      <c r="B34" s="72" t="s">
        <v>81</v>
      </c>
      <c r="C34" s="74">
        <v>20120624</v>
      </c>
      <c r="D34" s="66" t="s">
        <v>565</v>
      </c>
    </row>
    <row r="35" customFormat="1" spans="1:5">
      <c r="A35" s="71">
        <v>34</v>
      </c>
      <c r="B35" s="72" t="s">
        <v>82</v>
      </c>
      <c r="C35" s="74">
        <v>20120507</v>
      </c>
      <c r="D35" s="66"/>
    </row>
    <row r="36" spans="1:5">
      <c r="A36" s="71">
        <v>35</v>
      </c>
      <c r="B36" s="72" t="s">
        <v>83</v>
      </c>
      <c r="C36" s="74">
        <v>20120603</v>
      </c>
      <c r="D36" s="66" t="s">
        <v>566</v>
      </c>
    </row>
    <row r="37" spans="1:5">
      <c r="A37" s="71">
        <v>36</v>
      </c>
      <c r="B37" s="72" t="s">
        <v>85</v>
      </c>
      <c r="C37" s="73">
        <v>20120326</v>
      </c>
      <c r="D37" s="66" t="s">
        <v>567</v>
      </c>
    </row>
    <row r="38" spans="1:5">
      <c r="A38" s="75">
        <v>37</v>
      </c>
      <c r="B38" s="75" t="s">
        <v>88</v>
      </c>
      <c r="C38" s="76">
        <v>20111106</v>
      </c>
      <c r="D38" s="77" t="s">
        <v>568</v>
      </c>
      <c r="E38" t="s">
        <v>569</v>
      </c>
    </row>
    <row r="39" spans="1:5">
      <c r="A39" s="71">
        <v>38</v>
      </c>
      <c r="B39" s="72" t="s">
        <v>90</v>
      </c>
      <c r="C39" s="74">
        <v>20120811</v>
      </c>
      <c r="D39" s="78" t="s">
        <v>570</v>
      </c>
    </row>
    <row r="40" spans="1:5">
      <c r="A40" s="71">
        <v>39</v>
      </c>
      <c r="B40" s="72" t="s">
        <v>94</v>
      </c>
      <c r="C40" s="74">
        <v>20111217</v>
      </c>
      <c r="D40" s="78" t="s">
        <v>571</v>
      </c>
    </row>
    <row r="41" spans="1:5">
      <c r="A41" s="71">
        <v>40</v>
      </c>
      <c r="B41" s="72" t="s">
        <v>99</v>
      </c>
      <c r="C41" s="74">
        <v>20111013</v>
      </c>
      <c r="D41" s="66" t="s">
        <v>572</v>
      </c>
      <c r="E41" t="s">
        <v>569</v>
      </c>
    </row>
    <row r="42" customFormat="1" spans="1:5">
      <c r="A42" s="71">
        <v>41</v>
      </c>
      <c r="B42" s="72" t="s">
        <v>106</v>
      </c>
      <c r="C42" s="74">
        <v>20111027</v>
      </c>
      <c r="D42" s="66"/>
    </row>
    <row r="43" spans="1:5">
      <c r="A43" s="71">
        <v>42</v>
      </c>
      <c r="B43" s="72" t="s">
        <v>107</v>
      </c>
      <c r="C43" s="74">
        <v>20120207</v>
      </c>
      <c r="D43" s="66" t="s">
        <v>573</v>
      </c>
    </row>
    <row r="44" customFormat="1" spans="1:5">
      <c r="A44" s="71">
        <v>43</v>
      </c>
      <c r="B44" s="72" t="s">
        <v>110</v>
      </c>
      <c r="C44" s="73">
        <v>20120508</v>
      </c>
      <c r="D44" s="66"/>
    </row>
    <row r="45" spans="1:5">
      <c r="A45" s="71">
        <v>44</v>
      </c>
      <c r="B45" s="72" t="s">
        <v>112</v>
      </c>
      <c r="C45" s="74">
        <v>20110929</v>
      </c>
      <c r="D45" s="66" t="s">
        <v>574</v>
      </c>
    </row>
    <row r="46" customFormat="1" spans="1:5">
      <c r="A46" s="71">
        <v>45</v>
      </c>
      <c r="B46" s="72" t="s">
        <v>116</v>
      </c>
      <c r="C46" s="74">
        <v>20111205</v>
      </c>
      <c r="D46" s="66"/>
    </row>
    <row r="47" spans="1:5">
      <c r="A47" s="71">
        <v>46</v>
      </c>
      <c r="B47" s="72" t="s">
        <v>117</v>
      </c>
      <c r="C47" s="74">
        <v>20120108</v>
      </c>
      <c r="D47" s="66" t="s">
        <v>575</v>
      </c>
      <c r="E47" t="s">
        <v>569</v>
      </c>
    </row>
    <row r="48" spans="1:5">
      <c r="A48" s="71">
        <v>47</v>
      </c>
      <c r="B48" s="72" t="s">
        <v>119</v>
      </c>
      <c r="C48" s="74">
        <v>20120311</v>
      </c>
      <c r="D48" s="66" t="s">
        <v>576</v>
      </c>
    </row>
    <row r="49" customFormat="1" spans="1:4">
      <c r="A49" s="71">
        <v>48</v>
      </c>
      <c r="B49" s="72" t="s">
        <v>123</v>
      </c>
      <c r="C49" s="74">
        <v>20110902</v>
      </c>
      <c r="D49" s="66"/>
    </row>
    <row r="50" spans="1:4">
      <c r="A50" s="71">
        <v>49</v>
      </c>
      <c r="B50" s="72" t="s">
        <v>125</v>
      </c>
      <c r="C50" s="74">
        <v>20120723</v>
      </c>
      <c r="D50" s="66" t="s">
        <v>577</v>
      </c>
    </row>
    <row r="51" customFormat="1" spans="1:4">
      <c r="A51" s="71">
        <v>50</v>
      </c>
      <c r="B51" s="72" t="s">
        <v>127</v>
      </c>
      <c r="C51" s="74">
        <v>20120101</v>
      </c>
      <c r="D51" s="66"/>
    </row>
    <row r="52" spans="1:4">
      <c r="A52" s="71">
        <v>51</v>
      </c>
      <c r="B52" s="72" t="s">
        <v>128</v>
      </c>
      <c r="C52" s="74">
        <v>20111220</v>
      </c>
      <c r="D52" s="66" t="s">
        <v>578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579</v>
      </c>
      <c r="B1" s="35" t="s">
        <v>580</v>
      </c>
      <c r="C1" s="36" t="s">
        <v>581</v>
      </c>
      <c r="D1" s="37"/>
      <c r="E1" s="38" t="s">
        <v>582</v>
      </c>
    </row>
    <row r="2" s="28" customFormat="1" ht="409" customHeight="1" spans="1:5">
      <c r="A2" s="39" t="s">
        <v>395</v>
      </c>
      <c r="B2" s="40" t="s">
        <v>269</v>
      </c>
      <c r="C2" s="41" t="s">
        <v>583</v>
      </c>
      <c r="D2" s="32" t="s">
        <v>584</v>
      </c>
      <c r="E2" s="33" t="s">
        <v>585</v>
      </c>
    </row>
    <row r="3" s="28" customFormat="1" ht="56" spans="1:5">
      <c r="A3" s="42"/>
      <c r="B3" s="43"/>
      <c r="C3" s="44"/>
      <c r="D3" s="32" t="s">
        <v>586</v>
      </c>
      <c r="E3" s="33" t="s">
        <v>587</v>
      </c>
    </row>
    <row r="4" s="28" customFormat="1" spans="1:5">
      <c r="A4" s="42"/>
      <c r="B4" s="43"/>
      <c r="C4" s="44"/>
      <c r="D4" s="32" t="s">
        <v>588</v>
      </c>
      <c r="E4" s="33" t="s">
        <v>589</v>
      </c>
    </row>
    <row r="5" s="28" customFormat="1" ht="56" spans="1:5">
      <c r="A5" s="42"/>
      <c r="B5" s="43"/>
      <c r="C5" s="44"/>
      <c r="D5" s="32" t="s">
        <v>590</v>
      </c>
      <c r="E5" s="33" t="s">
        <v>591</v>
      </c>
    </row>
    <row r="6" s="28" customFormat="1" ht="238" spans="1:5">
      <c r="A6" s="42"/>
      <c r="B6" s="43"/>
      <c r="C6" s="44"/>
      <c r="D6" s="32" t="s">
        <v>592</v>
      </c>
      <c r="E6" s="33" t="s">
        <v>593</v>
      </c>
    </row>
    <row r="7" s="28" customFormat="1" ht="238" spans="1:5">
      <c r="A7" s="42"/>
      <c r="B7" s="43"/>
      <c r="C7" s="41" t="s">
        <v>594</v>
      </c>
      <c r="D7" s="32" t="s">
        <v>595</v>
      </c>
      <c r="E7" s="33" t="s">
        <v>596</v>
      </c>
    </row>
    <row r="8" s="28" customFormat="1" ht="56" spans="1:5">
      <c r="A8" s="42"/>
      <c r="B8" s="43"/>
      <c r="C8" s="44"/>
      <c r="D8" s="32" t="s">
        <v>597</v>
      </c>
      <c r="E8" s="33" t="s">
        <v>598</v>
      </c>
    </row>
    <row r="9" s="28" customFormat="1" ht="84" spans="1:5">
      <c r="A9" s="42"/>
      <c r="B9" s="43"/>
      <c r="C9" s="44"/>
      <c r="D9" s="32" t="s">
        <v>599</v>
      </c>
      <c r="E9" s="33" t="s">
        <v>600</v>
      </c>
    </row>
    <row r="10" s="28" customFormat="1" ht="28" spans="1:5">
      <c r="A10" s="42"/>
      <c r="B10" s="43"/>
      <c r="C10" s="44"/>
      <c r="D10" s="32" t="s">
        <v>601</v>
      </c>
      <c r="E10" s="33" t="s">
        <v>602</v>
      </c>
    </row>
    <row r="11" s="28" customFormat="1" spans="1:5">
      <c r="A11" s="42"/>
      <c r="B11" s="43"/>
      <c r="C11" s="45"/>
      <c r="D11" s="32" t="s">
        <v>603</v>
      </c>
      <c r="E11" s="33" t="s">
        <v>604</v>
      </c>
    </row>
    <row r="12" s="28" customFormat="1" ht="154" spans="1:5">
      <c r="A12" s="42"/>
      <c r="B12" s="43"/>
      <c r="C12" s="31"/>
      <c r="D12" s="32" t="s">
        <v>605</v>
      </c>
      <c r="E12" s="33" t="s">
        <v>606</v>
      </c>
    </row>
    <row r="13" s="28" customFormat="1" ht="56" spans="1:5">
      <c r="A13" s="42"/>
      <c r="B13" s="43"/>
      <c r="C13" s="46" t="s">
        <v>607</v>
      </c>
      <c r="D13" s="37"/>
      <c r="E13" s="33" t="s">
        <v>608</v>
      </c>
    </row>
    <row r="14" s="28" customFormat="1" ht="84" spans="1:5">
      <c r="A14" s="42"/>
      <c r="B14" s="43"/>
      <c r="C14" s="46" t="s">
        <v>609</v>
      </c>
      <c r="D14" s="37"/>
      <c r="E14" s="33" t="s">
        <v>610</v>
      </c>
    </row>
    <row r="15" s="28" customFormat="1" ht="28" spans="1:5">
      <c r="A15" s="42"/>
      <c r="B15" s="43"/>
      <c r="C15" s="46" t="s">
        <v>611</v>
      </c>
      <c r="D15" s="37"/>
      <c r="E15" s="33" t="s">
        <v>612</v>
      </c>
    </row>
    <row r="16" s="28" customFormat="1" spans="1:5">
      <c r="A16" s="42"/>
      <c r="B16" s="43"/>
      <c r="C16" s="46" t="s">
        <v>613</v>
      </c>
      <c r="D16" s="37"/>
      <c r="E16" s="33"/>
    </row>
    <row r="17" s="28" customFormat="1" spans="1:5">
      <c r="A17" s="42"/>
      <c r="B17" s="43"/>
      <c r="C17" s="46" t="s">
        <v>614</v>
      </c>
      <c r="D17" s="37"/>
      <c r="E17" s="33" t="s">
        <v>615</v>
      </c>
    </row>
    <row r="18" s="28" customFormat="1" spans="1:5">
      <c r="A18" s="42"/>
      <c r="B18" s="43"/>
      <c r="C18" s="41" t="s">
        <v>616</v>
      </c>
      <c r="D18" s="32" t="s">
        <v>617</v>
      </c>
      <c r="E18" s="33" t="s">
        <v>618</v>
      </c>
    </row>
    <row r="19" s="28" customFormat="1" spans="1:5">
      <c r="A19" s="42"/>
      <c r="B19" s="43"/>
      <c r="C19" s="45"/>
      <c r="D19" s="32" t="s">
        <v>619</v>
      </c>
      <c r="E19" s="33" t="s">
        <v>620</v>
      </c>
    </row>
    <row r="20" s="28" customFormat="1" spans="1:5">
      <c r="A20" s="42"/>
      <c r="B20" s="43"/>
      <c r="C20" s="46" t="s">
        <v>621</v>
      </c>
      <c r="D20" s="37"/>
      <c r="E20" s="33"/>
    </row>
    <row r="21" s="28" customFormat="1" spans="1:5">
      <c r="A21" s="42"/>
      <c r="B21" s="43"/>
      <c r="C21" s="46" t="s">
        <v>622</v>
      </c>
      <c r="D21" s="37"/>
      <c r="E21" s="33" t="s">
        <v>623</v>
      </c>
    </row>
    <row r="22" s="28" customFormat="1" ht="28" spans="1:5">
      <c r="A22" s="42"/>
      <c r="B22" s="43"/>
      <c r="C22" s="46" t="s">
        <v>624</v>
      </c>
      <c r="D22" s="47"/>
      <c r="E22" s="33" t="s">
        <v>625</v>
      </c>
    </row>
    <row r="23" s="28" customFormat="1" spans="1:5">
      <c r="A23" s="42"/>
      <c r="B23" s="43"/>
      <c r="C23" s="31" t="s">
        <v>333</v>
      </c>
      <c r="D23" s="31"/>
      <c r="E23" s="33" t="s">
        <v>626</v>
      </c>
    </row>
    <row r="24" s="28" customFormat="1" spans="1:5">
      <c r="A24" s="42"/>
      <c r="B24" s="43"/>
      <c r="C24" s="31" t="s">
        <v>627</v>
      </c>
      <c r="D24" s="31"/>
      <c r="E24" s="33" t="s">
        <v>628</v>
      </c>
    </row>
    <row r="25" s="28" customFormat="1" ht="28" spans="1:5">
      <c r="A25" s="39" t="s">
        <v>393</v>
      </c>
      <c r="B25" s="40" t="s">
        <v>394</v>
      </c>
      <c r="C25" s="44" t="s">
        <v>583</v>
      </c>
      <c r="D25" s="48" t="s">
        <v>629</v>
      </c>
      <c r="E25" s="33" t="s">
        <v>630</v>
      </c>
    </row>
    <row r="26" s="28" customFormat="1" spans="1:5">
      <c r="A26" s="42"/>
      <c r="B26" s="43"/>
      <c r="C26" s="44"/>
      <c r="D26" s="32" t="s">
        <v>631</v>
      </c>
      <c r="E26" s="33" t="s">
        <v>632</v>
      </c>
    </row>
    <row r="27" s="28" customFormat="1" ht="28" spans="1:5">
      <c r="A27" s="42"/>
      <c r="B27" s="43"/>
      <c r="C27" s="44"/>
      <c r="D27" s="32" t="s">
        <v>633</v>
      </c>
      <c r="E27" s="33" t="s">
        <v>634</v>
      </c>
    </row>
    <row r="28" s="28" customFormat="1" ht="42" spans="1:5">
      <c r="A28" s="42"/>
      <c r="B28" s="43"/>
      <c r="C28" s="44"/>
      <c r="D28" s="32" t="s">
        <v>635</v>
      </c>
      <c r="E28" s="33" t="s">
        <v>636</v>
      </c>
    </row>
    <row r="29" s="28" customFormat="1" ht="42" spans="1:5">
      <c r="A29" s="39" t="s">
        <v>389</v>
      </c>
      <c r="B29" s="40" t="s">
        <v>390</v>
      </c>
      <c r="C29" s="41" t="s">
        <v>583</v>
      </c>
      <c r="D29" s="32" t="s">
        <v>584</v>
      </c>
      <c r="E29" s="33" t="s">
        <v>637</v>
      </c>
    </row>
    <row r="30" s="28" customFormat="1" ht="70" spans="1:5">
      <c r="A30" s="42"/>
      <c r="B30" s="43"/>
      <c r="C30" s="44"/>
      <c r="D30" s="32" t="s">
        <v>638</v>
      </c>
      <c r="E30" s="33" t="s">
        <v>639</v>
      </c>
    </row>
    <row r="31" s="28" customFormat="1" spans="1:5">
      <c r="A31" s="42"/>
      <c r="B31" s="43"/>
      <c r="C31" s="44"/>
      <c r="D31" s="32" t="s">
        <v>629</v>
      </c>
      <c r="E31" s="33" t="s">
        <v>640</v>
      </c>
    </row>
    <row r="32" s="28" customFormat="1" ht="28" spans="1:5">
      <c r="A32" s="42"/>
      <c r="B32" s="43"/>
      <c r="C32" s="45"/>
      <c r="D32" s="32" t="s">
        <v>641</v>
      </c>
      <c r="E32" s="33" t="s">
        <v>642</v>
      </c>
    </row>
    <row r="33" s="28" customFormat="1" ht="42" spans="1:5">
      <c r="A33" s="42"/>
      <c r="B33" s="49"/>
      <c r="C33" s="46" t="s">
        <v>594</v>
      </c>
      <c r="D33" s="47"/>
      <c r="E33" s="33" t="s">
        <v>643</v>
      </c>
    </row>
    <row r="34" s="28" customFormat="1" ht="42" spans="1:5">
      <c r="A34" s="42"/>
      <c r="B34" s="50" t="s">
        <v>644</v>
      </c>
      <c r="C34" s="36" t="s">
        <v>594</v>
      </c>
      <c r="D34" s="51"/>
      <c r="E34" s="52" t="s">
        <v>645</v>
      </c>
    </row>
    <row r="35" s="28" customFormat="1" ht="42" spans="1:5">
      <c r="A35" s="53"/>
      <c r="B35" s="54"/>
      <c r="C35" s="36" t="s">
        <v>583</v>
      </c>
      <c r="D35" s="51"/>
      <c r="E35" s="52" t="s">
        <v>646</v>
      </c>
    </row>
    <row r="36" s="28" customFormat="1" spans="1:5">
      <c r="A36" s="39" t="s">
        <v>396</v>
      </c>
      <c r="B36" s="55" t="s">
        <v>647</v>
      </c>
      <c r="C36" s="56"/>
      <c r="D36" s="57"/>
      <c r="E36" s="52" t="s">
        <v>148</v>
      </c>
    </row>
    <row r="37" s="28" customFormat="1" spans="1:5">
      <c r="A37" s="53"/>
      <c r="B37" s="58" t="s">
        <v>648</v>
      </c>
      <c r="C37" s="59"/>
      <c r="D37" s="60"/>
      <c r="E37" s="33" t="s">
        <v>649</v>
      </c>
    </row>
    <row r="38" s="28" customFormat="1" spans="1:5">
      <c r="A38" s="29" t="s">
        <v>397</v>
      </c>
      <c r="B38" s="58" t="s">
        <v>650</v>
      </c>
      <c r="C38" s="59"/>
      <c r="D38" s="60"/>
      <c r="E38" s="33" t="s">
        <v>651</v>
      </c>
    </row>
    <row r="39" s="28" customFormat="1" spans="1:5">
      <c r="A39" s="39" t="s">
        <v>399</v>
      </c>
      <c r="B39" s="40" t="s">
        <v>652</v>
      </c>
      <c r="C39" s="41" t="s">
        <v>583</v>
      </c>
      <c r="D39" s="32" t="s">
        <v>653</v>
      </c>
      <c r="E39" s="33" t="s">
        <v>654</v>
      </c>
    </row>
    <row r="40" s="28" customFormat="1" spans="1:5">
      <c r="A40" s="42"/>
      <c r="B40" s="43"/>
      <c r="C40" s="45"/>
      <c r="D40" s="32" t="s">
        <v>655</v>
      </c>
      <c r="E40" s="33" t="s">
        <v>656</v>
      </c>
    </row>
    <row r="41" s="28" customFormat="1" spans="1:5">
      <c r="A41" s="42"/>
      <c r="B41" s="43"/>
      <c r="C41" s="46" t="s">
        <v>657</v>
      </c>
      <c r="D41" s="47"/>
      <c r="E41" s="33" t="s">
        <v>658</v>
      </c>
    </row>
    <row r="42" s="28" customFormat="1" spans="1:5">
      <c r="A42" s="53"/>
      <c r="B42" s="49"/>
      <c r="C42" s="46" t="s">
        <v>594</v>
      </c>
      <c r="D42" s="47"/>
      <c r="E42" s="33" t="s">
        <v>659</v>
      </c>
    </row>
    <row r="43" s="28" customFormat="1" spans="1:5">
      <c r="A43" s="39" t="s">
        <v>401</v>
      </c>
      <c r="B43" s="50" t="s">
        <v>650</v>
      </c>
      <c r="C43" s="61" t="s">
        <v>660</v>
      </c>
      <c r="D43" s="62"/>
      <c r="E43" s="52" t="s">
        <v>661</v>
      </c>
    </row>
    <row r="44" s="28" customFormat="1" ht="28" spans="1:5">
      <c r="A44" s="42"/>
      <c r="B44" s="54"/>
      <c r="C44" s="61" t="s">
        <v>635</v>
      </c>
      <c r="D44" s="62"/>
      <c r="E44" s="52" t="s">
        <v>662</v>
      </c>
    </row>
    <row r="45" s="28" customFormat="1" spans="1:5">
      <c r="A45" s="53"/>
      <c r="B45" s="58" t="s">
        <v>663</v>
      </c>
      <c r="C45" s="59"/>
      <c r="D45" s="60"/>
      <c r="E45" s="33" t="s">
        <v>167</v>
      </c>
    </row>
    <row r="46" s="28" customFormat="1" spans="1:5">
      <c r="A46" s="39" t="s">
        <v>409</v>
      </c>
      <c r="B46" s="40" t="s">
        <v>664</v>
      </c>
      <c r="C46" s="41" t="s">
        <v>583</v>
      </c>
      <c r="D46" s="32" t="s">
        <v>665</v>
      </c>
      <c r="E46" s="33"/>
    </row>
    <row r="47" s="28" customFormat="1" spans="1:5">
      <c r="A47" s="42"/>
      <c r="B47" s="43"/>
      <c r="C47" s="44"/>
      <c r="D47" s="32" t="s">
        <v>666</v>
      </c>
      <c r="E47" s="33"/>
    </row>
    <row r="48" s="28" customFormat="1" spans="1:5">
      <c r="A48" s="53"/>
      <c r="B48" s="49"/>
      <c r="C48" s="45"/>
      <c r="D48" s="32" t="s">
        <v>635</v>
      </c>
      <c r="E48" s="33" t="s">
        <v>667</v>
      </c>
    </row>
    <row r="49" s="28" customFormat="1" spans="1:5">
      <c r="A49" s="29" t="s">
        <v>403</v>
      </c>
      <c r="B49" s="58" t="s">
        <v>404</v>
      </c>
      <c r="C49" s="59"/>
      <c r="D49" s="60"/>
      <c r="E49" s="33" t="s">
        <v>668</v>
      </c>
    </row>
    <row r="50" s="28" customFormat="1" spans="1:5">
      <c r="A50" s="39" t="s">
        <v>405</v>
      </c>
      <c r="B50" s="58" t="s">
        <v>650</v>
      </c>
      <c r="C50" s="59"/>
      <c r="D50" s="60"/>
      <c r="E50" s="33" t="s">
        <v>669</v>
      </c>
    </row>
    <row r="51" s="28" customFormat="1" spans="1:5">
      <c r="A51" s="53"/>
      <c r="B51" s="58" t="s">
        <v>650</v>
      </c>
      <c r="C51" s="59"/>
      <c r="D51" s="60"/>
      <c r="E51" s="33" t="s">
        <v>180</v>
      </c>
    </row>
    <row r="52" s="28" customFormat="1" spans="1:5">
      <c r="A52" s="29" t="s">
        <v>408</v>
      </c>
      <c r="B52" s="58" t="s">
        <v>650</v>
      </c>
      <c r="C52" s="59"/>
      <c r="D52" s="60"/>
      <c r="E52" s="33"/>
    </row>
    <row r="53" s="28" customFormat="1" spans="1:5">
      <c r="A53" s="39" t="s">
        <v>670</v>
      </c>
      <c r="B53" s="58" t="s">
        <v>650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671</v>
      </c>
    </row>
    <row r="55" s="28" customFormat="1" spans="1:5">
      <c r="A55" s="29" t="s">
        <v>410</v>
      </c>
      <c r="B55" s="30"/>
      <c r="C55" s="31"/>
      <c r="D55" s="32"/>
      <c r="E55" s="33" t="s">
        <v>672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673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674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675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676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677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678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31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33</v>
      </c>
      <c r="B14" s="23" t="s">
        <v>679</v>
      </c>
      <c r="C14" s="9"/>
      <c r="D14" s="10"/>
      <c r="E14" s="11"/>
      <c r="F14" s="12"/>
      <c r="G14" s="13"/>
    </row>
    <row r="15" s="6" customFormat="1" spans="1:7">
      <c r="A15" s="14" t="s">
        <v>35</v>
      </c>
      <c r="B15" s="8"/>
      <c r="C15" s="9"/>
      <c r="D15" s="10"/>
      <c r="E15" s="11"/>
      <c r="F15" s="12"/>
      <c r="G15" s="13"/>
    </row>
    <row r="16" s="6" customFormat="1" spans="1:7">
      <c r="A16" s="14" t="s">
        <v>36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38</v>
      </c>
      <c r="B17" s="8"/>
      <c r="C17" s="22" t="s">
        <v>680</v>
      </c>
      <c r="D17" s="10"/>
      <c r="E17" s="11"/>
      <c r="F17" s="12"/>
      <c r="G17" s="13"/>
    </row>
    <row r="18" s="6" customFormat="1" spans="1:7">
      <c r="A18" s="14" t="s">
        <v>40</v>
      </c>
      <c r="B18" s="8"/>
      <c r="C18" s="9"/>
      <c r="D18" s="10"/>
      <c r="E18" s="11"/>
      <c r="F18" s="12"/>
      <c r="G18" s="13"/>
    </row>
    <row r="19" s="6" customFormat="1" spans="1:7">
      <c r="A19" s="14" t="s">
        <v>42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45</v>
      </c>
      <c r="B20" s="23" t="s">
        <v>681</v>
      </c>
      <c r="C20" s="9" t="s">
        <v>682</v>
      </c>
      <c r="D20" s="10"/>
      <c r="E20" s="11"/>
      <c r="F20" s="12"/>
      <c r="G20" s="13"/>
    </row>
    <row r="21" s="6" customFormat="1" ht="280" spans="1:7">
      <c r="A21" s="14" t="s">
        <v>48</v>
      </c>
      <c r="B21" s="8" t="s">
        <v>683</v>
      </c>
      <c r="C21" s="9" t="s">
        <v>684</v>
      </c>
      <c r="D21" s="10"/>
      <c r="E21" s="11"/>
      <c r="F21" s="12"/>
      <c r="G21" s="13"/>
    </row>
    <row r="22" s="6" customFormat="1" spans="1:7">
      <c r="A22" s="14" t="s">
        <v>52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53</v>
      </c>
      <c r="B23" s="23" t="s">
        <v>685</v>
      </c>
      <c r="C23" s="9"/>
      <c r="D23" s="10"/>
      <c r="E23" s="11"/>
      <c r="F23" s="12"/>
      <c r="G23" s="13"/>
    </row>
    <row r="24" s="6" customFormat="1" ht="70" spans="1:7">
      <c r="A24" s="14" t="s">
        <v>57</v>
      </c>
      <c r="B24" s="23" t="s">
        <v>686</v>
      </c>
      <c r="C24" s="22" t="s">
        <v>687</v>
      </c>
      <c r="D24" s="10"/>
      <c r="E24" s="11"/>
      <c r="F24" s="12"/>
      <c r="G24" s="13"/>
    </row>
    <row r="25" s="6" customFormat="1" spans="1:7">
      <c r="A25" s="14" t="s">
        <v>62</v>
      </c>
      <c r="B25" s="8"/>
      <c r="C25" s="9"/>
      <c r="D25" s="10"/>
      <c r="E25" s="11"/>
      <c r="F25" s="12"/>
      <c r="G25" s="13"/>
    </row>
    <row r="26" s="6" customFormat="1" spans="1:7">
      <c r="A26" s="14" t="s">
        <v>63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64</v>
      </c>
      <c r="B27" s="8" t="s">
        <v>688</v>
      </c>
      <c r="C27" s="22" t="s">
        <v>689</v>
      </c>
      <c r="D27" s="10"/>
      <c r="E27" s="11"/>
      <c r="F27" s="12"/>
      <c r="G27" s="13"/>
    </row>
    <row r="28" s="6" customFormat="1" ht="409" customHeight="1" spans="1:7">
      <c r="A28" s="14" t="s">
        <v>67</v>
      </c>
      <c r="B28" s="8" t="s">
        <v>690</v>
      </c>
      <c r="C28" s="22" t="s">
        <v>691</v>
      </c>
      <c r="D28" s="10"/>
      <c r="E28" s="11"/>
      <c r="F28" s="12"/>
      <c r="G28" s="13"/>
    </row>
    <row r="29" s="6" customFormat="1" spans="1:7">
      <c r="A29" s="14" t="s">
        <v>72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75</v>
      </c>
      <c r="B30" s="8"/>
      <c r="C30" s="22" t="s">
        <v>692</v>
      </c>
      <c r="D30" s="10"/>
      <c r="E30" s="11"/>
      <c r="F30" s="12"/>
      <c r="G30" s="13"/>
    </row>
    <row r="31" s="6" customFormat="1" spans="1:7">
      <c r="A31" s="14" t="s">
        <v>78</v>
      </c>
      <c r="B31" s="8"/>
      <c r="C31" s="9"/>
      <c r="D31" s="10"/>
      <c r="E31" s="11"/>
      <c r="F31" s="12"/>
      <c r="G31" s="13"/>
    </row>
    <row r="32" s="6" customFormat="1" spans="1:7">
      <c r="A32" s="14" t="s">
        <v>79</v>
      </c>
      <c r="B32" s="8"/>
      <c r="C32" s="9"/>
      <c r="D32" s="10"/>
      <c r="E32" s="11"/>
      <c r="F32" s="12"/>
      <c r="G32" s="13"/>
    </row>
    <row r="33" s="6" customFormat="1" spans="1:7">
      <c r="A33" s="14" t="s">
        <v>80</v>
      </c>
      <c r="B33" s="8"/>
      <c r="C33" s="9"/>
      <c r="D33" s="10"/>
      <c r="E33" s="11"/>
      <c r="F33" s="12"/>
      <c r="G33" s="13"/>
    </row>
    <row r="34" s="6" customFormat="1" spans="1:7">
      <c r="A34" s="14" t="s">
        <v>81</v>
      </c>
      <c r="B34" s="8"/>
      <c r="C34" s="9"/>
      <c r="D34" s="10"/>
      <c r="E34" s="11"/>
      <c r="F34" s="12"/>
      <c r="G34" s="13"/>
    </row>
    <row r="35" s="6" customFormat="1" spans="1:7">
      <c r="A35" s="14" t="s">
        <v>82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83</v>
      </c>
      <c r="B36" s="23" t="s">
        <v>693</v>
      </c>
      <c r="C36" s="9"/>
      <c r="D36" s="10"/>
      <c r="E36" s="11"/>
      <c r="F36" s="12"/>
      <c r="G36" s="13"/>
    </row>
    <row r="37" s="6" customFormat="1" ht="126" spans="1:7">
      <c r="A37" s="14" t="s">
        <v>85</v>
      </c>
      <c r="B37" s="8"/>
      <c r="C37" s="22" t="s">
        <v>694</v>
      </c>
      <c r="D37" s="10"/>
      <c r="E37" s="11"/>
      <c r="F37" s="12"/>
      <c r="G37" s="13"/>
    </row>
    <row r="38" s="6" customFormat="1" ht="28" spans="1:7">
      <c r="A38" s="14" t="s">
        <v>88</v>
      </c>
      <c r="B38" s="24" t="s">
        <v>695</v>
      </c>
      <c r="C38" s="25"/>
      <c r="D38" s="26"/>
      <c r="E38" s="26"/>
      <c r="F38" s="26"/>
      <c r="G38" s="26"/>
    </row>
    <row r="39" s="6" customFormat="1" ht="42" spans="1:7">
      <c r="A39" s="14" t="s">
        <v>90</v>
      </c>
      <c r="B39" s="8"/>
      <c r="C39" s="22" t="s">
        <v>696</v>
      </c>
      <c r="D39" s="10"/>
      <c r="E39" s="11"/>
      <c r="F39" s="12"/>
      <c r="G39" s="13"/>
    </row>
    <row r="40" s="6" customFormat="1" spans="1:7">
      <c r="A40" s="14" t="s">
        <v>94</v>
      </c>
      <c r="B40" s="23" t="s">
        <v>697</v>
      </c>
      <c r="C40" s="22" t="s">
        <v>698</v>
      </c>
      <c r="D40" s="10"/>
      <c r="E40" s="11"/>
      <c r="F40" s="12"/>
      <c r="G40" s="13"/>
    </row>
    <row r="41" s="6" customFormat="1" ht="126" spans="1:7">
      <c r="A41" s="14" t="s">
        <v>99</v>
      </c>
      <c r="B41" s="8"/>
      <c r="C41" s="22" t="s">
        <v>699</v>
      </c>
      <c r="D41" s="10"/>
      <c r="E41" s="11"/>
      <c r="F41" s="12"/>
      <c r="G41" s="13"/>
    </row>
    <row r="42" s="6" customFormat="1" spans="1:7">
      <c r="A42" s="14" t="s">
        <v>106</v>
      </c>
      <c r="B42" s="8"/>
      <c r="C42" s="9"/>
      <c r="D42" s="10"/>
      <c r="E42" s="11"/>
      <c r="F42" s="12"/>
      <c r="G42" s="13"/>
    </row>
    <row r="43" s="6" customFormat="1" spans="1:7">
      <c r="A43" s="14" t="s">
        <v>107</v>
      </c>
      <c r="B43" s="23" t="s">
        <v>700</v>
      </c>
      <c r="C43" s="9"/>
      <c r="D43" s="10"/>
      <c r="E43" s="11"/>
      <c r="F43" s="12"/>
      <c r="G43" s="13"/>
    </row>
    <row r="44" s="6" customFormat="1" spans="1:7">
      <c r="A44" s="14" t="s">
        <v>110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112</v>
      </c>
      <c r="B45" s="8" t="s">
        <v>701</v>
      </c>
      <c r="C45" s="9"/>
      <c r="D45" s="10"/>
      <c r="E45" s="11"/>
      <c r="F45" s="12"/>
      <c r="G45" s="13"/>
    </row>
    <row r="46" s="6" customFormat="1" spans="1:7">
      <c r="A46" s="14" t="s">
        <v>116</v>
      </c>
      <c r="B46" s="8"/>
      <c r="C46" s="9"/>
      <c r="D46" s="10"/>
      <c r="E46" s="11"/>
      <c r="F46" s="12"/>
      <c r="G46" s="13"/>
    </row>
    <row r="47" s="6" customFormat="1" spans="1:7">
      <c r="A47" s="14" t="s">
        <v>117</v>
      </c>
      <c r="B47" s="8"/>
      <c r="C47" s="9"/>
      <c r="D47" s="10"/>
      <c r="E47" s="11"/>
      <c r="F47" s="12"/>
      <c r="G47" s="13"/>
    </row>
    <row r="48" s="6" customFormat="1" spans="1:7">
      <c r="A48" s="14" t="s">
        <v>119</v>
      </c>
      <c r="B48" s="8"/>
      <c r="C48" s="22" t="s">
        <v>702</v>
      </c>
      <c r="D48" s="10"/>
      <c r="E48" s="11"/>
      <c r="F48" s="12"/>
      <c r="G48" s="13"/>
    </row>
    <row r="49" s="6" customFormat="1" spans="1:7">
      <c r="A49" s="14" t="s">
        <v>123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125</v>
      </c>
      <c r="B50" s="8"/>
      <c r="C50" s="22" t="s">
        <v>703</v>
      </c>
      <c r="D50" s="10"/>
      <c r="E50" s="11"/>
      <c r="F50" s="12"/>
      <c r="G50" s="13"/>
    </row>
    <row r="51" s="6" customFormat="1" spans="1:7">
      <c r="A51" s="14" t="s">
        <v>127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128</v>
      </c>
      <c r="B52" s="8" t="s">
        <v>704</v>
      </c>
      <c r="C52" s="22" t="s">
        <v>705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706</v>
      </c>
      <c r="C1" s="3" t="s">
        <v>707</v>
      </c>
      <c r="E1" s="3" t="s">
        <v>524</v>
      </c>
      <c r="F1" s="3" t="s">
        <v>708</v>
      </c>
    </row>
    <row r="2" spans="2:6">
      <c r="B2" s="4" t="s">
        <v>709</v>
      </c>
      <c r="C2" s="4">
        <v>13</v>
      </c>
      <c r="E2" s="4" t="s">
        <v>710</v>
      </c>
      <c r="F2" s="4">
        <v>6</v>
      </c>
    </row>
    <row r="3" spans="2:6">
      <c r="B3" s="4" t="s">
        <v>711</v>
      </c>
      <c r="C3" s="4">
        <v>13</v>
      </c>
      <c r="E3" s="4" t="s">
        <v>712</v>
      </c>
      <c r="F3" s="4">
        <v>13</v>
      </c>
    </row>
    <row r="4" spans="2:6">
      <c r="B4" s="4" t="s">
        <v>713</v>
      </c>
      <c r="C4" s="4">
        <v>12</v>
      </c>
      <c r="E4" s="4" t="s">
        <v>580</v>
      </c>
      <c r="F4" s="4">
        <v>4</v>
      </c>
    </row>
    <row r="5" spans="2:6">
      <c r="B5" s="4" t="s">
        <v>714</v>
      </c>
      <c r="C5" s="4">
        <v>2</v>
      </c>
      <c r="E5" s="4" t="s">
        <v>715</v>
      </c>
      <c r="F5" s="4">
        <v>6</v>
      </c>
    </row>
    <row r="6" spans="2:6">
      <c r="B6" s="4" t="s">
        <v>716</v>
      </c>
      <c r="C6" s="4">
        <v>2</v>
      </c>
      <c r="E6" s="4" t="s">
        <v>717</v>
      </c>
      <c r="F6" s="4">
        <v>4</v>
      </c>
    </row>
    <row r="7" spans="2:6">
      <c r="B7" s="4" t="s">
        <v>718</v>
      </c>
      <c r="C7" s="4">
        <v>1</v>
      </c>
      <c r="E7" s="4" t="s">
        <v>719</v>
      </c>
      <c r="F7" s="4">
        <v>1</v>
      </c>
    </row>
    <row r="8" spans="2:6">
      <c r="B8" s="4" t="s">
        <v>720</v>
      </c>
      <c r="C8" s="4">
        <v>4</v>
      </c>
      <c r="E8" s="4" t="s">
        <v>721</v>
      </c>
      <c r="F8" s="4">
        <v>3</v>
      </c>
    </row>
    <row r="9" spans="2:6">
      <c r="E9" s="4" t="s">
        <v>722</v>
      </c>
      <c r="F9" s="4">
        <v>1</v>
      </c>
    </row>
    <row r="10" spans="2:6">
      <c r="E10" s="4" t="s">
        <v>723</v>
      </c>
      <c r="F10" s="4">
        <v>5</v>
      </c>
    </row>
    <row r="11" spans="2:6">
      <c r="E11" s="4" t="s">
        <v>724</v>
      </c>
      <c r="F11" s="4">
        <v>1</v>
      </c>
    </row>
    <row r="12" spans="2:6">
      <c r="E12" s="4" t="s">
        <v>720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2026-04-19T09:03:56Z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