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 activeTab="5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<sst xmlns="http://schemas.openxmlformats.org/spreadsheetml/2006/main" count="1307" uniqueCount="758">
  <si>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</si>
  <si>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</si>
  <si>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</si>
  <si>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</si>
  <si>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</si>
  <si>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</si>
  <si>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</si>
  <si>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</si>
  <si>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</si>
  <si>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</si>
  <si>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</si>
  <si>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</si>
  <si>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</si>
  <si>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</si>
  <si>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</si>
  <si>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</si>
  <si>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</si>
  <si>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</si>
  <si>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</si>
  <si>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</si>
  <si>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</si>
  <si>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</si>
  <si>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</si>
  <si>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</si>
  <si>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</si>
  <si>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</si>
  <si>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</si>
  <si>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</si>
  <si>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</si>
  <si>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</si>
  <si>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</si>
  <si>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</si>
  <si>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</si>
  <si>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</si>
  <si>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</si>
  <si>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</si>
  <si>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</si>
  <si>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</si>
  <si>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</si>
  <si>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</si>
  <si>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</si>
  <si>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</si>
  <si>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</si>
  <si>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</si>
  <si>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</si>
  <si>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</si>
  <si>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</si>
  <si>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</si>
  <si>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</si>
  <si>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</si>
  <si>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</si>
  <si>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</si>
  <si>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</si>
  <si>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</si>
  <si>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</si>
  <si>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</si>
  <si>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</si>
  <si>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</si>
  <si>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</si>
  <si>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</si>
  <si>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</si>
  <si>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</si>
  <si>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</si>
  <si>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</si>
  <si>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</si>
  <si>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</si>
  <si>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</si>
  <si>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</si>
  <si>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</si>
  <si>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</si>
  <si>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</si>
  <si>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</si>
  <si>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</si>
  <si>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</si>
  <si>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</si>
  <si>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</si>
  <si>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</si>
  <si>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</si>
  <si>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</si>
  <si>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</si>
  <si>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</si>
  <si>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喜欢11班郑天心（天天开心、承天寺）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</si>
  <si>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</si>
  <si>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</si>
  <si>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</si>
  <si>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</si>
  <si>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</si>
  <si>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</si>
  <si>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</si>
  <si>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</si>
  <si>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</si>
  <si>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</si>
  <si>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</si>
  <si>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</si>
  <si>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</si>
  <si>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</si>
  <si>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</si>
  <si>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</si>
  <si>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</si>
  <si>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</si>
  <si>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</si>
  <si>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</si>
  <si>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</si>
  <si>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</si>
  <si>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</si>
  <si>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</si>
  <si>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</si>
  <si>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</si>
  <si>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</si>
  <si>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</si>
  <si>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</si>
  <si>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
和47/43/6关系好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</si>
  <si>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</si>
  <si>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</si>
  <si>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</si>
  <si>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人生是一场没有回头的列车，沿途的风景需要记录下精彩的瞬间，要让人生充满光与色彩而不是路口日复一日的两点一线。（世界的眼睛）</t>
  </si>
  <si>
    <t>人不能只贪恋一朵玫瑰 5.27
在物理世界中，惯性是可以被称为“惯性力”的 5.27
天天复习有用吗？！ 5.30
北美洲雨热同期 6.2
耳朵不要捐给有需要的人 6.24
热？怎么会热呢？心里有你怎么会热呢？6.24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</si>
  <si>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</si>
  <si>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</si>
  <si>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</si>
  <si>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</si>
  <si>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</si>
  <si>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</si>
  <si>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</si>
  <si>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</si>
  <si>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</si>
  <si>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</si>
  <si>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</si>
  <si>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</si>
  <si>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</si>
  <si>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</si>
  <si>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</si>
  <si>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</si>
  <si>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</si>
  <si>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</si>
  <si>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</si>
  <si>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</si>
  <si>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</si>
  <si>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</si>
  <si>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</si>
  <si>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</si>
  <si>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</si>
  <si>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</si>
  <si>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</si>
  <si>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</si>
  <si>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</si>
  <si>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</si>
  <si>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</si>
  <si>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</si>
  <si>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</si>
  <si>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</si>
  <si>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</si>
  <si>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</si>
  <si>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</si>
  <si>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</si>
  <si>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</si>
  <si>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</si>
  <si>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</si>
  <si>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</si>
  <si>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</si>
  <si>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</si>
  <si>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</si>
  <si>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</si>
  <si>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</si>
  <si>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</si>
  <si>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</si>
  <si>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</si>
  <si>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</si>
  <si>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</si>
  <si>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</si>
  <si>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</si>
  <si>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</si>
  <si>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</si>
  <si>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</si>
  <si>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</si>
  <si>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</si>
  <si>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</si>
  <si>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</si>
  <si>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</si>
  <si>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</si>
  <si>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</si>
  <si>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</si>
  <si>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</si>
  <si>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</si>
  <si>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</si>
  <si>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</si>
  <si>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</si>
  <si>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</si>
  <si>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</si>
  <si>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</si>
  <si>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</si>
  <si>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</si>
  <si>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</si>
  <si>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</si>
  <si>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</si>
  <si>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</si>
  <si>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</si>
  <si>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</si>
  <si>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</si>
  <si>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</si>
  <si>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</si>
  <si>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</si>
  <si>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</si>
  <si>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</si>
  <si>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</si>
  <si>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</si>
  <si>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</si>
  <si>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</si>
  <si>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</si>
  <si>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</si>
  <si>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</si>
  <si>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</si>
  <si>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</si>
  <si>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</si>
  <si>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</si>
  <si>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</si>
  <si>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</si>
  <si>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</si>
  <si>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</si>
  <si>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</si>
  <si>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</si>
  <si>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</si>
  <si>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</si>
  <si>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</si>
  <si>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</si>
  <si>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</si>
  <si>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</si>
  <si>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</si>
  <si>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</si>
  <si>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</si>
  <si>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</si>
  <si>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</si>
  <si>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</si>
  <si>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</si>
  <si>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</si>
  <si>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</si>
  <si>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</si>
  <si>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</si>
  <si>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</si>
  <si>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</si>
  <si>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</si>
  <si>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</si>
  <si>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</si>
  <si>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</si>
  <si>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</si>
  <si>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</si>
  <si>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</si>
  <si>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</si>
  <si>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</si>
  <si>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</si>
  <si>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</si>
  <si>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</si>
  <si>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</si>
  <si>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</si>
  <si>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</si>
  <si>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</si>
  <si>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</si>
  <si>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</si>
  <si>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</si>
  <si>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</si>
  <si>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</si>
  <si>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</si>
  <si>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</si>
  <si>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</si>
  <si>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</si>
  <si>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</si>
  <si>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</si>
  <si>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</si>
  <si>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</si>
  <si>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</si>
  <si>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</si>
  <si>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</si>
  <si>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</si>
  <si>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</si>
  <si>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</si>
  <si>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</si>
  <si>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</si>
  <si>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</si>
  <si>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</si>
  <si>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</si>
  <si>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</si>
  <si>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</si>
  <si>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</si>
  <si>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</si>
  <si>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</si>
  <si>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</si>
  <si>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</si>
  <si>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</si>
  <si>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</si>
  <si>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</si>
  <si>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</si>
  <si>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</si>
  <si>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</si>
  <si>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</si>
  <si>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</si>
  <si>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</si>
  <si>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</si>
  <si>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</si>
  <si>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</si>
  <si>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</si>
  <si>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</si>
  <si>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</si>
  <si>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</si>
  <si>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</si>
  <si>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</si>
  <si>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</si>
  <si>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</si>
  <si>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</si>
  <si>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</si>
  <si>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</si>
  <si>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</si>
  <si>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</si>
  <si>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</si>
  <si>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</si>
  <si>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</si>
  <si>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</si>
  <si>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</si>
  <si>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</si>
  <si>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</si>
  <si>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</si>
  <si>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</si>
  <si>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</si>
  <si>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</si>
  <si>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</si>
  <si>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</si>
  <si>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</si>
  <si>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</si>
  <si>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</si>
  <si>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</si>
  <si>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</si>
  <si>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</si>
  <si>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</si>
  <si>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</si>
  <si>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</si>
  <si>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</si>
  <si>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</si>
  <si>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</si>
  <si>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</si>
  <si>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</si>
  <si>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</si>
  <si>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</si>
  <si>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</si>
  <si>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</si>
  <si>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</si>
  <si>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</si>
  <si>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</si>
  <si>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</si>
  <si>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</si>
  <si>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</si>
  <si>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</si>
  <si>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</si>
  <si>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</si>
  <si>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</si>
  <si>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</si>
  <si>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</si>
  <si>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</si>
  <si>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</si>
  <si>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八3.17</t>
  </si>
  <si>
    <t>郑致辰！冷静一下！</t>
  </si>
  <si>
    <t>首次没收修正带</t>
  </si>
  <si>
    <t>八3.27</t>
  </si>
  <si>
    <t>陈子岩过小测用修正带被发现，问后发现是借季仁槿的</t>
  </si>
  <si>
    <t>历史课门神</t>
  </si>
  <si>
    <t>八4.8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</si>
  <si>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</si>
  <si>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</si>
  <si>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</si>
  <si>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</si>
  <si>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</si>
  <si>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八3.24</t>
  </si>
  <si>
    <t>方欣妍（第二组靠过道）吐槽一直喷口水，到了后面都想着躲口水，下课后还打算向刘老师反映</t>
  </si>
  <si>
    <t>八5.4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</si>
  <si>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</si>
  <si>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</si>
  <si>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八5.8</t>
  </si>
  <si>
    <t>林芷琪将笔放到过道旁。师拿起并多次按笔，几分钟后才放回（局部笑）</t>
  </si>
  <si>
    <t>刘老师故意安排陈睿卓、俞昕辰坐</t>
  </si>
  <si>
    <t>八5.7</t>
  </si>
  <si>
    <t>（第四组）-如果再坐这么远，以后固定坐在第四组</t>
  </si>
  <si>
    <t>（第四组）请第三组对话后，让二人对话</t>
  </si>
  <si>
    <t>21/45</t>
  </si>
  <si>
    <t>八5.15</t>
  </si>
  <si>
    <t>跳蚤市场，钱尚恩给张桢烨买花</t>
  </si>
  <si>
    <t>八5.20</t>
  </si>
  <si>
    <t>方翔发棒棒糖，21吃糖时45将纸棒进进出出运动</t>
  </si>
  <si>
    <t>八6.25</t>
  </si>
  <si>
    <t>45→21-我可以抱一下你吗？</t>
  </si>
  <si>
    <t>八5.18</t>
  </si>
  <si>
    <t>郑诗语用季仁槿排球</t>
  </si>
  <si>
    <t>八5.27</t>
  </si>
  <si>
    <t>体育课下节生物课，空调扇叶往下，后排（陈睿卓为代表）强烈要求往上，40，44，38明确反对。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</si>
  <si>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八6.10</t>
  </si>
  <si>
    <t>江允儿：多次传纸条、往后转、下课聊天</t>
  </si>
  <si>
    <t>江允儿和蔡华楷坐，分开后学会：好机会/我是一个考生，我有两科考完
给蔡华楷海苔/果冻/薯条
传纸条不让人看</t>
  </si>
  <si>
    <t>八6.26</t>
  </si>
  <si>
    <t>林钰颖黑板写“雷阵雨”，语-雷阵雨？好耳熟</t>
  </si>
  <si>
    <t>刘老师？局部整治不交语文作业乱象，语师也介入</t>
  </si>
  <si>
    <t>数学老师拿走郑诗语作业-还是诗语写的完整</t>
  </si>
  <si>
    <t>音乐课江雨晴被罚唱歌，想让蔡华楷一起唱红色高跟鞋，被拒绝（22 offer）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</si>
  <si>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</si>
  <si>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</si>
  <si>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</si>
  <si>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</si>
  <si>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</si>
  <si>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</si>
  <si>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</si>
  <si>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</si>
  <si>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</si>
  <si>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</si>
  <si>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</si>
  <si>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</si>
  <si>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</si>
  <si>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</si>
  <si>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</si>
  <si>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</si>
  <si>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</si>
  <si>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</si>
  <si>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</si>
  <si>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</si>
  <si>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</si>
  <si>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</si>
  <si>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</si>
  <si>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</si>
  <si>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</si>
  <si>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</si>
  <si>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</si>
  <si>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</si>
  <si>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</si>
  <si>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</si>
  <si>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</si>
  <si>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</si>
  <si>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</si>
  <si>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</si>
  <si>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</si>
  <si>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</si>
  <si>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</si>
  <si>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</si>
  <si>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</si>
  <si>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</si>
  <si>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</si>
  <si>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</si>
  <si>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</si>
  <si>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</si>
  <si>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</si>
  <si>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</si>
  <si>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</si>
  <si>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</si>
  <si>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</si>
  <si>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</si>
  <si>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</si>
  <si>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</si>
  <si>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</si>
  <si>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</si>
  <si>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</si>
  <si>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</si>
  <si>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</si>
  <si>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</si>
  <si>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</si>
  <si>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</si>
  <si>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</si>
  <si>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</si>
  <si>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</si>
  <si>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</si>
  <si>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</si>
  <si>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</si>
  <si>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</si>
  <si>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</si>
  <si>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</si>
  <si>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</si>
  <si>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</si>
  <si>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</si>
  <si>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</si>
  <si>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</si>
  <si>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</si>
  <si>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</si>
  <si>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</si>
  <si>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</si>
  <si>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</si>
  <si>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</si>
  <si>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</si>
  <si>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</si>
  <si>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</si>
  <si>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</si>
  <si>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</si>
  <si>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</si>
  <si>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</si>
  <si>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</si>
  <si>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</si>
  <si>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</si>
  <si>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</si>
  <si>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</si>
  <si>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</si>
  <si>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</si>
  <si>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</si>
  <si>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</si>
  <si>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</si>
  <si>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</si>
  <si>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</si>
  <si>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</si>
  <si>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</si>
  <si>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</si>
  <si>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</si>
  <si>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</si>
  <si>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</si>
  <si>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</si>
  <si>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</si>
  <si>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</si>
  <si>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</si>
  <si>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</si>
  <si>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</si>
  <si>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</si>
  <si>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</si>
  <si>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</si>
  <si>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</si>
  <si>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</si>
  <si>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</si>
  <si>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</si>
  <si>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</si>
  <si>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</si>
  <si>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</si>
  <si>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</si>
  <si>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</si>
  <si>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</si>
  <si>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</si>
  <si>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</si>
  <si>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</si>
  <si>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</si>
  <si>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</si>
  <si>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</si>
  <si>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</si>
  <si>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</si>
  <si>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</si>
  <si>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</si>
  <si>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</si>
  <si>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</si>
  <si>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</si>
  <si>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</si>
  <si>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</si>
  <si>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</si>
  <si>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</si>
  <si>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</si>
  <si>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</si>
  <si>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</si>
  <si>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</si>
  <si>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</si>
  <si>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</si>
  <si>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</si>
  <si>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</si>
  <si>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</si>
  <si>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</si>
  <si>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</si>
  <si>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</si>
  <si>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</si>
  <si>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</si>
  <si>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</si>
  <si>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</si>
  <si>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</si>
  <si>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</si>
  <si>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喵喵姐、逗姐、爷爷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</si>
  <si>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</si>
  <si>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</si>
  <si>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</si>
  <si>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</si>
  <si>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</si>
  <si>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</si>
  <si>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</si>
  <si>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</si>
  <si>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</si>
  <si>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</si>
  <si>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</si>
  <si>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</si>
  <si>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</si>
  <si>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牛肉干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</si>
  <si>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</si>
  <si>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</si>
  <si>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</si>
  <si>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</si>
  <si>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</si>
  <si>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</si>
  <si>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</si>
  <si>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</si>
  <si>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</si>
  <si>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</si>
  <si>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</si>
  <si>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四一男、喵喵男、老大、薛宝钗、promise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</si>
  <si>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</si>
  <si>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</si>
  <si>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</si>
  <si>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</si>
  <si>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</si>
  <si>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</si>
  <si>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</si>
  <si>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</si>
  <si>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大脚、屁眼</t>
  </si>
  <si>
    <t>海平面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</si>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</sst>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宋体"/>
      <charset val="134"/>
    </font>
    <font>
      <sz val="11"/>
      <name val="华文仿宋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42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17" fillId="15" borderId="4" xfId="0" applyFont="1" applyFill="1" applyBorder="1" applyAlignment="1">
      <alignment horizontal="center" vertical="center" wrapText="1"/>
    </xf>
    <xf numFmtId="0" fontId="19" fillId="15" borderId="4" xfId="0" applyFont="1" applyFill="1" applyBorder="1" applyAlignment="1">
      <alignment horizontal="center" vertical="center" wrapText="1"/>
    </xf>
    <xf numFmtId="0" fontId="18" fillId="15" borderId="4" xfId="0" applyFont="1" applyFill="1" applyBorder="1" applyAlignment="1">
      <alignment horizontal="center" vertical="center" wrapText="1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L78"/>
  <sheetViews>
    <sheetView zoomScale="70" zoomScaleNormal="70" topLeftCell="A40" workbookViewId="0">
      <selection activeCell="L47" sqref="L47"/>
    </sheetView>
  </sheetViews>
  <sheetFormatPr defaultColWidth="8.72727272727273" defaultRowHeight="14"/>
  <cols>
    <col min="1" max="1" width="7.59090909090909" style="231" customWidth="1"/>
    <col min="2" max="7" width="25.8727272727273" style="232" customWidth="1"/>
    <col min="8" max="10" width="16.6818181818182" style="233" customWidth="1"/>
    <col min="11" max="11" width="19.6090909090909" style="230" customWidth="1"/>
    <col min="12" max="12" width="17.9181818181818" style="230" customWidth="1"/>
    <col min="13" max="16384" width="8.72727272727273" style="230"/>
  </cols>
  <sheetData>
    <row r="1" s="229" customFormat="1" spans="1:10">
      <c r="A1" s="234" t="s">
        <v>0</v>
      </c>
      <c r="B1" s="235" t="s">
        <v>1</v>
      </c>
      <c r="C1" s="235" t="s">
        <v>2</v>
      </c>
      <c r="D1" s="235" t="s">
        <v>3</v>
      </c>
      <c r="E1" s="235" t="s">
        <v>4</v>
      </c>
      <c r="F1" s="235" t="s">
        <v>5</v>
      </c>
      <c r="G1" s="235" t="s">
        <v>6</v>
      </c>
      <c r="H1" s="236"/>
      <c r="I1" s="236"/>
      <c r="J1" s="236"/>
    </row>
    <row r="2" spans="1:10">
      <c r="A2" s="237" t="s">
        <v>7</v>
      </c>
      <c r="B2" s="232" t="s">
        <v>8</v>
      </c>
      <c r="C2" s="232" t="s">
        <v>9</v>
      </c>
    </row>
    <row r="3" ht="52" spans="1:10">
      <c r="A3" s="237" t="s">
        <v>10</v>
      </c>
      <c r="C3" s="232" t="s">
        <v>11</v>
      </c>
      <c r="D3" s="232" t="s">
        <v>12</v>
      </c>
    </row>
    <row r="4" ht="26" spans="1:10">
      <c r="A4" s="237" t="s">
        <v>13</v>
      </c>
      <c r="D4" s="232" t="s">
        <v>14</v>
      </c>
    </row>
    <row r="5" ht="70" spans="1:10">
      <c r="A5" s="237" t="s">
        <v>15</v>
      </c>
      <c r="C5" s="232" t="s">
        <v>16</v>
      </c>
      <c r="D5" s="232" t="s">
        <v>17</v>
      </c>
      <c r="H5" s="233" t="s">
        <v>18</v>
      </c>
    </row>
    <row r="6" spans="1:10">
      <c r="A6" s="237" t="s">
        <v>19</v>
      </c>
      <c r="C6" s="232" t="s">
        <v>20</v>
      </c>
    </row>
    <row r="7" ht="221" spans="1:10">
      <c r="A7" s="237" t="s">
        <v>21</v>
      </c>
      <c r="B7" s="232" t="s">
        <v>22</v>
      </c>
      <c r="C7" s="232" t="s">
        <v>23</v>
      </c>
      <c r="D7" s="232" t="s">
        <v>24</v>
      </c>
    </row>
    <row r="8" ht="26" spans="1:10">
      <c r="A8" s="237" t="s">
        <v>25</v>
      </c>
      <c r="D8" s="232" t="s">
        <v>26</v>
      </c>
    </row>
    <row r="9" spans="1:10">
      <c r="A9" s="237" t="s">
        <v>27</v>
      </c>
    </row>
    <row r="10" spans="1:10">
      <c r="A10" s="237" t="s">
        <v>28</v>
      </c>
      <c r="B10" s="232" t="s">
        <v>29</v>
      </c>
    </row>
    <row r="11" spans="1:10">
      <c r="A11" s="237" t="s">
        <v>30</v>
      </c>
    </row>
    <row r="12" spans="1:10">
      <c r="A12" s="237" t="s">
        <v>31</v>
      </c>
      <c r="E12" s="232" t="s">
        <v>32</v>
      </c>
    </row>
    <row r="13" ht="39" spans="1:10">
      <c r="A13" s="237" t="s">
        <v>33</v>
      </c>
      <c r="D13" s="232" t="s">
        <v>34</v>
      </c>
      <c r="F13" s="232" t="s">
        <v>35</v>
      </c>
    </row>
    <row r="14" spans="1:10">
      <c r="A14" s="237" t="s">
        <v>36</v>
      </c>
      <c r="B14" s="232" t="s">
        <v>37</v>
      </c>
    </row>
    <row r="15" spans="1:10">
      <c r="A15" s="237" t="s">
        <v>38</v>
      </c>
    </row>
    <row r="16" ht="56" spans="1:10">
      <c r="A16" s="237" t="s">
        <v>39</v>
      </c>
      <c r="B16" s="232" t="s">
        <v>40</v>
      </c>
      <c r="C16" s="232" t="s">
        <v>41</v>
      </c>
      <c r="H16" s="233" t="s">
        <v>42</v>
      </c>
    </row>
    <row r="17" ht="26" spans="1:8">
      <c r="A17" s="237" t="s">
        <v>43</v>
      </c>
      <c r="C17" s="232" t="s">
        <v>44</v>
      </c>
    </row>
    <row r="18" spans="1:8">
      <c r="A18" s="237" t="s">
        <v>45</v>
      </c>
      <c r="D18" s="232" t="s">
        <v>46</v>
      </c>
    </row>
    <row r="19" ht="42" spans="1:8">
      <c r="A19" s="237" t="s">
        <v>47</v>
      </c>
      <c r="D19" s="232" t="s">
        <v>48</v>
      </c>
      <c r="E19" s="232" t="s">
        <v>32</v>
      </c>
      <c r="H19" s="233" t="s">
        <v>49</v>
      </c>
    </row>
    <row r="20" ht="26" spans="1:8">
      <c r="A20" s="237" t="s">
        <v>50</v>
      </c>
      <c r="B20" s="232" t="s">
        <v>51</v>
      </c>
      <c r="C20" s="232" t="s">
        <v>52</v>
      </c>
    </row>
    <row r="21" ht="52" spans="1:8">
      <c r="A21" s="237" t="s">
        <v>53</v>
      </c>
      <c r="B21" s="232" t="s">
        <v>54</v>
      </c>
      <c r="C21" s="232" t="s">
        <v>55</v>
      </c>
      <c r="D21" s="232" t="s">
        <v>56</v>
      </c>
      <c r="E21" s="232" t="s">
        <v>57</v>
      </c>
    </row>
    <row r="22" spans="1:8">
      <c r="A22" s="237" t="s">
        <v>58</v>
      </c>
    </row>
    <row r="23" ht="42" spans="1:8">
      <c r="A23" s="237" t="s">
        <v>59</v>
      </c>
      <c r="B23" s="232" t="s">
        <v>60</v>
      </c>
      <c r="E23" s="232" t="s">
        <v>61</v>
      </c>
      <c r="H23" s="233" t="s">
        <v>62</v>
      </c>
    </row>
    <row r="24" ht="52" spans="1:8">
      <c r="A24" s="237" t="s">
        <v>63</v>
      </c>
      <c r="B24" s="232" t="s">
        <v>64</v>
      </c>
      <c r="C24" s="232" t="s">
        <v>65</v>
      </c>
      <c r="D24" s="232" t="s">
        <v>66</v>
      </c>
      <c r="E24" s="232" t="s">
        <v>67</v>
      </c>
    </row>
    <row r="25" spans="1:8">
      <c r="A25" s="237" t="s">
        <v>68</v>
      </c>
    </row>
    <row r="26" spans="1:8">
      <c r="A26" s="237" t="s">
        <v>69</v>
      </c>
    </row>
    <row r="27" spans="1:8">
      <c r="A27" s="237" t="s">
        <v>70</v>
      </c>
      <c r="B27" s="232" t="s">
        <v>71</v>
      </c>
      <c r="C27" s="232" t="s">
        <v>72</v>
      </c>
      <c r="E27" s="232" t="s">
        <v>73</v>
      </c>
    </row>
    <row r="28" ht="91" spans="1:8">
      <c r="A28" s="237" t="s">
        <v>74</v>
      </c>
      <c r="B28" s="232" t="s">
        <v>75</v>
      </c>
      <c r="C28" s="232" t="s">
        <v>76</v>
      </c>
      <c r="D28" s="232" t="s">
        <v>77</v>
      </c>
      <c r="E28" s="232" t="s">
        <v>78</v>
      </c>
    </row>
    <row r="29" ht="42" spans="1:8">
      <c r="A29" s="237" t="s">
        <v>79</v>
      </c>
      <c r="E29" s="232" t="s">
        <v>80</v>
      </c>
      <c r="H29" s="233" t="s">
        <v>81</v>
      </c>
    </row>
    <row r="30" spans="1:8">
      <c r="A30" s="237" t="s">
        <v>82</v>
      </c>
      <c r="B30" s="232" t="s">
        <v>83</v>
      </c>
      <c r="C30" s="232" t="s">
        <v>84</v>
      </c>
    </row>
    <row r="31" spans="1:8">
      <c r="A31" s="237" t="s">
        <v>85</v>
      </c>
    </row>
    <row r="32" spans="1:8">
      <c r="A32" s="237" t="s">
        <v>86</v>
      </c>
    </row>
    <row r="33" spans="1:12">
      <c r="A33" s="237" t="s">
        <v>87</v>
      </c>
    </row>
    <row r="34" spans="1:12">
      <c r="A34" s="237" t="s">
        <v>88</v>
      </c>
    </row>
    <row r="35" spans="1:12">
      <c r="A35" s="237" t="s">
        <v>89</v>
      </c>
    </row>
    <row r="36" spans="1:12">
      <c r="A36" s="237" t="s">
        <v>90</v>
      </c>
      <c r="B36" s="232" t="s">
        <v>91</v>
      </c>
    </row>
    <row r="37" ht="26" spans="1:12">
      <c r="A37" s="237" t="s">
        <v>92</v>
      </c>
      <c r="C37" s="232" t="s">
        <v>93</v>
      </c>
      <c r="D37" s="232" t="s">
        <v>94</v>
      </c>
    </row>
    <row r="38" spans="1:12">
      <c r="A38" s="237" t="s">
        <v>95</v>
      </c>
      <c r="B38" s="232" t="s">
        <v>96</v>
      </c>
      <c r="C38" s="238"/>
      <c r="D38" s="238"/>
      <c r="E38" s="238"/>
      <c r="F38" s="238"/>
      <c r="G38" s="238"/>
    </row>
    <row r="39" ht="26" spans="1:12">
      <c r="A39" s="237" t="s">
        <v>97</v>
      </c>
      <c r="C39" s="232" t="s">
        <v>98</v>
      </c>
      <c r="D39" s="232" t="s">
        <v>99</v>
      </c>
      <c r="E39" s="232" t="s">
        <v>100</v>
      </c>
    </row>
    <row r="40" ht="252" spans="1:12">
      <c r="A40" s="237" t="s">
        <v>101</v>
      </c>
      <c r="B40" s="232" t="s">
        <v>102</v>
      </c>
      <c r="C40" s="232" t="s">
        <v>103</v>
      </c>
      <c r="D40" s="232" t="s">
        <v>104</v>
      </c>
      <c r="F40" s="232" t="s">
        <v>105</v>
      </c>
      <c r="H40" s="233" t="s">
        <v>106</v>
      </c>
      <c r="I40" s="233" t="s">
        <v>107</v>
      </c>
    </row>
    <row r="41" s="230" customFormat="1" ht="208" spans="1:12">
      <c r="A41" s="237" t="s">
        <v>108</v>
      </c>
      <c r="B41" s="232"/>
      <c r="C41" s="232" t="s">
        <v>109</v>
      </c>
      <c r="D41" s="232" t="s">
        <v>110</v>
      </c>
      <c r="E41" s="232" t="s">
        <v>111</v>
      </c>
      <c r="F41" s="232"/>
      <c r="G41" s="232"/>
      <c r="H41" s="233" t="s">
        <v>112</v>
      </c>
      <c r="I41" s="233" t="s">
        <v>113</v>
      </c>
      <c r="J41" s="233" t="s">
        <v>114</v>
      </c>
      <c r="K41" s="230" t="s">
        <v>115</v>
      </c>
      <c r="L41" s="230" t="s">
        <v>116</v>
      </c>
    </row>
    <row r="42" spans="1:12">
      <c r="A42" s="237" t="s">
        <v>117</v>
      </c>
    </row>
    <row r="43" ht="28" spans="1:12">
      <c r="A43" s="237" t="s">
        <v>118</v>
      </c>
      <c r="B43" s="232" t="s">
        <v>119</v>
      </c>
      <c r="E43" s="232" t="s">
        <v>120</v>
      </c>
      <c r="H43" s="233" t="s">
        <v>121</v>
      </c>
    </row>
    <row r="44" ht="26" spans="1:12">
      <c r="A44" s="237" t="s">
        <v>122</v>
      </c>
      <c r="B44" s="232" t="s">
        <v>123</v>
      </c>
    </row>
    <row r="45" ht="26" spans="1:12">
      <c r="A45" s="237" t="s">
        <v>124</v>
      </c>
      <c r="C45" s="232" t="s">
        <v>125</v>
      </c>
      <c r="D45" s="232" t="s">
        <v>126</v>
      </c>
      <c r="E45" s="232" t="s">
        <v>127</v>
      </c>
    </row>
    <row r="46" spans="1:12">
      <c r="A46" s="237" t="s">
        <v>128</v>
      </c>
    </row>
    <row r="47" spans="1:12">
      <c r="A47" s="237" t="s">
        <v>129</v>
      </c>
      <c r="D47" s="232" t="s">
        <v>130</v>
      </c>
    </row>
    <row r="48" ht="42" spans="1:12">
      <c r="A48" s="237" t="s">
        <v>131</v>
      </c>
      <c r="C48" s="232" t="s">
        <v>132</v>
      </c>
      <c r="D48" s="232" t="s">
        <v>133</v>
      </c>
      <c r="H48" s="233" t="s">
        <v>134</v>
      </c>
    </row>
    <row r="49" spans="1:8">
      <c r="A49" s="237" t="s">
        <v>135</v>
      </c>
      <c r="E49" s="232" t="s">
        <v>136</v>
      </c>
    </row>
    <row r="50" ht="78" spans="1:8">
      <c r="A50" s="237" t="s">
        <v>137</v>
      </c>
      <c r="C50" s="232" t="s">
        <v>138</v>
      </c>
    </row>
    <row r="51" spans="1:8">
      <c r="A51" s="237" t="s">
        <v>139</v>
      </c>
    </row>
    <row r="52" ht="26" spans="1:8">
      <c r="A52" s="237" t="s">
        <v>140</v>
      </c>
      <c r="B52" s="232" t="s">
        <v>141</v>
      </c>
      <c r="C52" s="232" t="s">
        <v>142</v>
      </c>
      <c r="E52" s="232" t="s">
        <v>143</v>
      </c>
    </row>
    <row r="53" ht="26" spans="1:8">
      <c r="A53" s="231" t="s">
        <v>144</v>
      </c>
      <c r="B53" s="232" t="s">
        <v>145</v>
      </c>
      <c r="D53" s="238"/>
      <c r="E53" s="238"/>
      <c r="F53" s="238"/>
      <c r="G53" s="238"/>
    </row>
    <row r="54" spans="1:8">
      <c r="A54" s="231" t="s">
        <v>146</v>
      </c>
      <c r="B54" s="232" t="s">
        <v>147</v>
      </c>
      <c r="C54" s="232" t="s">
        <v>148</v>
      </c>
      <c r="D54" s="238"/>
      <c r="E54" s="238"/>
      <c r="F54" s="238"/>
      <c r="G54" s="238"/>
    </row>
    <row r="55" ht="65" spans="1:8">
      <c r="A55" s="231" t="s">
        <v>149</v>
      </c>
      <c r="B55" s="238"/>
      <c r="C55" s="238"/>
      <c r="D55" s="232" t="s">
        <v>150</v>
      </c>
      <c r="E55" s="232" t="s">
        <v>151</v>
      </c>
    </row>
    <row r="56" ht="65" spans="1:8">
      <c r="A56" s="231" t="s">
        <v>152</v>
      </c>
      <c r="B56" s="239" t="s">
        <v>153</v>
      </c>
      <c r="C56" s="239"/>
      <c r="D56" s="232" t="s">
        <v>154</v>
      </c>
      <c r="H56" s="233" t="s">
        <v>155</v>
      </c>
    </row>
    <row r="57" ht="117" spans="1:8">
      <c r="A57" s="231" t="s">
        <v>156</v>
      </c>
      <c r="B57" s="239" t="s">
        <v>157</v>
      </c>
      <c r="C57" s="239" t="s">
        <v>158</v>
      </c>
      <c r="D57" s="232" t="s">
        <v>159</v>
      </c>
    </row>
    <row r="58" spans="1:8">
      <c r="A58" s="231" t="s">
        <v>160</v>
      </c>
      <c r="B58" s="232" t="s">
        <v>161</v>
      </c>
      <c r="C58" s="238"/>
      <c r="D58" s="238"/>
      <c r="E58" s="238"/>
      <c r="F58" s="238"/>
      <c r="G58" s="238"/>
    </row>
    <row r="59" spans="1:8">
      <c r="A59" s="231" t="s">
        <v>162</v>
      </c>
      <c r="B59" s="238"/>
      <c r="C59" s="232" t="s">
        <v>163</v>
      </c>
      <c r="D59" s="238"/>
      <c r="E59" s="238"/>
      <c r="F59" s="238"/>
      <c r="G59" s="238"/>
    </row>
    <row r="60" ht="52" spans="1:8">
      <c r="A60" s="231" t="s">
        <v>164</v>
      </c>
      <c r="B60" s="238" t="s">
        <v>165</v>
      </c>
      <c r="C60" s="238"/>
      <c r="D60" s="232" t="s">
        <v>166</v>
      </c>
    </row>
    <row r="61" spans="1:8">
      <c r="A61" s="231" t="s">
        <v>167</v>
      </c>
      <c r="B61" s="239" t="s">
        <v>168</v>
      </c>
      <c r="C61" s="239"/>
      <c r="D61" s="238"/>
      <c r="E61" s="238"/>
      <c r="F61" s="238"/>
      <c r="G61" s="238"/>
    </row>
    <row r="62" ht="52" spans="1:8">
      <c r="A62" s="231" t="s">
        <v>169</v>
      </c>
      <c r="B62" s="238"/>
      <c r="C62" s="238"/>
      <c r="D62" s="232" t="s">
        <v>170</v>
      </c>
      <c r="E62" s="232" t="s">
        <v>171</v>
      </c>
    </row>
    <row r="63" ht="26" spans="1:8">
      <c r="A63" s="231" t="s">
        <v>172</v>
      </c>
      <c r="B63" s="239" t="s">
        <v>173</v>
      </c>
      <c r="C63" s="239" t="s">
        <v>174</v>
      </c>
      <c r="D63" s="238"/>
      <c r="E63" s="238"/>
      <c r="F63" s="238"/>
      <c r="G63" s="238"/>
    </row>
    <row r="64" ht="26" spans="1:8">
      <c r="A64" s="231" t="s">
        <v>175</v>
      </c>
      <c r="B64" s="238"/>
      <c r="C64" s="238"/>
      <c r="D64" s="232" t="s">
        <v>176</v>
      </c>
      <c r="E64" s="232" t="s">
        <v>177</v>
      </c>
    </row>
    <row r="65" ht="26" spans="1:7">
      <c r="A65" s="231" t="s">
        <v>178</v>
      </c>
      <c r="B65" s="240" t="s">
        <v>179</v>
      </c>
      <c r="C65" s="238"/>
      <c r="D65" s="238"/>
      <c r="E65" s="238"/>
      <c r="F65" s="238"/>
      <c r="G65" s="238"/>
    </row>
    <row r="66" spans="1:7">
      <c r="A66" s="231" t="s">
        <v>180</v>
      </c>
      <c r="B66" s="238"/>
      <c r="C66" s="232" t="s">
        <v>181</v>
      </c>
      <c r="D66" s="238"/>
      <c r="E66" s="238"/>
      <c r="F66" s="238"/>
      <c r="G66" s="238"/>
    </row>
    <row r="67" spans="1:7">
      <c r="A67" s="231" t="s">
        <v>182</v>
      </c>
      <c r="B67" s="238"/>
      <c r="C67" s="238"/>
    </row>
    <row r="68" ht="78" spans="1:7">
      <c r="A68" s="231" t="s">
        <v>183</v>
      </c>
      <c r="B68" s="238"/>
      <c r="C68" s="238"/>
      <c r="D68" s="232" t="s">
        <v>184</v>
      </c>
    </row>
    <row r="69" spans="1:7">
      <c r="A69" s="231" t="s">
        <v>185</v>
      </c>
      <c r="B69" s="239" t="s">
        <v>186</v>
      </c>
      <c r="C69" s="239"/>
    </row>
    <row r="70" ht="26" spans="1:7">
      <c r="A70" s="231" t="s">
        <v>187</v>
      </c>
      <c r="B70" s="239" t="s">
        <v>188</v>
      </c>
      <c r="C70" s="239"/>
      <c r="D70" s="238"/>
      <c r="E70" s="238"/>
      <c r="F70" s="238"/>
      <c r="G70" s="238"/>
    </row>
    <row r="71" spans="1:7">
      <c r="A71" s="231" t="s">
        <v>189</v>
      </c>
      <c r="B71" s="238"/>
      <c r="C71" s="238"/>
    </row>
    <row r="72" spans="1:7">
      <c r="A72" s="231" t="s">
        <v>190</v>
      </c>
      <c r="B72" s="232" t="s">
        <v>191</v>
      </c>
      <c r="C72" s="232" t="s">
        <v>192</v>
      </c>
      <c r="D72" s="238"/>
      <c r="E72" s="238"/>
      <c r="F72" s="238"/>
      <c r="G72" s="238"/>
    </row>
    <row r="73" spans="1:7">
      <c r="A73" s="231" t="s">
        <v>193</v>
      </c>
      <c r="B73" s="238"/>
      <c r="C73" s="232" t="s">
        <v>194</v>
      </c>
      <c r="D73" s="238"/>
      <c r="E73" s="238"/>
      <c r="F73" s="238"/>
      <c r="G73" s="238"/>
    </row>
    <row r="74" spans="1:7">
      <c r="A74" s="231" t="s">
        <v>195</v>
      </c>
    </row>
    <row r="75" spans="1:7">
      <c r="A75" s="231" t="s">
        <v>196</v>
      </c>
      <c r="D75" s="238"/>
      <c r="E75" s="238"/>
      <c r="F75" s="238"/>
      <c r="G75" s="238"/>
    </row>
    <row r="76" spans="1:7">
      <c r="A76" s="231" t="s">
        <v>197</v>
      </c>
      <c r="B76" s="238"/>
      <c r="C76" s="238"/>
      <c r="D76" s="232" t="s">
        <v>198</v>
      </c>
    </row>
    <row r="77" spans="1:7">
      <c r="A77" s="231" t="s">
        <v>199</v>
      </c>
      <c r="B77" s="239"/>
      <c r="C77" s="239"/>
    </row>
    <row r="78" ht="26" spans="1:7">
      <c r="A78" s="241" t="s">
        <v>200</v>
      </c>
      <c r="B78" s="232" t="s">
        <v>201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4" customWidth="1"/>
    <col min="2" max="2" width="32.6181818181818" style="106" customWidth="1"/>
    <col min="3" max="7" width="16.4909090909091" style="106" customWidth="1"/>
    <col min="8" max="16384" width="8.72727272727273" style="225"/>
  </cols>
  <sheetData>
    <row r="1" spans="1:7">
      <c r="A1" s="226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3" customFormat="1" ht="39" spans="1:7">
      <c r="A2" s="227" t="s">
        <v>202</v>
      </c>
      <c r="B2" s="118"/>
      <c r="C2" s="118"/>
      <c r="D2" s="118" t="s">
        <v>203</v>
      </c>
      <c r="E2" s="118"/>
      <c r="F2" s="118"/>
      <c r="G2" s="118"/>
    </row>
    <row r="3" spans="1:7">
      <c r="A3" s="228" t="s">
        <v>204</v>
      </c>
      <c r="C3" s="106" t="s">
        <v>205</v>
      </c>
    </row>
    <row r="4" spans="1:7">
      <c r="A4" s="228" t="s">
        <v>206</v>
      </c>
      <c r="B4" s="106" t="s">
        <v>207</v>
      </c>
      <c r="D4" s="106" t="s">
        <v>208</v>
      </c>
    </row>
    <row r="5" spans="1:7">
      <c r="A5" s="228" t="s">
        <v>209</v>
      </c>
      <c r="C5" s="106" t="s">
        <v>210</v>
      </c>
      <c r="D5" s="106" t="s">
        <v>211</v>
      </c>
    </row>
    <row r="6" spans="1:7">
      <c r="A6" s="228" t="s">
        <v>212</v>
      </c>
      <c r="B6" s="106" t="s">
        <v>213</v>
      </c>
      <c r="D6" s="106" t="s">
        <v>214</v>
      </c>
    </row>
    <row r="7" spans="1:7">
      <c r="A7" s="228" t="s">
        <v>215</v>
      </c>
      <c r="B7" s="106" t="s">
        <v>216</v>
      </c>
    </row>
    <row r="8" spans="1:7">
      <c r="A8" s="228"/>
      <c r="D8" s="106" t="s">
        <v>217</v>
      </c>
    </row>
    <row r="9" spans="1:7">
      <c r="A9" s="228"/>
    </row>
    <row r="10" spans="1:7">
      <c r="A10" s="228"/>
      <c r="B10" s="106" t="s">
        <v>218</v>
      </c>
    </row>
    <row r="11" spans="1:7">
      <c r="A11" s="228"/>
    </row>
    <row r="12" spans="1:7">
      <c r="A12" s="228"/>
      <c r="B12" s="106" t="s">
        <v>219</v>
      </c>
    </row>
    <row r="13" spans="1:7">
      <c r="A13" s="228"/>
      <c r="B13" s="106" t="s">
        <v>220</v>
      </c>
    </row>
    <row r="14" spans="1:7">
      <c r="A14" s="228"/>
      <c r="B14" s="106" t="s">
        <v>221</v>
      </c>
    </row>
    <row r="15" spans="1:7">
      <c r="A15" s="228"/>
      <c r="B15" s="106" t="s">
        <v>222</v>
      </c>
    </row>
    <row r="16" spans="1:7">
      <c r="A16" s="228"/>
      <c r="B16" s="106" t="s">
        <v>223</v>
      </c>
    </row>
    <row r="17" spans="1:2">
      <c r="A17" s="228"/>
      <c r="B17" s="106" t="s">
        <v>224</v>
      </c>
    </row>
    <row r="18" spans="1:2">
      <c r="A18" s="228"/>
      <c r="B18" s="106" t="s">
        <v>225</v>
      </c>
    </row>
    <row r="19" ht="26" spans="1:2">
      <c r="A19" s="228"/>
      <c r="B19" s="118" t="s">
        <v>226</v>
      </c>
    </row>
    <row r="20" spans="1:2">
      <c r="A20" s="228"/>
      <c r="B20" s="106" t="s">
        <v>227</v>
      </c>
    </row>
    <row r="21" spans="1:2">
      <c r="A21" s="228"/>
      <c r="B21" s="106" t="s">
        <v>228</v>
      </c>
    </row>
    <row r="22" spans="1:2">
      <c r="A22" s="228"/>
      <c r="B22" s="106" t="s">
        <v>229</v>
      </c>
    </row>
    <row r="23" spans="1:2">
      <c r="A23" s="228"/>
      <c r="B23" s="106" t="s">
        <v>230</v>
      </c>
    </row>
    <row r="24" spans="1:2">
      <c r="A24" s="228"/>
      <c r="B24" s="106" t="s">
        <v>231</v>
      </c>
    </row>
    <row r="25" spans="1:2">
      <c r="A25" s="228"/>
    </row>
    <row r="26" spans="1:2">
      <c r="A26" s="228"/>
    </row>
    <row r="27" spans="1:2">
      <c r="A27" s="228"/>
    </row>
    <row r="28" spans="1:2">
      <c r="A28" s="228"/>
    </row>
    <row r="29" spans="1:2">
      <c r="A29" s="228"/>
    </row>
    <row r="30" spans="1:2">
      <c r="A30" s="228"/>
    </row>
    <row r="31" spans="1:2">
      <c r="A31" s="228"/>
    </row>
    <row r="32" spans="1:2">
      <c r="A32" s="228"/>
    </row>
    <row r="33" spans="1:7">
      <c r="A33" s="228"/>
    </row>
    <row r="34" spans="1:7">
      <c r="A34" s="228"/>
    </row>
    <row r="35" spans="1:7">
      <c r="A35" s="228"/>
    </row>
    <row r="36" spans="1:7">
      <c r="A36" s="228"/>
    </row>
    <row r="37" spans="1:7">
      <c r="A37" s="228"/>
    </row>
    <row r="38" spans="1:7">
      <c r="A38" s="228"/>
      <c r="B38" s="118"/>
      <c r="C38" s="118"/>
      <c r="D38" s="118"/>
      <c r="E38" s="118"/>
      <c r="F38" s="118"/>
      <c r="G38" s="118"/>
    </row>
    <row r="39" spans="1:7">
      <c r="A39" s="228"/>
      <c r="B39" s="118"/>
      <c r="C39" s="118"/>
      <c r="D39" s="118"/>
      <c r="E39" s="118"/>
      <c r="F39" s="118"/>
      <c r="G39" s="118"/>
    </row>
    <row r="40" spans="1:7">
      <c r="A40" s="228"/>
    </row>
    <row r="41" spans="1:7">
      <c r="A41" s="228"/>
    </row>
    <row r="42" spans="1:7">
      <c r="A42" s="228"/>
    </row>
    <row r="43" spans="1:7">
      <c r="A43" s="228"/>
    </row>
    <row r="44" spans="1:7">
      <c r="A44" s="228"/>
    </row>
    <row r="45" spans="1:7">
      <c r="A45" s="228"/>
    </row>
    <row r="46" spans="1:7">
      <c r="A46" s="228"/>
    </row>
    <row r="47" spans="1:7">
      <c r="A47" s="228"/>
    </row>
    <row r="48" spans="1:7">
      <c r="A48" s="228"/>
    </row>
    <row r="49" spans="1:1">
      <c r="A49" s="228"/>
    </row>
    <row r="50" spans="1:1">
      <c r="A50" s="228"/>
    </row>
    <row r="51" spans="1:1">
      <c r="A51" s="22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6"/>
  <sheetViews>
    <sheetView workbookViewId="0">
      <pane ySplit="1" topLeftCell="A70" activePane="bottomLeft" state="frozen"/>
      <selection/>
      <selection pane="bottomLeft" activeCell="E84" sqref="E84"/>
    </sheetView>
  </sheetViews>
  <sheetFormatPr defaultColWidth="8.72727272727273" defaultRowHeight="14" outlineLevelCol="2"/>
  <cols>
    <col min="1" max="1" width="24" style="214" customWidth="1"/>
    <col min="2" max="2" width="10.6363636363636" style="214" customWidth="1"/>
    <col min="3" max="3" width="91.3636363636364" style="214" customWidth="1"/>
    <col min="4" max="16384" width="8.72727272727273" style="132"/>
  </cols>
  <sheetData>
    <row r="1" s="213" customFormat="1" ht="15" spans="1:3">
      <c r="A1" s="215" t="s">
        <v>232</v>
      </c>
      <c r="B1" s="215" t="s">
        <v>233</v>
      </c>
      <c r="C1" s="215" t="s">
        <v>234</v>
      </c>
    </row>
    <row r="2" spans="1:3">
      <c r="A2" s="216" t="s">
        <v>235</v>
      </c>
      <c r="B2" s="216" t="s">
        <v>236</v>
      </c>
      <c r="C2" s="216" t="s">
        <v>237</v>
      </c>
    </row>
    <row r="3" spans="1:3">
      <c r="A3" s="216" t="s">
        <v>238</v>
      </c>
      <c r="B3" s="216" t="s">
        <v>239</v>
      </c>
      <c r="C3" s="216" t="s">
        <v>240</v>
      </c>
    </row>
    <row r="4" spans="1:3">
      <c r="A4" s="216" t="s">
        <v>241</v>
      </c>
      <c r="B4" s="216" t="s">
        <v>239</v>
      </c>
      <c r="C4" s="216" t="s">
        <v>242</v>
      </c>
    </row>
    <row r="5" ht="56" spans="1:3">
      <c r="A5" s="217" t="s">
        <v>243</v>
      </c>
      <c r="B5" s="216" t="s">
        <v>244</v>
      </c>
      <c r="C5" s="216" t="s">
        <v>245</v>
      </c>
    </row>
    <row r="6" ht="28" spans="1:3">
      <c r="A6" s="218"/>
      <c r="B6" s="216" t="s">
        <v>246</v>
      </c>
      <c r="C6" s="216" t="s">
        <v>247</v>
      </c>
    </row>
    <row r="7" spans="1:3">
      <c r="A7" s="219" t="s">
        <v>108</v>
      </c>
      <c r="B7" s="216" t="s">
        <v>248</v>
      </c>
      <c r="C7" s="216" t="s">
        <v>249</v>
      </c>
    </row>
    <row r="8" ht="140" spans="1:3">
      <c r="A8" s="219"/>
      <c r="B8" s="216" t="s">
        <v>250</v>
      </c>
      <c r="C8" s="216" t="s">
        <v>251</v>
      </c>
    </row>
    <row r="9" spans="1:3">
      <c r="A9" s="219"/>
      <c r="B9" s="216" t="s">
        <v>252</v>
      </c>
      <c r="C9" s="216" t="s">
        <v>253</v>
      </c>
    </row>
    <row r="10" spans="1:3">
      <c r="A10" s="219"/>
      <c r="B10" s="216" t="s">
        <v>254</v>
      </c>
      <c r="C10" s="216" t="s">
        <v>255</v>
      </c>
    </row>
    <row r="11" spans="1:3">
      <c r="A11" s="219"/>
      <c r="B11" s="216" t="s">
        <v>256</v>
      </c>
      <c r="C11" s="216" t="s">
        <v>257</v>
      </c>
    </row>
    <row r="12" ht="42" spans="1:3">
      <c r="A12" s="219"/>
      <c r="B12" s="216" t="s">
        <v>258</v>
      </c>
      <c r="C12" s="216" t="s">
        <v>259</v>
      </c>
    </row>
    <row r="13" ht="28" spans="1:3">
      <c r="A13" s="219"/>
      <c r="B13" s="216" t="s">
        <v>260</v>
      </c>
      <c r="C13" s="216" t="s">
        <v>261</v>
      </c>
    </row>
    <row r="14" ht="28" spans="1:3">
      <c r="A14" s="220"/>
      <c r="B14" s="216" t="s">
        <v>262</v>
      </c>
      <c r="C14" s="216" t="s">
        <v>263</v>
      </c>
    </row>
    <row r="15" spans="1:3">
      <c r="A15" s="216" t="s">
        <v>264</v>
      </c>
      <c r="B15" s="216" t="s">
        <v>265</v>
      </c>
      <c r="C15" s="216" t="s">
        <v>266</v>
      </c>
    </row>
    <row r="16" spans="1:3">
      <c r="A16" s="216" t="s">
        <v>267</v>
      </c>
      <c r="B16" s="216" t="s">
        <v>268</v>
      </c>
      <c r="C16" s="216" t="s">
        <v>269</v>
      </c>
    </row>
    <row r="17" spans="1:3">
      <c r="A17" s="216" t="s">
        <v>270</v>
      </c>
      <c r="B17" s="216" t="s">
        <v>271</v>
      </c>
      <c r="C17" s="221">
        <v>0.440972222222222</v>
      </c>
    </row>
    <row r="18" spans="1:3">
      <c r="A18" s="222" t="s">
        <v>74</v>
      </c>
      <c r="B18" s="216" t="s">
        <v>272</v>
      </c>
      <c r="C18" s="216" t="s">
        <v>273</v>
      </c>
    </row>
    <row r="19" spans="1:3">
      <c r="A19" s="219"/>
      <c r="B19" s="216" t="s">
        <v>274</v>
      </c>
      <c r="C19" s="216" t="s">
        <v>275</v>
      </c>
    </row>
    <row r="20" ht="56" spans="1:3">
      <c r="A20" s="219"/>
      <c r="B20" s="216" t="s">
        <v>276</v>
      </c>
      <c r="C20" s="216" t="s">
        <v>277</v>
      </c>
    </row>
    <row r="21" spans="1:3">
      <c r="A21" s="219"/>
      <c r="B21" s="216" t="s">
        <v>278</v>
      </c>
      <c r="C21" s="216" t="s">
        <v>279</v>
      </c>
    </row>
    <row r="22" ht="28" spans="1:3">
      <c r="A22" s="219"/>
      <c r="B22" s="216" t="s">
        <v>280</v>
      </c>
      <c r="C22" s="216" t="s">
        <v>281</v>
      </c>
    </row>
    <row r="23" spans="1:3">
      <c r="A23" s="219"/>
      <c r="B23" s="216" t="s">
        <v>282</v>
      </c>
      <c r="C23" s="216" t="s">
        <v>283</v>
      </c>
    </row>
    <row r="24" spans="1:3">
      <c r="A24" s="219"/>
      <c r="B24" s="216" t="s">
        <v>284</v>
      </c>
      <c r="C24" s="216" t="s">
        <v>285</v>
      </c>
    </row>
    <row r="25" spans="1:3">
      <c r="A25" s="219"/>
      <c r="B25" s="216" t="s">
        <v>286</v>
      </c>
      <c r="C25" s="216" t="s">
        <v>287</v>
      </c>
    </row>
    <row r="26" spans="1:3">
      <c r="A26" s="219"/>
      <c r="B26" s="216" t="s">
        <v>284</v>
      </c>
      <c r="C26" s="216" t="s">
        <v>288</v>
      </c>
    </row>
    <row r="27" spans="1:3">
      <c r="A27" s="219"/>
      <c r="B27" s="216" t="s">
        <v>289</v>
      </c>
      <c r="C27" s="216" t="s">
        <v>290</v>
      </c>
    </row>
    <row r="28" spans="1:3">
      <c r="A28" s="219"/>
      <c r="B28" s="216" t="s">
        <v>291</v>
      </c>
      <c r="C28" s="216" t="s">
        <v>292</v>
      </c>
    </row>
    <row r="29" spans="1:3">
      <c r="A29" s="219"/>
      <c r="B29" s="216" t="s">
        <v>293</v>
      </c>
      <c r="C29" s="216" t="s">
        <v>294</v>
      </c>
    </row>
    <row r="30" spans="1:3">
      <c r="A30" s="219"/>
      <c r="B30" s="216" t="s">
        <v>293</v>
      </c>
      <c r="C30" s="216" t="s">
        <v>295</v>
      </c>
    </row>
    <row r="31" spans="1:3">
      <c r="A31" s="219"/>
      <c r="B31" s="216"/>
      <c r="C31" s="216"/>
    </row>
    <row r="32" spans="1:3">
      <c r="A32" s="219"/>
      <c r="B32" s="216"/>
      <c r="C32" s="216"/>
    </row>
    <row r="33" spans="1:3">
      <c r="A33" s="219"/>
      <c r="B33" s="216"/>
      <c r="C33" s="216"/>
    </row>
    <row r="34" spans="1:3">
      <c r="A34" s="217" t="s">
        <v>296</v>
      </c>
      <c r="B34" s="216" t="s">
        <v>274</v>
      </c>
      <c r="C34" s="216" t="s">
        <v>297</v>
      </c>
    </row>
    <row r="35" spans="1:3">
      <c r="A35" s="218"/>
      <c r="B35" s="216" t="s">
        <v>298</v>
      </c>
      <c r="C35" s="216" t="s">
        <v>299</v>
      </c>
    </row>
    <row r="36" ht="28" spans="1:3">
      <c r="A36" s="222" t="s">
        <v>300</v>
      </c>
      <c r="B36" s="216" t="s">
        <v>301</v>
      </c>
      <c r="C36" s="216" t="s">
        <v>302</v>
      </c>
    </row>
    <row r="37" spans="1:3">
      <c r="A37" s="219"/>
      <c r="B37" s="216" t="s">
        <v>250</v>
      </c>
      <c r="C37" s="216" t="s">
        <v>303</v>
      </c>
    </row>
    <row r="38" spans="1:3">
      <c r="A38" s="219"/>
      <c r="B38" s="216" t="s">
        <v>304</v>
      </c>
      <c r="C38" s="216" t="s">
        <v>305</v>
      </c>
    </row>
    <row r="39" spans="1:3">
      <c r="A39" s="219"/>
      <c r="B39" s="216"/>
      <c r="C39" s="216"/>
    </row>
    <row r="40" spans="1:3">
      <c r="A40" s="217" t="s">
        <v>306</v>
      </c>
      <c r="B40" s="216" t="s">
        <v>307</v>
      </c>
      <c r="C40" s="216" t="s">
        <v>308</v>
      </c>
    </row>
    <row r="41" spans="1:3">
      <c r="A41" s="218"/>
      <c r="B41" s="216" t="s">
        <v>248</v>
      </c>
      <c r="C41" s="216" t="s">
        <v>309</v>
      </c>
    </row>
    <row r="42" ht="28" spans="1:3">
      <c r="A42" s="222" t="s">
        <v>53</v>
      </c>
      <c r="B42" s="216" t="s">
        <v>248</v>
      </c>
      <c r="C42" s="216" t="s">
        <v>310</v>
      </c>
    </row>
    <row r="43" spans="1:3">
      <c r="A43" s="219"/>
      <c r="B43" s="214" t="s">
        <v>311</v>
      </c>
      <c r="C43" s="214" t="s">
        <v>312</v>
      </c>
    </row>
    <row r="44" spans="1:3">
      <c r="A44" s="219"/>
      <c r="B44" s="214" t="s">
        <v>278</v>
      </c>
      <c r="C44" s="214" t="s">
        <v>313</v>
      </c>
    </row>
    <row r="45" spans="1:3">
      <c r="A45" s="219"/>
      <c r="B45" s="214" t="s">
        <v>284</v>
      </c>
      <c r="C45" s="214" t="s">
        <v>314</v>
      </c>
    </row>
    <row r="46" ht="28" spans="1:3">
      <c r="A46" s="219"/>
      <c r="B46" s="214" t="s">
        <v>284</v>
      </c>
      <c r="C46" s="214" t="s">
        <v>315</v>
      </c>
    </row>
    <row r="47" spans="1:3">
      <c r="A47" s="219"/>
      <c r="B47" s="214" t="s">
        <v>316</v>
      </c>
      <c r="C47" s="214" t="s">
        <v>317</v>
      </c>
    </row>
    <row r="48" ht="98" spans="1:3">
      <c r="A48" s="222" t="s">
        <v>318</v>
      </c>
      <c r="B48" s="214" t="s">
        <v>248</v>
      </c>
      <c r="C48" s="214" t="s">
        <v>319</v>
      </c>
    </row>
    <row r="49" ht="84" spans="1:3">
      <c r="A49" s="219"/>
      <c r="B49" s="214" t="s">
        <v>320</v>
      </c>
      <c r="C49" s="214" t="s">
        <v>321</v>
      </c>
    </row>
    <row r="50" ht="28" spans="1:3">
      <c r="A50" s="220"/>
      <c r="B50" s="214" t="s">
        <v>322</v>
      </c>
      <c r="C50" s="214" t="s">
        <v>323</v>
      </c>
    </row>
    <row r="51" spans="1:3">
      <c r="A51" s="214" t="s">
        <v>43</v>
      </c>
      <c r="B51" s="214" t="s">
        <v>324</v>
      </c>
      <c r="C51" s="214" t="s">
        <v>325</v>
      </c>
    </row>
    <row r="52" spans="1:3">
      <c r="A52" s="222" t="s">
        <v>326</v>
      </c>
      <c r="B52" s="214" t="s">
        <v>250</v>
      </c>
      <c r="C52" s="214" t="s">
        <v>327</v>
      </c>
    </row>
    <row r="53" spans="1:3">
      <c r="A53" s="220"/>
      <c r="B53" s="214" t="s">
        <v>320</v>
      </c>
      <c r="C53" s="214" t="s">
        <v>328</v>
      </c>
    </row>
    <row r="54" spans="1:3">
      <c r="A54" s="214" t="s">
        <v>63</v>
      </c>
      <c r="B54" s="214" t="s">
        <v>252</v>
      </c>
      <c r="C54" s="214" t="s">
        <v>329</v>
      </c>
    </row>
    <row r="55" spans="1:3">
      <c r="A55" s="222" t="s">
        <v>330</v>
      </c>
      <c r="B55" s="214" t="s">
        <v>331</v>
      </c>
      <c r="C55" s="214" t="s">
        <v>332</v>
      </c>
    </row>
    <row r="56" spans="1:3">
      <c r="A56" s="220"/>
      <c r="B56" s="214" t="s">
        <v>284</v>
      </c>
      <c r="C56" s="214" t="s">
        <v>333</v>
      </c>
    </row>
    <row r="57" spans="1:3">
      <c r="A57" s="214" t="s">
        <v>334</v>
      </c>
      <c r="B57" s="214" t="s">
        <v>335</v>
      </c>
      <c r="C57" s="214" t="s">
        <v>336</v>
      </c>
    </row>
    <row r="58" spans="1:3">
      <c r="A58" s="214" t="s">
        <v>10</v>
      </c>
      <c r="B58" s="214" t="s">
        <v>320</v>
      </c>
      <c r="C58" s="214" t="s">
        <v>337</v>
      </c>
    </row>
    <row r="59" spans="1:3">
      <c r="A59" s="214" t="s">
        <v>338</v>
      </c>
      <c r="B59" s="214" t="s">
        <v>339</v>
      </c>
      <c r="C59" s="214" t="s">
        <v>340</v>
      </c>
    </row>
    <row r="60" spans="1:3">
      <c r="A60" s="214" t="s">
        <v>341</v>
      </c>
      <c r="B60" s="214" t="s">
        <v>342</v>
      </c>
      <c r="C60" s="214" t="s">
        <v>343</v>
      </c>
    </row>
    <row r="61" spans="1:3">
      <c r="A61" s="214" t="s">
        <v>344</v>
      </c>
      <c r="B61" s="214" t="s">
        <v>342</v>
      </c>
      <c r="C61" s="214" t="s">
        <v>345</v>
      </c>
    </row>
    <row r="62" spans="1:3">
      <c r="A62" s="214" t="s">
        <v>346</v>
      </c>
      <c r="B62" s="214" t="s">
        <v>280</v>
      </c>
      <c r="C62" s="214" t="s">
        <v>347</v>
      </c>
    </row>
    <row r="63" ht="28" spans="1:3">
      <c r="A63" s="214" t="s">
        <v>348</v>
      </c>
      <c r="B63" s="214" t="s">
        <v>322</v>
      </c>
      <c r="C63" s="214" t="s">
        <v>349</v>
      </c>
    </row>
    <row r="64" ht="28" spans="1:3">
      <c r="A64" s="222" t="s">
        <v>350</v>
      </c>
      <c r="B64" s="214" t="s">
        <v>322</v>
      </c>
      <c r="C64" s="214" t="s">
        <v>351</v>
      </c>
    </row>
    <row r="65" spans="1:3">
      <c r="A65" s="220"/>
      <c r="B65" s="214" t="s">
        <v>352</v>
      </c>
      <c r="C65" s="214" t="s">
        <v>353</v>
      </c>
    </row>
    <row r="66" ht="140" spans="1:3">
      <c r="A66" s="214" t="s">
        <v>354</v>
      </c>
      <c r="B66" s="214" t="s">
        <v>355</v>
      </c>
      <c r="C66" s="214" t="s">
        <v>356</v>
      </c>
    </row>
    <row r="67" spans="1:3">
      <c r="A67" s="214" t="s">
        <v>10</v>
      </c>
      <c r="B67" s="214" t="s">
        <v>357</v>
      </c>
      <c r="C67" s="214" t="s">
        <v>358</v>
      </c>
    </row>
    <row r="68" spans="1:3">
      <c r="A68" s="214" t="s">
        <v>359</v>
      </c>
      <c r="B68" s="214" t="s">
        <v>360</v>
      </c>
      <c r="C68" s="214" t="s">
        <v>361</v>
      </c>
    </row>
    <row r="69" spans="1:3">
      <c r="A69" s="214" t="s">
        <v>362</v>
      </c>
      <c r="B69" s="214" t="s">
        <v>363</v>
      </c>
      <c r="C69" s="214" t="s">
        <v>364</v>
      </c>
    </row>
    <row r="70" ht="70" spans="1:3">
      <c r="A70" s="214" t="s">
        <v>365</v>
      </c>
      <c r="B70" s="214" t="s">
        <v>366</v>
      </c>
      <c r="C70" s="214" t="s">
        <v>367</v>
      </c>
    </row>
    <row r="71" spans="1:3">
      <c r="A71" s="214" t="s">
        <v>368</v>
      </c>
      <c r="B71" s="214" t="s">
        <v>369</v>
      </c>
      <c r="C71" s="214" t="s">
        <v>370</v>
      </c>
    </row>
    <row r="72" ht="28" spans="1:3">
      <c r="A72" s="214" t="s">
        <v>47</v>
      </c>
      <c r="B72" s="214" t="s">
        <v>371</v>
      </c>
      <c r="C72" s="214" t="s">
        <v>372</v>
      </c>
    </row>
    <row r="73" spans="1:3">
      <c r="A73" s="214" t="s">
        <v>373</v>
      </c>
      <c r="B73" s="214" t="s">
        <v>374</v>
      </c>
      <c r="C73" s="214" t="s">
        <v>375</v>
      </c>
    </row>
    <row r="74" spans="1:3">
      <c r="A74" s="222" t="s">
        <v>376</v>
      </c>
      <c r="B74" s="214" t="s">
        <v>377</v>
      </c>
      <c r="C74" s="214" t="s">
        <v>378</v>
      </c>
    </row>
    <row r="75" spans="1:3">
      <c r="A75" s="220"/>
      <c r="B75" s="214" t="s">
        <v>374</v>
      </c>
      <c r="C75" s="214" t="s">
        <v>379</v>
      </c>
    </row>
    <row r="76" spans="1:3">
      <c r="A76" s="222" t="s">
        <v>380</v>
      </c>
      <c r="B76" s="214" t="s">
        <v>381</v>
      </c>
      <c r="C76" s="214" t="s">
        <v>382</v>
      </c>
    </row>
    <row r="77" spans="1:3">
      <c r="A77" s="219"/>
      <c r="B77" s="214" t="s">
        <v>383</v>
      </c>
      <c r="C77" s="214" t="s">
        <v>384</v>
      </c>
    </row>
    <row r="78" spans="1:3">
      <c r="A78" s="220"/>
      <c r="B78" s="214" t="s">
        <v>385</v>
      </c>
      <c r="C78" s="214" t="s">
        <v>386</v>
      </c>
    </row>
    <row r="79" spans="1:3">
      <c r="B79" s="214" t="s">
        <v>387</v>
      </c>
      <c r="C79" s="214" t="s">
        <v>388</v>
      </c>
    </row>
    <row r="80" ht="56" spans="1:3">
      <c r="B80" s="214" t="s">
        <v>389</v>
      </c>
      <c r="C80" s="214" t="s">
        <v>390</v>
      </c>
    </row>
    <row r="81" spans="2:3">
      <c r="B81" s="214" t="s">
        <v>391</v>
      </c>
      <c r="C81" s="214" t="s">
        <v>392</v>
      </c>
    </row>
    <row r="82" ht="42" spans="2:3">
      <c r="C82" s="214" t="s">
        <v>393</v>
      </c>
    </row>
    <row r="83" spans="2:3">
      <c r="B83" s="214" t="s">
        <v>394</v>
      </c>
      <c r="C83" s="214" t="s">
        <v>395</v>
      </c>
    </row>
    <row r="84" spans="2:3">
      <c r="B84" s="214" t="s">
        <v>385</v>
      </c>
      <c r="C84" s="214" t="s">
        <v>396</v>
      </c>
    </row>
    <row r="85" spans="2:3">
      <c r="B85" s="214" t="s">
        <v>394</v>
      </c>
      <c r="C85" s="214" t="s">
        <v>397</v>
      </c>
    </row>
    <row r="86" spans="2:3">
      <c r="C86" s="214" t="s">
        <v>398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5"/>
      <c r="B1" s="186" t="s">
        <v>1</v>
      </c>
      <c r="C1" s="186"/>
      <c r="D1" s="187" t="s">
        <v>2</v>
      </c>
      <c r="E1" s="188"/>
      <c r="F1" s="189"/>
      <c r="G1" s="186" t="s">
        <v>3</v>
      </c>
      <c r="H1" s="186" t="s">
        <v>4</v>
      </c>
      <c r="I1" s="186" t="s">
        <v>5</v>
      </c>
      <c r="J1" s="186" t="s">
        <v>6</v>
      </c>
    </row>
    <row r="2" ht="16.5" spans="1:10">
      <c r="A2" s="186" t="s">
        <v>399</v>
      </c>
      <c r="B2" s="190" t="s">
        <v>400</v>
      </c>
      <c r="C2" s="191" t="s">
        <v>401</v>
      </c>
      <c r="D2" s="192"/>
      <c r="E2" s="190" t="s">
        <v>400</v>
      </c>
      <c r="F2" s="190"/>
      <c r="G2" s="193" t="s">
        <v>402</v>
      </c>
      <c r="H2" s="193"/>
      <c r="I2" s="185"/>
      <c r="J2" s="194"/>
    </row>
    <row r="3" ht="16.5" spans="1:10">
      <c r="A3" s="186" t="s">
        <v>403</v>
      </c>
      <c r="B3" s="195" t="s">
        <v>404</v>
      </c>
      <c r="C3" s="195"/>
      <c r="D3" s="195"/>
      <c r="E3" s="195"/>
      <c r="F3" s="195"/>
      <c r="G3" s="195"/>
      <c r="H3" s="195"/>
      <c r="I3" s="185"/>
      <c r="J3" s="194"/>
    </row>
    <row r="4" ht="16.5" spans="1:10">
      <c r="A4" s="186" t="s">
        <v>405</v>
      </c>
      <c r="B4" s="196" t="s">
        <v>300</v>
      </c>
      <c r="C4" s="196"/>
      <c r="D4" s="196"/>
      <c r="E4" s="196"/>
      <c r="F4" s="196"/>
      <c r="G4" s="196"/>
      <c r="H4" s="196"/>
      <c r="I4" s="185"/>
      <c r="J4" s="194"/>
    </row>
    <row r="5" ht="16.5" spans="1:10">
      <c r="A5" s="186" t="s">
        <v>406</v>
      </c>
      <c r="B5" s="197">
        <v>1</v>
      </c>
      <c r="C5" s="197"/>
      <c r="D5" s="198">
        <v>2</v>
      </c>
      <c r="E5" s="198"/>
      <c r="F5" s="198"/>
      <c r="G5" s="197" t="s">
        <v>407</v>
      </c>
      <c r="H5" s="197"/>
      <c r="I5" s="185"/>
      <c r="J5" s="194"/>
    </row>
    <row r="6" ht="16.5" spans="1:10">
      <c r="A6" s="186" t="s">
        <v>408</v>
      </c>
      <c r="B6" s="199">
        <v>1</v>
      </c>
      <c r="C6" s="199"/>
      <c r="D6" s="199"/>
      <c r="E6" s="199"/>
      <c r="F6" s="199"/>
      <c r="G6" s="200" t="s">
        <v>409</v>
      </c>
      <c r="H6" s="200"/>
      <c r="I6" s="185"/>
      <c r="J6" s="194"/>
    </row>
    <row r="7" ht="16.5" spans="1:10">
      <c r="A7" s="186" t="s">
        <v>410</v>
      </c>
      <c r="B7" s="201" t="s">
        <v>411</v>
      </c>
      <c r="C7" s="201"/>
      <c r="D7" s="201"/>
      <c r="E7" s="201"/>
      <c r="F7" s="201"/>
      <c r="G7" s="202" t="s">
        <v>412</v>
      </c>
      <c r="H7" s="202"/>
      <c r="I7" s="185"/>
      <c r="J7" s="194"/>
    </row>
    <row r="8" ht="16.5" spans="1:10">
      <c r="A8" s="186" t="s">
        <v>413</v>
      </c>
      <c r="B8" s="203">
        <v>1</v>
      </c>
      <c r="C8" s="203"/>
      <c r="D8" s="204" t="s">
        <v>414</v>
      </c>
      <c r="E8" s="204"/>
      <c r="F8" s="204"/>
      <c r="G8" s="203" t="s">
        <v>415</v>
      </c>
      <c r="H8" s="203"/>
      <c r="I8" s="185"/>
      <c r="J8" s="194"/>
    </row>
    <row r="9" s="3" customFormat="1" ht="16.5" spans="1:10">
      <c r="A9" s="186" t="s">
        <v>416</v>
      </c>
      <c r="B9" s="4" t="s">
        <v>417</v>
      </c>
      <c r="C9" s="4"/>
      <c r="D9" s="4"/>
      <c r="E9" s="4"/>
      <c r="F9" s="4"/>
      <c r="G9" s="205" t="s">
        <v>418</v>
      </c>
      <c r="H9" s="205"/>
      <c r="I9" s="3"/>
      <c r="J9" s="206"/>
    </row>
    <row r="10" s="3" customFormat="1" ht="16.5" spans="1:10">
      <c r="A10" s="186" t="s">
        <v>419</v>
      </c>
      <c r="B10" s="20" t="s">
        <v>417</v>
      </c>
      <c r="C10" s="20"/>
      <c r="D10" s="20"/>
      <c r="E10" s="20"/>
      <c r="F10" s="20"/>
      <c r="G10" s="20"/>
      <c r="H10" s="20"/>
      <c r="I10" s="207"/>
      <c r="J10" s="206"/>
    </row>
    <row r="11" ht="16.5" spans="1:10">
      <c r="A11" s="186" t="s">
        <v>420</v>
      </c>
      <c r="B11" s="190" t="s">
        <v>421</v>
      </c>
      <c r="C11" s="190"/>
      <c r="D11" s="190"/>
      <c r="E11" s="190"/>
      <c r="F11" s="190"/>
      <c r="G11" s="190"/>
      <c r="H11" s="190"/>
      <c r="I11" s="185"/>
      <c r="J11" s="194"/>
    </row>
    <row r="12" ht="16.5" spans="1:10">
      <c r="A12" s="186" t="s">
        <v>422</v>
      </c>
      <c r="B12" s="195">
        <v>1</v>
      </c>
      <c r="C12" s="195"/>
      <c r="D12" s="208" t="s">
        <v>423</v>
      </c>
      <c r="E12" s="195">
        <v>1</v>
      </c>
      <c r="F12" s="208" t="s">
        <v>423</v>
      </c>
      <c r="G12" s="185" t="s">
        <v>417</v>
      </c>
      <c r="H12" s="185"/>
      <c r="I12" s="185"/>
      <c r="J12" s="194"/>
    </row>
    <row r="13" ht="16.5" spans="1:10">
      <c r="A13" s="186" t="s">
        <v>424</v>
      </c>
      <c r="B13" s="196">
        <v>1</v>
      </c>
      <c r="C13" s="196"/>
      <c r="D13" s="196"/>
      <c r="E13" s="196"/>
      <c r="F13" s="196"/>
      <c r="G13" s="196"/>
      <c r="H13" s="185" t="s">
        <v>417</v>
      </c>
      <c r="I13" s="185"/>
      <c r="J13" s="194"/>
    </row>
    <row r="14" ht="16.5" spans="1:10">
      <c r="A14" s="186" t="s">
        <v>425</v>
      </c>
      <c r="B14" s="209">
        <v>1</v>
      </c>
      <c r="C14" s="209"/>
      <c r="D14" s="209"/>
      <c r="E14" s="209"/>
      <c r="F14" s="209"/>
      <c r="G14" s="210">
        <v>2</v>
      </c>
      <c r="H14" s="211" t="s">
        <v>417</v>
      </c>
      <c r="I14" s="211"/>
      <c r="J14" s="212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5" customFormat="1" spans="1:10">
      <c r="A1" s="158" t="s">
        <v>426</v>
      </c>
      <c r="B1" s="159"/>
      <c r="C1" s="155" t="s">
        <v>1</v>
      </c>
      <c r="D1" s="155" t="s">
        <v>2</v>
      </c>
      <c r="E1" s="160" t="s">
        <v>3</v>
      </c>
      <c r="F1" s="161"/>
      <c r="G1" s="160" t="s">
        <v>4</v>
      </c>
      <c r="H1" s="161"/>
      <c r="I1" s="155" t="s">
        <v>5</v>
      </c>
      <c r="J1" s="155" t="s">
        <v>6</v>
      </c>
    </row>
    <row r="2" s="156" customFormat="1" spans="1:10">
      <c r="A2" s="162" t="s">
        <v>427</v>
      </c>
      <c r="B2" s="163" t="s">
        <v>428</v>
      </c>
      <c r="C2" s="164" t="s">
        <v>7</v>
      </c>
      <c r="D2" s="165"/>
      <c r="E2" s="165"/>
      <c r="F2" s="165"/>
      <c r="G2" s="165"/>
      <c r="H2" s="166"/>
    </row>
    <row r="3" s="156" customFormat="1" spans="1:10">
      <c r="A3" s="167"/>
      <c r="B3" s="163" t="s">
        <v>429</v>
      </c>
      <c r="C3" s="164" t="s">
        <v>31</v>
      </c>
      <c r="D3" s="165"/>
      <c r="E3" s="165"/>
      <c r="F3" s="165"/>
      <c r="G3" s="165"/>
      <c r="H3" s="166"/>
    </row>
    <row r="4" s="156" customFormat="1" spans="1:10">
      <c r="A4" s="167"/>
      <c r="B4" s="163"/>
      <c r="C4" s="164" t="s">
        <v>25</v>
      </c>
      <c r="D4" s="165"/>
      <c r="E4" s="165"/>
      <c r="F4" s="165"/>
      <c r="G4" s="165"/>
      <c r="H4" s="166"/>
    </row>
    <row r="5" s="156" customFormat="1" spans="1:10">
      <c r="A5" s="167"/>
      <c r="B5" s="163" t="s">
        <v>430</v>
      </c>
      <c r="C5" s="164" t="s">
        <v>36</v>
      </c>
      <c r="D5" s="165"/>
      <c r="E5" s="165"/>
      <c r="F5" s="165"/>
      <c r="G5" s="165"/>
      <c r="H5" s="166"/>
    </row>
    <row r="6" s="156" customFormat="1" spans="1:10">
      <c r="A6" s="167"/>
      <c r="B6" s="163" t="s">
        <v>431</v>
      </c>
      <c r="C6" s="56" t="s">
        <v>21</v>
      </c>
      <c r="D6" s="168" t="s">
        <v>124</v>
      </c>
      <c r="E6" s="169"/>
      <c r="F6" s="169"/>
      <c r="G6" s="169"/>
      <c r="H6" s="170"/>
    </row>
    <row r="7" s="156" customFormat="1" spans="1:10">
      <c r="A7" s="167"/>
      <c r="B7" s="163"/>
      <c r="C7" s="56" t="s">
        <v>59</v>
      </c>
      <c r="D7" s="156" t="s">
        <v>92</v>
      </c>
      <c r="E7" s="168" t="s">
        <v>108</v>
      </c>
      <c r="F7" s="169"/>
      <c r="G7" s="169"/>
      <c r="H7" s="170"/>
    </row>
    <row r="8" s="156" customFormat="1" spans="1:10">
      <c r="A8" s="167"/>
      <c r="B8" s="163" t="s">
        <v>432</v>
      </c>
      <c r="C8" s="56" t="s">
        <v>15</v>
      </c>
      <c r="D8" s="168" t="s">
        <v>97</v>
      </c>
      <c r="E8" s="169"/>
      <c r="F8" s="169"/>
      <c r="G8" s="169"/>
      <c r="H8" s="170"/>
    </row>
    <row r="9" s="156" customFormat="1" spans="1:10">
      <c r="A9" s="167"/>
      <c r="B9" s="163" t="s">
        <v>433</v>
      </c>
      <c r="C9" s="164" t="s">
        <v>27</v>
      </c>
      <c r="D9" s="165"/>
      <c r="E9" s="165"/>
      <c r="F9" s="165"/>
      <c r="G9" s="165"/>
      <c r="H9" s="166"/>
    </row>
    <row r="10" s="156" customFormat="1" spans="1:10">
      <c r="A10" s="167"/>
      <c r="B10" s="163" t="s">
        <v>434</v>
      </c>
      <c r="C10" s="164" t="s">
        <v>39</v>
      </c>
      <c r="D10" s="165"/>
      <c r="E10" s="165"/>
      <c r="F10" s="165"/>
      <c r="G10" s="165"/>
      <c r="H10" s="166"/>
    </row>
    <row r="11" s="156" customFormat="1" spans="1:10">
      <c r="A11" s="171"/>
      <c r="B11" s="163" t="s">
        <v>435</v>
      </c>
      <c r="C11" s="164" t="s">
        <v>85</v>
      </c>
      <c r="D11" s="165"/>
      <c r="E11" s="165"/>
      <c r="F11" s="165"/>
      <c r="G11" s="165"/>
      <c r="H11" s="166"/>
    </row>
    <row r="12" s="157" customFormat="1" spans="1:10">
      <c r="A12" s="172" t="s">
        <v>436</v>
      </c>
      <c r="B12" s="173" t="s">
        <v>437</v>
      </c>
      <c r="C12" s="174" t="s">
        <v>108</v>
      </c>
      <c r="D12" s="175"/>
      <c r="E12" s="176" t="s">
        <v>21</v>
      </c>
      <c r="F12" s="177"/>
      <c r="G12" s="177"/>
      <c r="H12" s="178"/>
    </row>
    <row r="13" s="157" customFormat="1" spans="1:10">
      <c r="A13" s="179"/>
      <c r="B13" s="173"/>
      <c r="C13" s="174" t="s">
        <v>45</v>
      </c>
      <c r="D13" s="180"/>
      <c r="E13" s="180"/>
      <c r="F13" s="180"/>
      <c r="G13" s="180"/>
      <c r="H13" s="175"/>
    </row>
    <row r="14" s="157" customFormat="1" spans="1:10">
      <c r="A14" s="179"/>
      <c r="B14" s="173" t="s">
        <v>438</v>
      </c>
      <c r="C14" s="174" t="s">
        <v>439</v>
      </c>
      <c r="D14" s="180"/>
      <c r="E14" s="175"/>
      <c r="F14" s="177" t="s">
        <v>39</v>
      </c>
      <c r="G14" s="177"/>
      <c r="H14" s="178"/>
    </row>
    <row r="15" s="157" customFormat="1" spans="1:10">
      <c r="A15" s="179"/>
      <c r="B15" s="173" t="s">
        <v>440</v>
      </c>
      <c r="C15" s="174" t="s">
        <v>10</v>
      </c>
      <c r="D15" s="180"/>
      <c r="E15" s="180"/>
      <c r="F15" s="180"/>
      <c r="G15" s="180"/>
      <c r="H15" s="175"/>
    </row>
    <row r="16" s="157" customFormat="1" spans="1:10">
      <c r="A16" s="179"/>
      <c r="B16" s="173"/>
      <c r="C16" s="174" t="s">
        <v>13</v>
      </c>
      <c r="D16" s="180"/>
      <c r="E16" s="180"/>
      <c r="F16" s="180"/>
      <c r="G16" s="180"/>
      <c r="H16" s="175"/>
    </row>
    <row r="17" s="157" customFormat="1" spans="1:10">
      <c r="A17" s="179"/>
      <c r="B17" s="173" t="s">
        <v>441</v>
      </c>
      <c r="C17" s="174" t="s">
        <v>30</v>
      </c>
      <c r="D17" s="180"/>
      <c r="E17" s="180"/>
      <c r="F17" s="180"/>
      <c r="G17" s="180"/>
      <c r="H17" s="175"/>
    </row>
    <row r="18" s="157" customFormat="1" spans="1:10">
      <c r="A18" s="179"/>
      <c r="B18" s="173" t="s">
        <v>442</v>
      </c>
      <c r="C18" s="174" t="s">
        <v>50</v>
      </c>
      <c r="D18" s="180"/>
      <c r="E18" s="180"/>
      <c r="F18" s="180"/>
      <c r="G18" s="180"/>
      <c r="H18" s="175"/>
    </row>
    <row r="19" s="157" customFormat="1" spans="1:10">
      <c r="A19" s="179"/>
      <c r="B19" s="173" t="s">
        <v>443</v>
      </c>
      <c r="C19" s="174" t="s">
        <v>97</v>
      </c>
      <c r="D19" s="180"/>
      <c r="E19" s="180"/>
      <c r="F19" s="180"/>
      <c r="G19" s="180"/>
      <c r="H19" s="175"/>
      <c r="I19" s="181"/>
      <c r="J19" s="182"/>
    </row>
    <row r="20" s="157" customFormat="1" spans="1:10">
      <c r="A20" s="179"/>
      <c r="B20" s="173" t="s">
        <v>444</v>
      </c>
      <c r="C20" s="174" t="s">
        <v>101</v>
      </c>
      <c r="D20" s="180"/>
      <c r="E20" s="180"/>
      <c r="F20" s="180"/>
      <c r="G20" s="175"/>
      <c r="H20" s="178" t="s">
        <v>38</v>
      </c>
      <c r="I20" s="181"/>
      <c r="J20" s="182"/>
    </row>
    <row r="21" s="157" customFormat="1" spans="1:10">
      <c r="A21" s="179"/>
      <c r="B21" s="173" t="s">
        <v>445</v>
      </c>
      <c r="C21" s="181"/>
      <c r="D21" s="182"/>
      <c r="E21" s="176" t="s">
        <v>28</v>
      </c>
      <c r="F21" s="177"/>
      <c r="G21" s="177"/>
      <c r="H21" s="178"/>
    </row>
    <row r="22" s="157" customFormat="1" spans="1:10">
      <c r="A22" s="183"/>
      <c r="B22" s="173" t="s">
        <v>446</v>
      </c>
      <c r="C22" s="181"/>
      <c r="D22" s="184"/>
      <c r="E22" s="184"/>
      <c r="F22" s="184"/>
      <c r="G22" s="184"/>
      <c r="H22" s="182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abSelected="1" zoomScale="85" zoomScaleNormal="85" topLeftCell="A6" workbookViewId="0">
      <selection activeCell="I24" sqref="B18:I24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447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448</v>
      </c>
      <c r="B2" s="136"/>
      <c r="C2" s="137"/>
      <c r="D2" s="138" t="s">
        <v>50</v>
      </c>
      <c r="E2" s="138" t="s">
        <v>128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15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128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139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129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137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122</v>
      </c>
      <c r="C7" s="137" t="s">
        <v>36</v>
      </c>
      <c r="D7" s="138" t="s">
        <v>70</v>
      </c>
      <c r="E7" s="138" t="s">
        <v>13</v>
      </c>
      <c r="F7" s="139" t="s">
        <v>117</v>
      </c>
      <c r="G7" s="139" t="s">
        <v>59</v>
      </c>
      <c r="H7" s="140" t="s">
        <v>90</v>
      </c>
      <c r="I7" s="140" t="s">
        <v>118</v>
      </c>
    </row>
    <row r="8" s="132" customFormat="1" customHeight="1" spans="1:16">
      <c r="A8" s="141"/>
      <c r="B8" s="137" t="s">
        <v>135</v>
      </c>
      <c r="C8" s="137" t="s">
        <v>68</v>
      </c>
      <c r="D8" s="138" t="s">
        <v>82</v>
      </c>
      <c r="E8" s="138" t="s">
        <v>124</v>
      </c>
      <c r="F8" s="139" t="s">
        <v>53</v>
      </c>
      <c r="G8" s="139" t="s">
        <v>131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140</v>
      </c>
      <c r="E9" s="146"/>
      <c r="F9" s="147"/>
      <c r="G9" s="147"/>
      <c r="H9" s="147"/>
      <c r="I9" s="148"/>
    </row>
    <row r="10" s="132" customFormat="1" customHeight="1" spans="1:16">
      <c r="A10" s="135" t="s">
        <v>449</v>
      </c>
      <c r="B10" s="136"/>
      <c r="C10" s="137"/>
      <c r="D10" s="138" t="s">
        <v>50</v>
      </c>
      <c r="E10" s="138" t="s">
        <v>128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139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129</v>
      </c>
      <c r="F13" s="139" t="s">
        <v>137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122</v>
      </c>
      <c r="D15" s="138" t="s">
        <v>118</v>
      </c>
      <c r="E15" s="138" t="s">
        <v>117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135</v>
      </c>
      <c r="C16" s="137" t="s">
        <v>68</v>
      </c>
      <c r="D16" s="138" t="s">
        <v>131</v>
      </c>
      <c r="E16" s="138" t="s">
        <v>124</v>
      </c>
      <c r="F16" s="139" t="s">
        <v>53</v>
      </c>
      <c r="G16" s="139" t="s">
        <v>82</v>
      </c>
      <c r="H16" s="140" t="s">
        <v>140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450</v>
      </c>
      <c r="B18" s="136"/>
      <c r="C18" s="137"/>
      <c r="D18" s="138" t="s">
        <v>50</v>
      </c>
      <c r="E18" s="138"/>
      <c r="F18" s="139" t="s">
        <v>128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139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137</v>
      </c>
      <c r="G22" s="139" t="s">
        <v>117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122</v>
      </c>
      <c r="D23" s="150" t="s">
        <v>88</v>
      </c>
      <c r="E23" s="138" t="s">
        <v>36</v>
      </c>
      <c r="F23" s="139" t="s">
        <v>124</v>
      </c>
      <c r="G23" s="139" t="s">
        <v>10</v>
      </c>
      <c r="H23" s="140" t="s">
        <v>59</v>
      </c>
      <c r="I23" s="151" t="s">
        <v>53</v>
      </c>
    </row>
    <row r="24" s="132" customFormat="1" customHeight="1" spans="1:9">
      <c r="A24" s="141"/>
      <c r="B24" s="137" t="s">
        <v>131</v>
      </c>
      <c r="C24" s="137" t="s">
        <v>97</v>
      </c>
      <c r="D24" s="138" t="s">
        <v>82</v>
      </c>
      <c r="E24" s="138" t="s">
        <v>68</v>
      </c>
      <c r="F24" s="152" t="s">
        <v>88</v>
      </c>
      <c r="G24" s="139" t="s">
        <v>118</v>
      </c>
      <c r="H24" s="140" t="s">
        <v>135</v>
      </c>
      <c r="I24" s="151" t="s">
        <v>53</v>
      </c>
    </row>
    <row r="25" s="132" customFormat="1" customHeight="1" spans="1:9">
      <c r="A25" s="142"/>
      <c r="B25" s="153"/>
      <c r="C25" s="154"/>
      <c r="D25" s="145" t="s">
        <v>140</v>
      </c>
      <c r="E25" s="146"/>
      <c r="F25" s="147"/>
      <c r="G25" s="147"/>
      <c r="H25" s="147"/>
      <c r="I25" s="148"/>
    </row>
    <row r="26" customHeight="1" spans="1:9">
      <c r="A26" s="135" t="s">
        <v>451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128</v>
      </c>
      <c r="G27" s="139" t="s">
        <v>92</v>
      </c>
      <c r="H27" s="140" t="s">
        <v>139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137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129</v>
      </c>
      <c r="I30" s="140" t="s">
        <v>25</v>
      </c>
    </row>
    <row r="31" customHeight="1" spans="1:9">
      <c r="A31" s="141"/>
      <c r="B31" s="137" t="s">
        <v>131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117</v>
      </c>
    </row>
    <row r="32" customHeight="1" spans="1:9">
      <c r="A32" s="141"/>
      <c r="B32" s="137" t="s">
        <v>122</v>
      </c>
      <c r="C32" s="137" t="s">
        <v>118</v>
      </c>
      <c r="D32" s="138" t="s">
        <v>135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124</v>
      </c>
    </row>
    <row r="33" customHeight="1" spans="1:9">
      <c r="A33" s="142"/>
      <c r="B33" s="153"/>
      <c r="C33" s="154"/>
      <c r="D33" s="145" t="s">
        <v>140</v>
      </c>
      <c r="E33" s="146"/>
      <c r="F33" s="147"/>
      <c r="G33" s="147"/>
      <c r="H33" s="147"/>
      <c r="I33" s="148"/>
    </row>
    <row r="34" customHeight="1" spans="1:9">
      <c r="A34" s="135" t="s">
        <v>452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139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128</v>
      </c>
      <c r="I35" s="140" t="s">
        <v>69</v>
      </c>
    </row>
    <row r="36" customHeight="1" spans="1:9">
      <c r="A36" s="141"/>
      <c r="B36" s="137" t="s">
        <v>129</v>
      </c>
      <c r="C36" s="137" t="s">
        <v>137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117</v>
      </c>
      <c r="I38" s="140" t="s">
        <v>10</v>
      </c>
    </row>
    <row r="39" customHeight="1" spans="1:9">
      <c r="A39" s="141"/>
      <c r="B39" s="137" t="s">
        <v>118</v>
      </c>
      <c r="C39" s="137" t="s">
        <v>131</v>
      </c>
      <c r="D39" s="138" t="s">
        <v>70</v>
      </c>
      <c r="E39" s="138" t="s">
        <v>19</v>
      </c>
      <c r="F39" s="139" t="s">
        <v>124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122</v>
      </c>
      <c r="D40" s="138" t="s">
        <v>97</v>
      </c>
      <c r="E40" s="138" t="s">
        <v>135</v>
      </c>
      <c r="F40" s="139" t="s">
        <v>140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3"/>
      <c r="C41" s="154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453</v>
      </c>
      <c r="B1" s="123" t="s">
        <v>454</v>
      </c>
      <c r="C1" s="124" t="s">
        <v>234</v>
      </c>
    </row>
    <row r="2" spans="1:3">
      <c r="A2" s="125" t="s">
        <v>1</v>
      </c>
      <c r="B2" s="120" t="s">
        <v>455</v>
      </c>
      <c r="C2" s="121" t="s">
        <v>456</v>
      </c>
    </row>
    <row r="3" spans="1:3">
      <c r="A3" s="125"/>
      <c r="B3" s="120" t="s">
        <v>457</v>
      </c>
      <c r="C3" s="121" t="s">
        <v>458</v>
      </c>
    </row>
    <row r="4" spans="1:3">
      <c r="A4" s="125"/>
      <c r="B4" s="120" t="s">
        <v>459</v>
      </c>
      <c r="C4" s="121" t="s">
        <v>460</v>
      </c>
    </row>
    <row r="5" spans="1:3">
      <c r="A5" s="125"/>
      <c r="B5" s="120" t="s">
        <v>461</v>
      </c>
      <c r="C5" s="121" t="s">
        <v>462</v>
      </c>
    </row>
    <row r="6" spans="1:3">
      <c r="A6" s="125"/>
      <c r="B6" s="120" t="s">
        <v>463</v>
      </c>
      <c r="C6" s="121" t="s">
        <v>464</v>
      </c>
    </row>
    <row r="7" spans="1:3">
      <c r="A7" s="125"/>
      <c r="B7" s="120" t="s">
        <v>465</v>
      </c>
      <c r="C7" s="121" t="s">
        <v>466</v>
      </c>
    </row>
    <row r="8" spans="1:3">
      <c r="A8" s="125"/>
      <c r="B8" s="120" t="s">
        <v>467</v>
      </c>
      <c r="C8" s="121" t="s">
        <v>468</v>
      </c>
    </row>
    <row r="9" spans="1:3">
      <c r="A9" s="125"/>
      <c r="B9" s="120" t="s">
        <v>469</v>
      </c>
      <c r="C9" s="121" t="s">
        <v>470</v>
      </c>
    </row>
    <row r="10" spans="1:3">
      <c r="A10" s="125"/>
      <c r="B10" s="120" t="s">
        <v>471</v>
      </c>
      <c r="C10" s="121" t="s">
        <v>472</v>
      </c>
    </row>
    <row r="11" spans="1:3">
      <c r="A11" s="125"/>
      <c r="B11" s="120" t="s">
        <v>473</v>
      </c>
      <c r="C11" s="121" t="s">
        <v>474</v>
      </c>
    </row>
    <row r="12" spans="1:3">
      <c r="A12" s="125"/>
      <c r="B12" s="120" t="s">
        <v>475</v>
      </c>
      <c r="C12" s="121" t="s">
        <v>476</v>
      </c>
    </row>
    <row r="13" spans="1:3">
      <c r="A13" s="125"/>
      <c r="B13" s="120" t="s">
        <v>477</v>
      </c>
      <c r="C13" s="121" t="s">
        <v>478</v>
      </c>
    </row>
    <row r="14" spans="1:3">
      <c r="A14" s="125"/>
      <c r="B14" s="120" t="s">
        <v>479</v>
      </c>
      <c r="C14" s="121" t="s">
        <v>480</v>
      </c>
    </row>
    <row r="15" spans="1:3">
      <c r="A15" s="125"/>
      <c r="B15" s="120" t="s">
        <v>481</v>
      </c>
      <c r="C15" s="121" t="s">
        <v>482</v>
      </c>
    </row>
    <row r="16" spans="1:3">
      <c r="A16" s="125"/>
      <c r="B16" s="120" t="s">
        <v>483</v>
      </c>
      <c r="C16" s="121" t="s">
        <v>484</v>
      </c>
    </row>
    <row r="17" spans="1:3">
      <c r="A17" s="125"/>
      <c r="B17" s="120" t="s">
        <v>485</v>
      </c>
      <c r="C17" s="121" t="s">
        <v>486</v>
      </c>
    </row>
    <row r="18" spans="1:3">
      <c r="A18" s="125"/>
      <c r="B18" s="120" t="s">
        <v>487</v>
      </c>
      <c r="C18" s="121" t="s">
        <v>488</v>
      </c>
    </row>
    <row r="19" spans="1:3">
      <c r="A19" s="125"/>
      <c r="B19" s="120" t="s">
        <v>489</v>
      </c>
      <c r="C19" s="121" t="s">
        <v>490</v>
      </c>
    </row>
    <row r="20" spans="1:3">
      <c r="A20" s="125"/>
      <c r="B20" s="120" t="s">
        <v>491</v>
      </c>
      <c r="C20" s="121" t="s">
        <v>492</v>
      </c>
    </row>
    <row r="21" spans="1:3">
      <c r="A21" s="125"/>
      <c r="B21" s="120" t="s">
        <v>491</v>
      </c>
      <c r="C21" s="121" t="s">
        <v>493</v>
      </c>
    </row>
    <row r="22" spans="1:3">
      <c r="A22" s="125"/>
      <c r="B22" s="120" t="s">
        <v>494</v>
      </c>
      <c r="C22" s="121" t="s">
        <v>495</v>
      </c>
    </row>
    <row r="23" spans="1:3">
      <c r="A23" s="125"/>
      <c r="B23" s="120" t="s">
        <v>496</v>
      </c>
      <c r="C23" s="121" t="s">
        <v>497</v>
      </c>
    </row>
    <row r="24" spans="1:3">
      <c r="A24" s="125"/>
      <c r="B24" s="120" t="s">
        <v>498</v>
      </c>
      <c r="C24" s="121" t="s">
        <v>499</v>
      </c>
    </row>
    <row r="25" spans="1:3">
      <c r="A25" s="126" t="s">
        <v>2</v>
      </c>
      <c r="B25" s="120" t="s">
        <v>500</v>
      </c>
      <c r="C25" s="121" t="s">
        <v>501</v>
      </c>
    </row>
    <row r="26" spans="1:3">
      <c r="A26" s="126"/>
      <c r="B26" s="120" t="s">
        <v>502</v>
      </c>
      <c r="C26" s="121" t="s">
        <v>503</v>
      </c>
    </row>
    <row r="27" spans="1:3">
      <c r="A27" s="126"/>
      <c r="B27" s="120" t="s">
        <v>504</v>
      </c>
      <c r="C27" s="121" t="s">
        <v>505</v>
      </c>
    </row>
    <row r="28" spans="1:3">
      <c r="A28" s="126"/>
      <c r="B28" s="120" t="s">
        <v>506</v>
      </c>
      <c r="C28" s="121" t="s">
        <v>507</v>
      </c>
    </row>
    <row r="29" spans="1:3">
      <c r="A29" s="126"/>
      <c r="B29" s="120" t="s">
        <v>508</v>
      </c>
      <c r="C29" s="121" t="s">
        <v>509</v>
      </c>
    </row>
    <row r="30" spans="1:3">
      <c r="A30" s="126"/>
      <c r="B30" s="120" t="s">
        <v>510</v>
      </c>
      <c r="C30" s="121" t="s">
        <v>511</v>
      </c>
    </row>
    <row r="31" spans="1:3">
      <c r="A31" s="126"/>
      <c r="B31" s="120" t="s">
        <v>512</v>
      </c>
      <c r="C31" s="121" t="s">
        <v>513</v>
      </c>
    </row>
    <row r="32" spans="1:3">
      <c r="A32" s="126"/>
      <c r="B32" s="120" t="s">
        <v>514</v>
      </c>
      <c r="C32" s="121" t="s">
        <v>515</v>
      </c>
    </row>
    <row r="33" spans="1:3">
      <c r="A33" s="126"/>
      <c r="B33" s="120" t="s">
        <v>516</v>
      </c>
      <c r="C33" s="121" t="s">
        <v>517</v>
      </c>
    </row>
    <row r="34" spans="1:3">
      <c r="A34" s="126"/>
      <c r="B34" s="120" t="s">
        <v>518</v>
      </c>
      <c r="C34" s="121" t="s">
        <v>519</v>
      </c>
    </row>
    <row r="35" spans="1:3">
      <c r="A35" s="126"/>
      <c r="B35" s="120" t="s">
        <v>520</v>
      </c>
      <c r="C35" s="121" t="s">
        <v>521</v>
      </c>
    </row>
    <row r="36" spans="1:3">
      <c r="A36" s="126"/>
      <c r="B36" s="120" t="s">
        <v>522</v>
      </c>
      <c r="C36" s="121" t="s">
        <v>523</v>
      </c>
    </row>
    <row r="37" spans="1:3">
      <c r="A37" s="127"/>
      <c r="B37" s="120" t="s">
        <v>524</v>
      </c>
      <c r="C37" s="121" t="s">
        <v>525</v>
      </c>
    </row>
    <row r="38" spans="1:3">
      <c r="A38" s="128" t="s">
        <v>3</v>
      </c>
      <c r="B38" s="120" t="s">
        <v>526</v>
      </c>
      <c r="C38" s="121" t="s">
        <v>527</v>
      </c>
    </row>
    <row r="39" spans="1:3">
      <c r="A39" s="129"/>
      <c r="B39" s="120" t="s">
        <v>528</v>
      </c>
      <c r="C39" s="121" t="s">
        <v>529</v>
      </c>
    </row>
    <row r="40" spans="1:3">
      <c r="A40" s="129"/>
      <c r="B40" s="120" t="s">
        <v>530</v>
      </c>
      <c r="C40" s="121" t="s">
        <v>531</v>
      </c>
    </row>
    <row r="41" spans="1:3">
      <c r="A41" s="129"/>
      <c r="B41" s="120" t="s">
        <v>532</v>
      </c>
      <c r="C41" s="121" t="s">
        <v>464</v>
      </c>
    </row>
    <row r="42" spans="1:3">
      <c r="A42" s="129"/>
      <c r="B42" s="120" t="s">
        <v>533</v>
      </c>
      <c r="C42" s="121" t="s">
        <v>534</v>
      </c>
    </row>
    <row r="43" spans="1:3">
      <c r="A43" s="129"/>
      <c r="B43" s="120" t="s">
        <v>535</v>
      </c>
      <c r="C43" s="121" t="s">
        <v>536</v>
      </c>
    </row>
    <row r="44" spans="1:3">
      <c r="A44" s="129"/>
      <c r="B44" s="120" t="s">
        <v>537</v>
      </c>
      <c r="C44" s="121" t="s">
        <v>538</v>
      </c>
    </row>
    <row r="45" spans="1:3">
      <c r="A45" s="129"/>
      <c r="B45" s="120" t="s">
        <v>539</v>
      </c>
      <c r="C45" s="121" t="s">
        <v>540</v>
      </c>
    </row>
    <row r="46" spans="1:3">
      <c r="A46" s="129"/>
      <c r="B46" s="120" t="s">
        <v>541</v>
      </c>
      <c r="C46" s="121" t="s">
        <v>542</v>
      </c>
    </row>
    <row r="47" spans="1:3">
      <c r="A47" s="129"/>
      <c r="B47" s="120" t="s">
        <v>543</v>
      </c>
      <c r="C47" s="121" t="s">
        <v>544</v>
      </c>
    </row>
    <row r="48" spans="1:3">
      <c r="A48" s="129"/>
      <c r="B48" s="120" t="s">
        <v>545</v>
      </c>
      <c r="C48" s="121" t="s">
        <v>546</v>
      </c>
    </row>
    <row r="49" spans="1:3">
      <c r="A49" s="129"/>
      <c r="B49" s="120" t="s">
        <v>547</v>
      </c>
      <c r="C49" s="121" t="s">
        <v>548</v>
      </c>
    </row>
    <row r="50" spans="1:3">
      <c r="A50" s="130"/>
      <c r="B50" s="120" t="s">
        <v>549</v>
      </c>
      <c r="C50" s="121" t="s">
        <v>550</v>
      </c>
    </row>
    <row r="51" customFormat="1" spans="1:3">
      <c r="A51" s="119"/>
      <c r="B51" s="120" t="s">
        <v>551</v>
      </c>
      <c r="C51" s="121"/>
    </row>
    <row r="52" customFormat="1" spans="1:3">
      <c r="A52" s="119"/>
      <c r="B52" s="120" t="s">
        <v>551</v>
      </c>
      <c r="C52" s="121"/>
    </row>
    <row r="53" customFormat="1" spans="1:3">
      <c r="A53" s="119"/>
      <c r="B53" s="120" t="s">
        <v>551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5"/>
  <sheetViews>
    <sheetView zoomScale="85" zoomScaleNormal="85" topLeftCell="A31" workbookViewId="0">
      <selection activeCell="D50" sqref="D50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552</v>
      </c>
      <c r="B1" s="108" t="s">
        <v>0</v>
      </c>
      <c r="C1" s="109" t="s">
        <v>553</v>
      </c>
      <c r="D1" s="110" t="s">
        <v>554</v>
      </c>
    </row>
    <row r="2" spans="1:5">
      <c r="A2" s="111">
        <v>1</v>
      </c>
      <c r="B2" s="112" t="s">
        <v>7</v>
      </c>
      <c r="C2" s="113">
        <v>20111216</v>
      </c>
      <c r="D2" s="106" t="s">
        <v>555</v>
      </c>
    </row>
    <row r="3" spans="1:5">
      <c r="A3" s="111">
        <v>2</v>
      </c>
      <c r="B3" s="112" t="s">
        <v>10</v>
      </c>
      <c r="C3" s="114">
        <v>20111227</v>
      </c>
      <c r="D3" s="106" t="s">
        <v>556</v>
      </c>
    </row>
    <row r="4" spans="1:5">
      <c r="A4" s="111">
        <v>3</v>
      </c>
      <c r="B4" s="112" t="s">
        <v>13</v>
      </c>
      <c r="C4" s="114">
        <v>20120518</v>
      </c>
      <c r="D4" s="106" t="s">
        <v>557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400</v>
      </c>
    </row>
    <row r="7" spans="1:5">
      <c r="A7" s="111">
        <v>6</v>
      </c>
      <c r="B7" s="112" t="s">
        <v>21</v>
      </c>
      <c r="C7" s="114">
        <v>20120809</v>
      </c>
      <c r="D7" s="106" t="s">
        <v>558</v>
      </c>
    </row>
    <row r="8" spans="1:5">
      <c r="A8" s="111">
        <v>7</v>
      </c>
      <c r="B8" s="112" t="s">
        <v>25</v>
      </c>
      <c r="C8" s="114">
        <v>20120227</v>
      </c>
      <c r="D8" s="106" t="s">
        <v>559</v>
      </c>
    </row>
    <row r="9" spans="1:5">
      <c r="A9" s="111">
        <v>8</v>
      </c>
      <c r="B9" s="112" t="s">
        <v>27</v>
      </c>
      <c r="C9" s="114">
        <v>20120127</v>
      </c>
      <c r="D9" s="106" t="s">
        <v>560</v>
      </c>
    </row>
    <row r="10" spans="1:5">
      <c r="A10" s="111">
        <v>9</v>
      </c>
      <c r="B10" s="112" t="s">
        <v>28</v>
      </c>
      <c r="C10" s="114">
        <v>20111202</v>
      </c>
      <c r="D10" s="106" t="s">
        <v>561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562</v>
      </c>
    </row>
    <row r="13" spans="1:5">
      <c r="A13" s="111">
        <v>12</v>
      </c>
      <c r="B13" s="112" t="s">
        <v>33</v>
      </c>
      <c r="C13" s="114">
        <v>20110908</v>
      </c>
      <c r="D13" s="106" t="s">
        <v>563</v>
      </c>
    </row>
    <row r="14" spans="1:5">
      <c r="A14" s="111">
        <v>13</v>
      </c>
      <c r="B14" s="112" t="s">
        <v>36</v>
      </c>
      <c r="C14" s="114">
        <v>20120228</v>
      </c>
      <c r="D14" s="106" t="s">
        <v>564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565</v>
      </c>
      <c r="E16" t="s">
        <v>566</v>
      </c>
    </row>
    <row r="17" spans="1:5">
      <c r="A17" s="111">
        <v>16</v>
      </c>
      <c r="B17" s="112" t="s">
        <v>43</v>
      </c>
      <c r="C17" s="114">
        <v>20120722</v>
      </c>
      <c r="D17" s="106" t="s">
        <v>567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566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568</v>
      </c>
    </row>
    <row r="21" spans="1:5">
      <c r="A21" s="111">
        <v>20</v>
      </c>
      <c r="B21" s="112" t="s">
        <v>53</v>
      </c>
      <c r="C21" s="114">
        <v>20120827</v>
      </c>
      <c r="D21" s="106" t="s">
        <v>569</v>
      </c>
      <c r="E21" t="s">
        <v>566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570</v>
      </c>
    </row>
    <row r="24" spans="1:5">
      <c r="A24" s="111">
        <v>23</v>
      </c>
      <c r="B24" s="112" t="s">
        <v>63</v>
      </c>
      <c r="C24" s="114">
        <v>20120413</v>
      </c>
      <c r="D24" s="106" t="s">
        <v>571</v>
      </c>
    </row>
    <row r="25" spans="1:5">
      <c r="A25" s="111">
        <v>24</v>
      </c>
      <c r="B25" s="112" t="s">
        <v>68</v>
      </c>
      <c r="C25" s="114">
        <v>20120629</v>
      </c>
      <c r="D25" s="106" t="s">
        <v>572</v>
      </c>
    </row>
    <row r="26" spans="1:5">
      <c r="A26" s="111">
        <v>25</v>
      </c>
      <c r="B26" s="112" t="s">
        <v>69</v>
      </c>
      <c r="C26" s="114">
        <v>20111105</v>
      </c>
      <c r="D26" s="106" t="s">
        <v>573</v>
      </c>
    </row>
    <row r="27" spans="1:5">
      <c r="A27" s="111">
        <v>26</v>
      </c>
      <c r="B27" s="112" t="s">
        <v>70</v>
      </c>
      <c r="C27" s="114">
        <v>20120112</v>
      </c>
      <c r="D27" s="106" t="s">
        <v>574</v>
      </c>
    </row>
    <row r="28" spans="1:5">
      <c r="A28" s="111">
        <v>27</v>
      </c>
      <c r="B28" s="112" t="s">
        <v>74</v>
      </c>
      <c r="C28" s="114">
        <v>20111119</v>
      </c>
      <c r="D28" s="106" t="s">
        <v>575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576</v>
      </c>
    </row>
    <row r="30" spans="1:5">
      <c r="A30" s="111">
        <v>29</v>
      </c>
      <c r="B30" s="112" t="s">
        <v>82</v>
      </c>
      <c r="C30" s="114">
        <v>20120331</v>
      </c>
      <c r="D30" s="106" t="s">
        <v>577</v>
      </c>
    </row>
    <row r="31" spans="1:5">
      <c r="A31" s="111">
        <v>30</v>
      </c>
      <c r="B31" s="112" t="s">
        <v>85</v>
      </c>
      <c r="C31" s="114">
        <v>20111109</v>
      </c>
      <c r="D31" s="106" t="s">
        <v>578</v>
      </c>
    </row>
    <row r="32" spans="1:5">
      <c r="A32" s="111">
        <v>31</v>
      </c>
      <c r="B32" s="112" t="s">
        <v>86</v>
      </c>
      <c r="C32" s="114">
        <v>20120824</v>
      </c>
      <c r="D32" s="106" t="s">
        <v>579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580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581</v>
      </c>
    </row>
    <row r="37" spans="1:5">
      <c r="A37" s="111">
        <v>36</v>
      </c>
      <c r="B37" s="112" t="s">
        <v>92</v>
      </c>
      <c r="C37" s="113">
        <v>20120326</v>
      </c>
      <c r="D37" s="106" t="s">
        <v>582</v>
      </c>
    </row>
    <row r="38" spans="1:5">
      <c r="A38" s="115">
        <v>37</v>
      </c>
      <c r="B38" s="115" t="s">
        <v>95</v>
      </c>
      <c r="C38" s="116">
        <v>20111106</v>
      </c>
      <c r="D38" s="117" t="s">
        <v>583</v>
      </c>
      <c r="E38" t="s">
        <v>566</v>
      </c>
    </row>
    <row r="39" spans="1:5">
      <c r="A39" s="111">
        <v>38</v>
      </c>
      <c r="B39" s="112" t="s">
        <v>97</v>
      </c>
      <c r="C39" s="114">
        <v>20120811</v>
      </c>
      <c r="D39" s="118" t="s">
        <v>584</v>
      </c>
    </row>
    <row r="40" spans="1:5">
      <c r="A40" s="111">
        <v>39</v>
      </c>
      <c r="B40" s="112" t="s">
        <v>101</v>
      </c>
      <c r="C40" s="114">
        <v>20111217</v>
      </c>
      <c r="D40" s="118" t="s">
        <v>585</v>
      </c>
    </row>
    <row r="41" spans="1:5">
      <c r="A41" s="111">
        <v>40</v>
      </c>
      <c r="B41" s="112" t="s">
        <v>108</v>
      </c>
      <c r="C41" s="114">
        <v>20111013</v>
      </c>
      <c r="D41" s="106" t="s">
        <v>586</v>
      </c>
      <c r="E41" t="s">
        <v>566</v>
      </c>
    </row>
    <row r="42" customFormat="1" spans="1:5">
      <c r="A42" s="111">
        <v>41</v>
      </c>
      <c r="B42" s="112" t="s">
        <v>117</v>
      </c>
      <c r="C42" s="114">
        <v>20111027</v>
      </c>
      <c r="D42" s="106"/>
    </row>
    <row r="43" spans="1:5">
      <c r="A43" s="111">
        <v>42</v>
      </c>
      <c r="B43" s="112" t="s">
        <v>118</v>
      </c>
      <c r="C43" s="114">
        <v>20120207</v>
      </c>
      <c r="D43" s="106" t="s">
        <v>587</v>
      </c>
      <c r="E43" t="s">
        <v>566</v>
      </c>
    </row>
    <row r="44" customFormat="1" spans="1:5">
      <c r="A44" s="111">
        <v>43</v>
      </c>
      <c r="B44" s="112" t="s">
        <v>122</v>
      </c>
      <c r="C44" s="113">
        <v>20120508</v>
      </c>
      <c r="D44" s="106"/>
    </row>
    <row r="45" spans="1:5">
      <c r="A45" s="111">
        <v>44</v>
      </c>
      <c r="B45" s="112" t="s">
        <v>124</v>
      </c>
      <c r="C45" s="114">
        <v>20110929</v>
      </c>
      <c r="D45" s="106" t="s">
        <v>588</v>
      </c>
    </row>
    <row r="46" customFormat="1" spans="1:5">
      <c r="A46" s="111">
        <v>45</v>
      </c>
      <c r="B46" s="112" t="s">
        <v>128</v>
      </c>
      <c r="C46" s="114">
        <v>20111205</v>
      </c>
      <c r="D46" s="106"/>
    </row>
    <row r="47" spans="1:5">
      <c r="A47" s="111">
        <v>46</v>
      </c>
      <c r="B47" s="112" t="s">
        <v>129</v>
      </c>
      <c r="C47" s="114">
        <v>20120108</v>
      </c>
      <c r="D47" s="106" t="s">
        <v>589</v>
      </c>
      <c r="E47" t="s">
        <v>566</v>
      </c>
    </row>
    <row r="48" spans="1:5">
      <c r="A48" s="111">
        <v>47</v>
      </c>
      <c r="B48" s="112" t="s">
        <v>131</v>
      </c>
      <c r="C48" s="114">
        <v>20120311</v>
      </c>
      <c r="D48" s="106" t="s">
        <v>590</v>
      </c>
    </row>
    <row r="49" customFormat="1" spans="1:4">
      <c r="A49" s="111">
        <v>48</v>
      </c>
      <c r="B49" s="112" t="s">
        <v>135</v>
      </c>
      <c r="C49" s="114">
        <v>20110902</v>
      </c>
      <c r="D49" s="106"/>
    </row>
    <row r="50" spans="1:4">
      <c r="A50" s="111">
        <v>49</v>
      </c>
      <c r="B50" s="112" t="s">
        <v>137</v>
      </c>
      <c r="C50" s="114">
        <v>20120723</v>
      </c>
      <c r="D50" s="106" t="s">
        <v>591</v>
      </c>
    </row>
    <row r="51" customFormat="1" spans="1:4">
      <c r="A51" s="111">
        <v>50</v>
      </c>
      <c r="B51" s="112" t="s">
        <v>139</v>
      </c>
      <c r="C51" s="114">
        <v>20120101</v>
      </c>
      <c r="D51" s="106"/>
    </row>
    <row r="52" spans="1:4">
      <c r="A52" s="111">
        <v>51</v>
      </c>
      <c r="B52" s="112" t="s">
        <v>140</v>
      </c>
      <c r="C52" s="114">
        <v>20111220</v>
      </c>
      <c r="D52" s="106" t="s">
        <v>592</v>
      </c>
    </row>
    <row r="54" spans="1:4">
      <c r="B54" s="104" t="s">
        <v>300</v>
      </c>
      <c r="D54" s="106" t="s">
        <v>593</v>
      </c>
    </row>
    <row r="55" spans="1:4">
      <c r="B55" s="104" t="s">
        <v>404</v>
      </c>
      <c r="D55" s="106" t="s">
        <v>594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14" workbookViewId="0">
      <selection activeCell="E34" sqref="E34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595</v>
      </c>
      <c r="B1" s="75" t="s">
        <v>596</v>
      </c>
      <c r="C1" s="76" t="s">
        <v>597</v>
      </c>
      <c r="D1" s="77"/>
      <c r="E1" s="78" t="s">
        <v>598</v>
      </c>
    </row>
    <row r="2" s="68" customFormat="1" ht="409" customHeight="1" spans="1:5">
      <c r="A2" s="79" t="s">
        <v>405</v>
      </c>
      <c r="B2" s="80" t="s">
        <v>300</v>
      </c>
      <c r="C2" s="81" t="s">
        <v>599</v>
      </c>
      <c r="D2" s="72" t="s">
        <v>600</v>
      </c>
      <c r="E2" s="73" t="s">
        <v>601</v>
      </c>
    </row>
    <row r="3" s="68" customFormat="1" ht="56" spans="1:5">
      <c r="A3" s="82"/>
      <c r="B3" s="83"/>
      <c r="C3" s="84"/>
      <c r="D3" s="72" t="s">
        <v>602</v>
      </c>
      <c r="E3" s="73" t="s">
        <v>603</v>
      </c>
    </row>
    <row r="4" s="68" customFormat="1" spans="1:5">
      <c r="A4" s="82"/>
      <c r="B4" s="83"/>
      <c r="C4" s="84"/>
      <c r="D4" s="72" t="s">
        <v>604</v>
      </c>
      <c r="E4" s="73" t="s">
        <v>605</v>
      </c>
    </row>
    <row r="5" s="68" customFormat="1" ht="56" spans="1:5">
      <c r="A5" s="82"/>
      <c r="B5" s="83"/>
      <c r="C5" s="84"/>
      <c r="D5" s="72" t="s">
        <v>606</v>
      </c>
      <c r="E5" s="73" t="s">
        <v>607</v>
      </c>
    </row>
    <row r="6" s="68" customFormat="1" ht="238" spans="1:5">
      <c r="A6" s="82"/>
      <c r="B6" s="83"/>
      <c r="C6" s="84"/>
      <c r="D6" s="72" t="s">
        <v>608</v>
      </c>
      <c r="E6" s="73" t="s">
        <v>609</v>
      </c>
    </row>
    <row r="7" s="68" customFormat="1" ht="238" spans="1:5">
      <c r="A7" s="82"/>
      <c r="B7" s="83"/>
      <c r="C7" s="81" t="s">
        <v>610</v>
      </c>
      <c r="D7" s="72" t="s">
        <v>611</v>
      </c>
      <c r="E7" s="73" t="s">
        <v>612</v>
      </c>
    </row>
    <row r="8" s="68" customFormat="1" ht="56" spans="1:5">
      <c r="A8" s="82"/>
      <c r="B8" s="83"/>
      <c r="C8" s="84"/>
      <c r="D8" s="72" t="s">
        <v>613</v>
      </c>
      <c r="E8" s="73" t="s">
        <v>614</v>
      </c>
    </row>
    <row r="9" s="68" customFormat="1" ht="84" spans="1:5">
      <c r="A9" s="82"/>
      <c r="B9" s="83"/>
      <c r="C9" s="84"/>
      <c r="D9" s="72" t="s">
        <v>615</v>
      </c>
      <c r="E9" s="73" t="s">
        <v>616</v>
      </c>
    </row>
    <row r="10" s="68" customFormat="1" ht="28" spans="1:5">
      <c r="A10" s="82"/>
      <c r="B10" s="83"/>
      <c r="C10" s="84"/>
      <c r="D10" s="72" t="s">
        <v>617</v>
      </c>
      <c r="E10" s="73" t="s">
        <v>618</v>
      </c>
    </row>
    <row r="11" s="68" customFormat="1" spans="1:5">
      <c r="A11" s="82"/>
      <c r="B11" s="83"/>
      <c r="C11" s="85"/>
      <c r="D11" s="72" t="s">
        <v>619</v>
      </c>
      <c r="E11" s="73" t="s">
        <v>620</v>
      </c>
    </row>
    <row r="12" s="68" customFormat="1" ht="154" spans="1:5">
      <c r="A12" s="82"/>
      <c r="B12" s="83"/>
      <c r="C12" s="71"/>
      <c r="D12" s="72" t="s">
        <v>621</v>
      </c>
      <c r="E12" s="73" t="s">
        <v>622</v>
      </c>
    </row>
    <row r="13" s="68" customFormat="1" ht="56" spans="1:5">
      <c r="A13" s="82"/>
      <c r="B13" s="83"/>
      <c r="C13" s="86" t="s">
        <v>623</v>
      </c>
      <c r="D13" s="77"/>
      <c r="E13" s="73" t="s">
        <v>624</v>
      </c>
    </row>
    <row r="14" s="68" customFormat="1" ht="84" spans="1:5">
      <c r="A14" s="82"/>
      <c r="B14" s="83"/>
      <c r="C14" s="86" t="s">
        <v>625</v>
      </c>
      <c r="D14" s="77"/>
      <c r="E14" s="73" t="s">
        <v>626</v>
      </c>
    </row>
    <row r="15" s="68" customFormat="1" ht="28" spans="1:5">
      <c r="A15" s="82"/>
      <c r="B15" s="83"/>
      <c r="C15" s="86" t="s">
        <v>627</v>
      </c>
      <c r="D15" s="77"/>
      <c r="E15" s="73" t="s">
        <v>628</v>
      </c>
    </row>
    <row r="16" s="68" customFormat="1" spans="1:5">
      <c r="A16" s="82"/>
      <c r="B16" s="83"/>
      <c r="C16" s="86" t="s">
        <v>629</v>
      </c>
      <c r="D16" s="77"/>
      <c r="E16" s="73"/>
    </row>
    <row r="17" s="68" customFormat="1" spans="1:5">
      <c r="A17" s="82"/>
      <c r="B17" s="83"/>
      <c r="C17" s="86" t="s">
        <v>630</v>
      </c>
      <c r="D17" s="77"/>
      <c r="E17" s="73" t="s">
        <v>631</v>
      </c>
    </row>
    <row r="18" s="68" customFormat="1" spans="1:5">
      <c r="A18" s="82"/>
      <c r="B18" s="83"/>
      <c r="C18" s="81" t="s">
        <v>632</v>
      </c>
      <c r="D18" s="72" t="s">
        <v>633</v>
      </c>
      <c r="E18" s="73" t="s">
        <v>634</v>
      </c>
    </row>
    <row r="19" s="68" customFormat="1" spans="1:5">
      <c r="A19" s="82"/>
      <c r="B19" s="83"/>
      <c r="C19" s="85"/>
      <c r="D19" s="72" t="s">
        <v>635</v>
      </c>
      <c r="E19" s="73" t="s">
        <v>636</v>
      </c>
    </row>
    <row r="20" s="68" customFormat="1" spans="1:5">
      <c r="A20" s="82"/>
      <c r="B20" s="83"/>
      <c r="C20" s="86" t="s">
        <v>637</v>
      </c>
      <c r="D20" s="77"/>
      <c r="E20" s="73"/>
    </row>
    <row r="21" s="68" customFormat="1" spans="1:5">
      <c r="A21" s="82"/>
      <c r="B21" s="83"/>
      <c r="C21" s="86" t="s">
        <v>638</v>
      </c>
      <c r="D21" s="77"/>
      <c r="E21" s="73" t="s">
        <v>639</v>
      </c>
    </row>
    <row r="22" s="68" customFormat="1" ht="28" spans="1:5">
      <c r="A22" s="82"/>
      <c r="B22" s="83"/>
      <c r="C22" s="86" t="s">
        <v>640</v>
      </c>
      <c r="D22" s="87"/>
      <c r="E22" s="73" t="s">
        <v>641</v>
      </c>
    </row>
    <row r="23" s="68" customFormat="1" spans="1:5">
      <c r="A23" s="82"/>
      <c r="B23" s="83"/>
      <c r="C23" s="71" t="s">
        <v>642</v>
      </c>
      <c r="D23" s="71"/>
      <c r="E23" s="73" t="s">
        <v>643</v>
      </c>
    </row>
    <row r="24" s="68" customFormat="1" spans="1:5">
      <c r="A24" s="82"/>
      <c r="B24" s="83"/>
      <c r="C24" s="71" t="s">
        <v>644</v>
      </c>
      <c r="D24" s="71"/>
      <c r="E24" s="73" t="s">
        <v>645</v>
      </c>
    </row>
    <row r="25" s="68" customFormat="1" ht="28" spans="1:5">
      <c r="A25" s="79" t="s">
        <v>403</v>
      </c>
      <c r="B25" s="80" t="s">
        <v>404</v>
      </c>
      <c r="C25" s="84" t="s">
        <v>599</v>
      </c>
      <c r="D25" s="88" t="s">
        <v>646</v>
      </c>
      <c r="E25" s="73" t="s">
        <v>647</v>
      </c>
    </row>
    <row r="26" s="68" customFormat="1" spans="1:5">
      <c r="A26" s="82"/>
      <c r="B26" s="83"/>
      <c r="C26" s="84"/>
      <c r="D26" s="72" t="s">
        <v>648</v>
      </c>
      <c r="E26" s="73" t="s">
        <v>649</v>
      </c>
    </row>
    <row r="27" s="68" customFormat="1" ht="28" spans="1:5">
      <c r="A27" s="82"/>
      <c r="B27" s="83"/>
      <c r="C27" s="84"/>
      <c r="D27" s="72" t="s">
        <v>650</v>
      </c>
      <c r="E27" s="73" t="s">
        <v>651</v>
      </c>
    </row>
    <row r="28" s="68" customFormat="1" ht="42" spans="1:5">
      <c r="A28" s="82"/>
      <c r="B28" s="83"/>
      <c r="C28" s="84"/>
      <c r="D28" s="72" t="s">
        <v>652</v>
      </c>
      <c r="E28" s="73" t="s">
        <v>653</v>
      </c>
    </row>
    <row r="29" s="68" customFormat="1" ht="42" spans="1:5">
      <c r="A29" s="79" t="s">
        <v>399</v>
      </c>
      <c r="B29" s="80" t="s">
        <v>400</v>
      </c>
      <c r="C29" s="81" t="s">
        <v>599</v>
      </c>
      <c r="D29" s="72" t="s">
        <v>600</v>
      </c>
      <c r="E29" s="73" t="s">
        <v>654</v>
      </c>
    </row>
    <row r="30" s="68" customFormat="1" ht="70" spans="1:5">
      <c r="A30" s="82"/>
      <c r="B30" s="83"/>
      <c r="C30" s="84"/>
      <c r="D30" s="72" t="s">
        <v>655</v>
      </c>
      <c r="E30" s="73" t="s">
        <v>656</v>
      </c>
    </row>
    <row r="31" s="68" customFormat="1" spans="1:5">
      <c r="A31" s="82"/>
      <c r="B31" s="83"/>
      <c r="C31" s="84"/>
      <c r="D31" s="72" t="s">
        <v>646</v>
      </c>
      <c r="E31" s="73" t="s">
        <v>657</v>
      </c>
    </row>
    <row r="32" s="68" customFormat="1" ht="28" spans="1:5">
      <c r="A32" s="82"/>
      <c r="B32" s="83"/>
      <c r="C32" s="85"/>
      <c r="D32" s="72" t="s">
        <v>658</v>
      </c>
      <c r="E32" s="73" t="s">
        <v>659</v>
      </c>
    </row>
    <row r="33" s="68" customFormat="1" ht="42" spans="1:5">
      <c r="A33" s="82"/>
      <c r="B33" s="89"/>
      <c r="C33" s="86" t="s">
        <v>610</v>
      </c>
      <c r="D33" s="87"/>
      <c r="E33" s="73" t="s">
        <v>660</v>
      </c>
    </row>
    <row r="34" s="68" customFormat="1" ht="42" spans="1:5">
      <c r="A34" s="82"/>
      <c r="B34" s="90" t="s">
        <v>661</v>
      </c>
      <c r="C34" s="76" t="s">
        <v>610</v>
      </c>
      <c r="D34" s="91"/>
      <c r="E34" s="92" t="s">
        <v>662</v>
      </c>
    </row>
    <row r="35" s="68" customFormat="1" ht="42" spans="1:5">
      <c r="A35" s="93"/>
      <c r="B35" s="94"/>
      <c r="C35" s="76" t="s">
        <v>599</v>
      </c>
      <c r="D35" s="91"/>
      <c r="E35" s="92" t="s">
        <v>663</v>
      </c>
    </row>
    <row r="36" s="68" customFormat="1" spans="1:5">
      <c r="A36" s="79" t="s">
        <v>406</v>
      </c>
      <c r="B36" s="95" t="s">
        <v>664</v>
      </c>
      <c r="C36" s="96"/>
      <c r="D36" s="97"/>
      <c r="E36" s="92" t="s">
        <v>161</v>
      </c>
    </row>
    <row r="37" s="68" customFormat="1" spans="1:5">
      <c r="A37" s="93"/>
      <c r="B37" s="98" t="s">
        <v>665</v>
      </c>
      <c r="C37" s="99"/>
      <c r="D37" s="100"/>
      <c r="E37" s="73" t="s">
        <v>666</v>
      </c>
    </row>
    <row r="38" s="68" customFormat="1" spans="1:5">
      <c r="A38" s="69" t="s">
        <v>408</v>
      </c>
      <c r="B38" s="98" t="s">
        <v>667</v>
      </c>
      <c r="C38" s="99"/>
      <c r="D38" s="100"/>
      <c r="E38" s="73" t="s">
        <v>668</v>
      </c>
    </row>
    <row r="39" s="68" customFormat="1" spans="1:5">
      <c r="A39" s="79" t="s">
        <v>410</v>
      </c>
      <c r="B39" s="80" t="s">
        <v>669</v>
      </c>
      <c r="C39" s="81" t="s">
        <v>599</v>
      </c>
      <c r="D39" s="72" t="s">
        <v>670</v>
      </c>
      <c r="E39" s="73" t="s">
        <v>671</v>
      </c>
    </row>
    <row r="40" s="68" customFormat="1" spans="1:5">
      <c r="A40" s="82"/>
      <c r="B40" s="83"/>
      <c r="C40" s="85"/>
      <c r="D40" s="72" t="s">
        <v>672</v>
      </c>
      <c r="E40" s="73" t="s">
        <v>673</v>
      </c>
    </row>
    <row r="41" s="68" customFormat="1" spans="1:5">
      <c r="A41" s="82"/>
      <c r="B41" s="83"/>
      <c r="C41" s="86" t="s">
        <v>674</v>
      </c>
      <c r="D41" s="87"/>
      <c r="E41" s="73" t="s">
        <v>675</v>
      </c>
    </row>
    <row r="42" s="68" customFormat="1" spans="1:5">
      <c r="A42" s="93"/>
      <c r="B42" s="89"/>
      <c r="C42" s="86" t="s">
        <v>610</v>
      </c>
      <c r="D42" s="87"/>
      <c r="E42" s="73" t="s">
        <v>676</v>
      </c>
    </row>
    <row r="43" s="68" customFormat="1" spans="1:5">
      <c r="A43" s="79" t="s">
        <v>413</v>
      </c>
      <c r="B43" s="90" t="s">
        <v>667</v>
      </c>
      <c r="C43" s="101" t="s">
        <v>677</v>
      </c>
      <c r="D43" s="102"/>
      <c r="E43" s="92" t="s">
        <v>678</v>
      </c>
    </row>
    <row r="44" s="68" customFormat="1" ht="28" spans="1:5">
      <c r="A44" s="82"/>
      <c r="B44" s="94"/>
      <c r="C44" s="101" t="s">
        <v>652</v>
      </c>
      <c r="D44" s="102"/>
      <c r="E44" s="92" t="s">
        <v>679</v>
      </c>
    </row>
    <row r="45" s="68" customFormat="1" spans="1:5">
      <c r="A45" s="93"/>
      <c r="B45" s="98" t="s">
        <v>680</v>
      </c>
      <c r="C45" s="99"/>
      <c r="D45" s="100"/>
      <c r="E45" s="73" t="s">
        <v>181</v>
      </c>
    </row>
    <row r="46" s="68" customFormat="1" spans="1:5">
      <c r="A46" s="79" t="s">
        <v>425</v>
      </c>
      <c r="B46" s="80" t="s">
        <v>681</v>
      </c>
      <c r="C46" s="81" t="s">
        <v>599</v>
      </c>
      <c r="D46" s="72" t="s">
        <v>682</v>
      </c>
      <c r="E46" s="73"/>
    </row>
    <row r="47" s="68" customFormat="1" spans="1:5">
      <c r="A47" s="82"/>
      <c r="B47" s="83"/>
      <c r="C47" s="84"/>
      <c r="D47" s="72" t="s">
        <v>683</v>
      </c>
      <c r="E47" s="73"/>
    </row>
    <row r="48" s="68" customFormat="1" spans="1:5">
      <c r="A48" s="93"/>
      <c r="B48" s="89"/>
      <c r="C48" s="85"/>
      <c r="D48" s="72" t="s">
        <v>652</v>
      </c>
      <c r="E48" s="73" t="s">
        <v>684</v>
      </c>
    </row>
    <row r="49" s="68" customFormat="1" spans="1:5">
      <c r="A49" s="69" t="s">
        <v>420</v>
      </c>
      <c r="B49" s="98" t="s">
        <v>421</v>
      </c>
      <c r="C49" s="99"/>
      <c r="D49" s="100"/>
      <c r="E49" s="73" t="s">
        <v>685</v>
      </c>
    </row>
    <row r="50" s="68" customFormat="1" spans="1:5">
      <c r="A50" s="79" t="s">
        <v>422</v>
      </c>
      <c r="B50" s="98" t="s">
        <v>667</v>
      </c>
      <c r="C50" s="99"/>
      <c r="D50" s="100"/>
      <c r="E50" s="73" t="s">
        <v>686</v>
      </c>
    </row>
    <row r="51" s="68" customFormat="1" spans="1:5">
      <c r="A51" s="93"/>
      <c r="B51" s="98" t="s">
        <v>667</v>
      </c>
      <c r="C51" s="99"/>
      <c r="D51" s="100"/>
      <c r="E51" s="73" t="s">
        <v>194</v>
      </c>
    </row>
    <row r="52" s="68" customFormat="1" spans="1:5">
      <c r="A52" s="69" t="s">
        <v>424</v>
      </c>
      <c r="B52" s="98" t="s">
        <v>667</v>
      </c>
      <c r="C52" s="99"/>
      <c r="D52" s="100"/>
      <c r="E52" s="73"/>
    </row>
    <row r="53" s="68" customFormat="1" spans="1:5">
      <c r="A53" s="79" t="s">
        <v>687</v>
      </c>
      <c r="B53" s="98" t="s">
        <v>667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688</v>
      </c>
    </row>
    <row r="55" s="68" customFormat="1" spans="1:5">
      <c r="A55" s="69" t="s">
        <v>416</v>
      </c>
      <c r="B55" s="70"/>
      <c r="C55" s="71"/>
      <c r="D55" s="72"/>
      <c r="E55" s="73" t="s">
        <v>689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690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691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692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693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694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695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696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697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698</v>
      </c>
      <c r="C20" s="50" t="s">
        <v>699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700</v>
      </c>
      <c r="C21" s="50" t="s">
        <v>701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702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703</v>
      </c>
      <c r="C24" s="62" t="s">
        <v>704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705</v>
      </c>
      <c r="C27" s="62" t="s">
        <v>706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707</v>
      </c>
      <c r="C28" s="62" t="s">
        <v>708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709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710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711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712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713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714</v>
      </c>
      <c r="C40" s="62" t="s">
        <v>715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716</v>
      </c>
      <c r="D41" s="51"/>
      <c r="E41" s="52"/>
      <c r="F41" s="53"/>
      <c r="G41" s="54"/>
    </row>
    <row r="42" s="47" customFormat="1" spans="1:7">
      <c r="A42" s="55" t="s">
        <v>117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118</v>
      </c>
      <c r="B43" s="63" t="s">
        <v>717</v>
      </c>
      <c r="C43" s="50"/>
      <c r="D43" s="51"/>
      <c r="E43" s="52"/>
      <c r="F43" s="53"/>
      <c r="G43" s="54"/>
    </row>
    <row r="44" s="47" customFormat="1" spans="1:7">
      <c r="A44" s="55" t="s">
        <v>122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124</v>
      </c>
      <c r="B45" s="49" t="s">
        <v>718</v>
      </c>
      <c r="C45" s="50"/>
      <c r="D45" s="51"/>
      <c r="E45" s="52"/>
      <c r="F45" s="53"/>
      <c r="G45" s="54"/>
    </row>
    <row r="46" s="47" customFormat="1" spans="1:7">
      <c r="A46" s="55" t="s">
        <v>128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129</v>
      </c>
      <c r="B47" s="49"/>
      <c r="C47" s="50"/>
      <c r="D47" s="51"/>
      <c r="E47" s="52"/>
      <c r="F47" s="53"/>
      <c r="G47" s="54"/>
    </row>
    <row r="48" s="47" customFormat="1" spans="1:7">
      <c r="A48" s="55" t="s">
        <v>131</v>
      </c>
      <c r="B48" s="49"/>
      <c r="C48" s="62" t="s">
        <v>719</v>
      </c>
      <c r="D48" s="51"/>
      <c r="E48" s="52"/>
      <c r="F48" s="53"/>
      <c r="G48" s="54"/>
    </row>
    <row r="49" s="47" customFormat="1" spans="1:7">
      <c r="A49" s="55" t="s">
        <v>135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137</v>
      </c>
      <c r="B50" s="49"/>
      <c r="C50" s="62" t="s">
        <v>720</v>
      </c>
      <c r="D50" s="51"/>
      <c r="E50" s="52"/>
      <c r="F50" s="53"/>
      <c r="G50" s="54"/>
    </row>
    <row r="51" s="47" customFormat="1" spans="1:7">
      <c r="A51" s="55" t="s">
        <v>139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140</v>
      </c>
      <c r="B52" s="49" t="s">
        <v>721</v>
      </c>
      <c r="C52" s="62" t="s">
        <v>722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723</v>
      </c>
      <c r="C1" s="45" t="s">
        <v>724</v>
      </c>
      <c r="E1" s="45" t="s">
        <v>537</v>
      </c>
      <c r="F1" s="45" t="s">
        <v>725</v>
      </c>
    </row>
    <row r="2" spans="2:6">
      <c r="B2" s="21" t="s">
        <v>726</v>
      </c>
      <c r="C2" s="21">
        <v>13</v>
      </c>
      <c r="E2" s="21" t="s">
        <v>727</v>
      </c>
      <c r="F2" s="21">
        <v>6</v>
      </c>
    </row>
    <row r="3" spans="2:6">
      <c r="B3" s="21" t="s">
        <v>728</v>
      </c>
      <c r="C3" s="21">
        <v>13</v>
      </c>
      <c r="E3" s="21" t="s">
        <v>729</v>
      </c>
      <c r="F3" s="21">
        <v>13</v>
      </c>
    </row>
    <row r="4" spans="2:6">
      <c r="B4" s="21" t="s">
        <v>730</v>
      </c>
      <c r="C4" s="21">
        <v>12</v>
      </c>
      <c r="E4" s="21" t="s">
        <v>596</v>
      </c>
      <c r="F4" s="21">
        <v>4</v>
      </c>
    </row>
    <row r="5" spans="2:6">
      <c r="B5" s="21" t="s">
        <v>731</v>
      </c>
      <c r="C5" s="21">
        <v>2</v>
      </c>
      <c r="E5" s="21" t="s">
        <v>732</v>
      </c>
      <c r="F5" s="21">
        <v>6</v>
      </c>
    </row>
    <row r="6" spans="2:6">
      <c r="B6" s="21" t="s">
        <v>733</v>
      </c>
      <c r="C6" s="21">
        <v>2</v>
      </c>
      <c r="E6" s="21" t="s">
        <v>734</v>
      </c>
      <c r="F6" s="21">
        <v>4</v>
      </c>
    </row>
    <row r="7" spans="2:6">
      <c r="B7" s="21" t="s">
        <v>735</v>
      </c>
      <c r="C7" s="21">
        <v>1</v>
      </c>
      <c r="E7" s="21" t="s">
        <v>736</v>
      </c>
      <c r="F7" s="21">
        <v>1</v>
      </c>
    </row>
    <row r="8" spans="2:6">
      <c r="B8" s="21" t="s">
        <v>737</v>
      </c>
      <c r="C8" s="21">
        <v>4</v>
      </c>
      <c r="E8" s="21" t="s">
        <v>738</v>
      </c>
      <c r="F8" s="21">
        <v>3</v>
      </c>
    </row>
    <row r="9" spans="2:6">
      <c r="E9" s="21" t="s">
        <v>739</v>
      </c>
      <c r="F9" s="21">
        <v>1</v>
      </c>
    </row>
    <row r="10" spans="2:6">
      <c r="E10" s="21" t="s">
        <v>740</v>
      </c>
      <c r="F10" s="21">
        <v>5</v>
      </c>
    </row>
    <row r="11" spans="2:6">
      <c r="E11" s="21" t="s">
        <v>741</v>
      </c>
      <c r="F11" s="21">
        <v>1</v>
      </c>
    </row>
    <row r="12" spans="2:6">
      <c r="E12" s="21" t="s">
        <v>737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4"/>
  <sheetViews>
    <sheetView zoomScale="55" zoomScaleNormal="55" workbookViewId="0">
      <pane xSplit="3" ySplit="1" topLeftCell="D40" activePane="bottomRight" state="frozen"/>
      <selection/>
      <selection pane="topRight"/>
      <selection pane="bottomLeft"/>
      <selection pane="bottomRight" activeCell="BV53" sqref="BV53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742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743</v>
      </c>
      <c r="BD1" s="12" t="s">
        <v>744</v>
      </c>
      <c r="BF1" s="11">
        <v>1</v>
      </c>
      <c r="BG1" s="11">
        <v>2</v>
      </c>
      <c r="BH1" s="11">
        <v>3</v>
      </c>
      <c r="BI1" s="11">
        <v>4</v>
      </c>
      <c r="BJ1" s="11" t="s">
        <v>745</v>
      </c>
      <c r="BK1" s="11">
        <v>5</v>
      </c>
      <c r="BL1" s="11">
        <v>6</v>
      </c>
      <c r="BM1" s="11">
        <v>7</v>
      </c>
      <c r="BN1" s="11">
        <v>8</v>
      </c>
      <c r="BO1" s="13" t="s">
        <v>744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399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403</v>
      </c>
      <c r="BF17" s="21" cm="1">
        <f t="array" ref="BF17">SUMPRODUCT(LEN(BF25:BF112)-LEN(SUBSTITUTE(BF25:BF112,"数","")))</f>
        <v>1</v>
      </c>
      <c r="BG17" s="21" cm="1">
        <f t="array" ref="BG17">SUMPRODUCT(LEN(BG25:BG112)-LEN(SUBSTITUTE(BG25:BG112,"数","")))</f>
        <v>2</v>
      </c>
      <c r="BH17" s="21" cm="1">
        <f t="array" ref="BH17">SUMPRODUCT(LEN(BH25:BH112)-LEN(SUBSTITUTE(BH25:BH112,"数","")))</f>
        <v>1</v>
      </c>
      <c r="BI17" s="21" cm="1">
        <f t="array" ref="BI17">SUMPRODUCT(LEN(BI25:BI112)-LEN(SUBSTITUTE(BI25:BI112,"数","")))</f>
        <v>2</v>
      </c>
      <c r="BJ17" s="21" cm="1">
        <f t="array" ref="BJ17">SUMPRODUCT(LEN(BJ25:BJ112)-LEN(SUBSTITUTE(BJ25:BJ112,"数","")))</f>
        <v>0</v>
      </c>
      <c r="BK17" s="21" cm="1">
        <f t="array" ref="BK17">SUMPRODUCT(LEN(BK25:BK112)-LEN(SUBSTITUTE(BK25:BK112,"数","")))</f>
        <v>1</v>
      </c>
      <c r="BL17" s="21" cm="1">
        <f t="array" ref="BL17">SUMPRODUCT(LEN(BL25:BL112)-LEN(SUBSTITUTE(BL25:BL112,"数","")))</f>
        <v>0</v>
      </c>
      <c r="BM17" s="21" cm="1">
        <f t="array" ref="BM17">SUMPRODUCT(LEN(BM25:BM112)-LEN(SUBSTITUTE(BM25:BM112,"数","")))</f>
        <v>0</v>
      </c>
      <c r="BN17" s="21" cm="1">
        <f t="array" ref="BN17">SUMPRODUCT(LEN(BN25:BN112)-LEN(SUBSTITUTE(BN25:BN112,"数","")))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406</v>
      </c>
      <c r="BF18" s="21" cm="1">
        <f t="array" ref="BF18">SUMPRODUCT(LEN(BF26:BF113)-LEN(SUBSTITUTE(BF26:BF113,"政","")))</f>
        <v>0</v>
      </c>
      <c r="BG18" s="21" cm="1">
        <f t="array" ref="BG18">SUMPRODUCT(LEN(BG26:BG113)-LEN(SUBSTITUTE(BG26:BG113,"政","")))</f>
        <v>0</v>
      </c>
      <c r="BH18" s="21" cm="1">
        <f t="array" ref="BH18">SUMPRODUCT(LEN(BH26:BH113)-LEN(SUBSTITUTE(BH26:BH113,"政","")))</f>
        <v>8</v>
      </c>
      <c r="BI18" s="21" cm="1">
        <f t="array" ref="BI18">SUMPRODUCT(LEN(BI26:BI113)-LEN(SUBSTITUTE(BI26:BI113,"政","")))</f>
        <v>5</v>
      </c>
      <c r="BJ18" s="21" cm="1">
        <f t="array" ref="BJ18">SUMPRODUCT(LEN(BJ26:BJ113)-LEN(SUBSTITUTE(BJ26:BJ113,"政","")))</f>
        <v>0</v>
      </c>
      <c r="BK18" s="21" cm="1">
        <f t="array" ref="BK18">SUMPRODUCT(LEN(BK26:BK113)-LEN(SUBSTITUTE(BK26:BK113,"政","")))</f>
        <v>0</v>
      </c>
      <c r="BL18" s="21" cm="1">
        <f t="array" ref="BL18">SUMPRODUCT(LEN(BL26:BL113)-LEN(SUBSTITUTE(BL26:BL113,"政","")))</f>
        <v>0</v>
      </c>
      <c r="BM18" s="21" cm="1">
        <f t="array" ref="BM18">SUMPRODUCT(LEN(BM26:BM113)-LEN(SUBSTITUTE(BM26:BM113,"政","")))</f>
        <v>0</v>
      </c>
      <c r="BN18" s="21" cm="1">
        <f t="array" ref="BN18">SUMPRODUCT(LEN(BN26:BN113)-LEN(SUBSTITUTE(BN26:BN113,"政","")))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408</v>
      </c>
      <c r="BF19" s="21" cm="1">
        <f t="array" ref="BF19">SUMPRODUCT(LEN(BF27:BF114)-LEN(SUBSTITUTE(BF27:BF114,"史","")))</f>
        <v>0</v>
      </c>
      <c r="BG19" s="21" cm="1">
        <f t="array" ref="BG19">SUMPRODUCT(LEN(BG27:BG114)-LEN(SUBSTITUTE(BG27:BG114,"史","")))</f>
        <v>0</v>
      </c>
      <c r="BH19" s="21" cm="1">
        <f t="array" ref="BH19">SUMPRODUCT(LEN(BH27:BH114)-LEN(SUBSTITUTE(BH27:BH114,"史","")))</f>
        <v>0</v>
      </c>
      <c r="BI19" s="21" cm="1">
        <f t="array" ref="BI19">SUMPRODUCT(LEN(BI27:BI114)-LEN(SUBSTITUTE(BI27:BI114,"史","")))</f>
        <v>1</v>
      </c>
      <c r="BJ19" s="21" cm="1">
        <f t="array" ref="BJ19">SUMPRODUCT(LEN(BJ27:BJ114)-LEN(SUBSTITUTE(BJ27:BJ114,"史","")))</f>
        <v>0</v>
      </c>
      <c r="BK19" s="21" cm="1">
        <f t="array" ref="BK19">SUMPRODUCT(LEN(BK27:BK114)-LEN(SUBSTITUTE(BK27:BK114,"史","")))</f>
        <v>0</v>
      </c>
      <c r="BL19" s="21" cm="1">
        <f t="array" ref="BL19">SUMPRODUCT(LEN(BL27:BL114)-LEN(SUBSTITUTE(BL27:BL114,"史","")))</f>
        <v>0</v>
      </c>
      <c r="BM19" s="21" cm="1">
        <f t="array" ref="BM19">SUMPRODUCT(LEN(BM27:BM114)-LEN(SUBSTITUTE(BM27:BM114,"史","")))</f>
        <v>0</v>
      </c>
      <c r="BN19" s="21" cm="1">
        <f t="array" ref="BN19">SUMPRODUCT(LEN(BN27:BN114)-LEN(SUBSTITUTE(BN27:BN114,"史","")))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410</v>
      </c>
      <c r="BF20" s="21" cm="1">
        <f t="array" ref="BF20">SUMPRODUCT(LEN(BF28:BF115)-LEN(SUBSTITUTE(BF28:BF115,"地","")))</f>
        <v>0</v>
      </c>
      <c r="BG20" s="21" cm="1">
        <f t="array" ref="BG20">SUMPRODUCT(LEN(BG28:BG115)-LEN(SUBSTITUTE(BG28:BG115,"地","")))</f>
        <v>0</v>
      </c>
      <c r="BH20" s="21" cm="1">
        <f t="array" ref="BH20">SUMPRODUCT(LEN(BH28:BH115)-LEN(SUBSTITUTE(BH28:BH115,"地","")))</f>
        <v>0</v>
      </c>
      <c r="BI20" s="21" cm="1">
        <f t="array" ref="BI20">SUMPRODUCT(LEN(BI28:BI115)-LEN(SUBSTITUTE(BI28:BI115,"地","")))</f>
        <v>0</v>
      </c>
      <c r="BJ20" s="21" cm="1">
        <f t="array" ref="BJ20">SUMPRODUCT(LEN(BJ28:BJ115)-LEN(SUBSTITUTE(BJ28:BJ115,"地","")))</f>
        <v>0</v>
      </c>
      <c r="BK20" s="21" cm="1">
        <f t="array" ref="BK20">SUMPRODUCT(LEN(BK28:BK115)-LEN(SUBSTITUTE(BK28:BK115,"地","")))</f>
        <v>1</v>
      </c>
      <c r="BL20" s="21" cm="1">
        <f t="array" ref="BL20">SUMPRODUCT(LEN(BL28:BL115)-LEN(SUBSTITUTE(BL28:BL115,"地","")))</f>
        <v>2</v>
      </c>
      <c r="BM20" s="21" cm="1">
        <f t="array" ref="BM20">SUMPRODUCT(LEN(BM28:BM115)-LEN(SUBSTITUTE(BM28:BM115,"地","")))</f>
        <v>0</v>
      </c>
      <c r="BN20" s="21" cm="1">
        <f t="array" ref="BN20">SUMPRODUCT(LEN(BN28:BN115)-LEN(SUBSTITUTE(BN28:BN115,"地","")))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413</v>
      </c>
      <c r="BF21" s="21" cm="1">
        <f t="array" ref="BF21">SUMPRODUCT(LEN(BF29:BF116)-LEN(SUBSTITUTE(BF29:BF116,"生","")))</f>
        <v>0</v>
      </c>
      <c r="BG21" s="21" cm="1">
        <f t="array" ref="BG21">SUMPRODUCT(LEN(BG29:BG116)-LEN(SUBSTITUTE(BG29:BG116,"生","")))</f>
        <v>0</v>
      </c>
      <c r="BH21" s="21" cm="1">
        <f t="array" ref="BH21">SUMPRODUCT(LEN(BH29:BH116)-LEN(SUBSTITUTE(BH29:BH116,"生","")))</f>
        <v>1</v>
      </c>
      <c r="BI21" s="21" cm="1">
        <f t="array" ref="BI21">SUMPRODUCT(LEN(BI29:BI116)-LEN(SUBSTITUTE(BI29:BI116,"生","")))</f>
        <v>2</v>
      </c>
      <c r="BJ21" s="21" cm="1">
        <f t="array" ref="BJ21">SUMPRODUCT(LEN(BJ29:BJ116)-LEN(SUBSTITUTE(BJ29:BJ116,"生","")))</f>
        <v>0</v>
      </c>
      <c r="BK21" s="21" cm="1">
        <f t="array" ref="BK21">SUMPRODUCT(LEN(BK29:BK116)-LEN(SUBSTITUTE(BK29:BK116,"生","")))</f>
        <v>0</v>
      </c>
      <c r="BL21" s="21" cm="1">
        <f t="array" ref="BL21">SUMPRODUCT(LEN(BL29:BL116)-LEN(SUBSTITUTE(BL29:BL116,"生","")))</f>
        <v>1</v>
      </c>
      <c r="BM21" s="21" cm="1">
        <f t="array" ref="BM21">SUMPRODUCT(LEN(BM29:BM116)-LEN(SUBSTITUTE(BM29:BM116,"生","")))</f>
        <v>1</v>
      </c>
      <c r="BN21" s="21" cm="1">
        <f t="array" ref="BN21">SUMPRODUCT(LEN(BN29:BN116)-LEN(SUBSTITUTE(BN29:BN116,"生","")))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416</v>
      </c>
      <c r="BF22" s="21" cm="1">
        <f t="array" ref="BF22">SUMPRODUCT(LEN(BF30:BF117)-LEN(SUBSTITUTE(BF30:BF117,"物","")))</f>
        <v>0</v>
      </c>
      <c r="BG22" s="21" cm="1">
        <f t="array" ref="BG22">SUMPRODUCT(LEN(BG30:BG117)-LEN(SUBSTITUTE(BG30:BG117,"物","")))</f>
        <v>0</v>
      </c>
      <c r="BH22" s="21" cm="1">
        <f t="array" ref="BH22">SUMPRODUCT(LEN(BH30:BH117)-LEN(SUBSTITUTE(BH30:BH117,"物","")))</f>
        <v>0</v>
      </c>
      <c r="BI22" s="21" cm="1">
        <f t="array" ref="BI22">SUMPRODUCT(LEN(BI30:BI117)-LEN(SUBSTITUTE(BI30:BI117,"物","")))</f>
        <v>0</v>
      </c>
      <c r="BJ22" s="21" cm="1">
        <f t="array" ref="BJ22">SUMPRODUCT(LEN(BJ30:BJ117)-LEN(SUBSTITUTE(BJ30:BJ117,"物","")))</f>
        <v>1</v>
      </c>
      <c r="BK22" s="21" cm="1">
        <f t="array" ref="BK22">SUMPRODUCT(LEN(BK30:BK117)-LEN(SUBSTITUTE(BK30:BK117,"物","")))</f>
        <v>1</v>
      </c>
      <c r="BL22" s="21" cm="1">
        <f t="array" ref="BL22">SUMPRODUCT(LEN(BL30:BL117)-LEN(SUBSTITUTE(BL30:BL117,"物","")))</f>
        <v>0</v>
      </c>
      <c r="BM22" s="21" cm="1">
        <f t="array" ref="BM22">SUMPRODUCT(LEN(BM30:BM117)-LEN(SUBSTITUTE(BM30:BM117,"物","")))</f>
        <v>0</v>
      </c>
      <c r="BN22" s="21" cm="1">
        <f t="array" ref="BN22">SUMPRODUCT(LEN(BN30:BN117)-LEN(SUBSTITUTE(BN30:BN117,"物","")))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419</v>
      </c>
      <c r="BF23" s="21" cm="1">
        <f t="array" ref="BF23">SUMPRODUCT(LEN(BF31:BF118)-LEN(SUBSTITUTE(BF31:BF118,"化","")))</f>
        <v>0</v>
      </c>
      <c r="BG23" s="21" cm="1">
        <f t="array" ref="BG23">SUMPRODUCT(LEN(BG31:BG118)-LEN(SUBSTITUTE(BG31:BG118,"化","")))</f>
        <v>0</v>
      </c>
      <c r="BH23" s="21" cm="1">
        <f t="array" ref="BH23">SUMPRODUCT(LEN(BH31:BH118)-LEN(SUBSTITUTE(BH31:BH118,"化","")))</f>
        <v>0</v>
      </c>
      <c r="BI23" s="21" cm="1">
        <f t="array" ref="BI23">SUMPRODUCT(LEN(BI31:BI118)-LEN(SUBSTITUTE(BI31:BI118,"化","")))</f>
        <v>0</v>
      </c>
      <c r="BJ23" s="21" cm="1">
        <f t="array" ref="BJ23">SUMPRODUCT(LEN(BJ31:BJ118)-LEN(SUBSTITUTE(BJ31:BJ118,"化","")))</f>
        <v>0</v>
      </c>
      <c r="BK23" s="21" cm="1">
        <f t="array" ref="BK23">SUMPRODUCT(LEN(BK31:BK118)-LEN(SUBSTITUTE(BK31:BK118,"化","")))</f>
        <v>0</v>
      </c>
      <c r="BL23" s="21" cm="1">
        <f t="array" ref="BL23">SUMPRODUCT(LEN(BL31:BL118)-LEN(SUBSTITUTE(BL31:BL118,"化","")))</f>
        <v>0</v>
      </c>
      <c r="BM23" s="21" cm="1">
        <f t="array" ref="BM23">SUMPRODUCT(LEN(BM31:BM118)-LEN(SUBSTITUTE(BM31:BM118,"化","")))</f>
        <v>0</v>
      </c>
      <c r="BN23" s="21" cm="1">
        <f t="array" ref="BN23">SUMPRODUCT(LEN(BN31:BN118)-LEN(SUBSTITUTE(BN31:BN118,"化","")))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746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747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747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748</v>
      </c>
      <c r="BI35" s="21"/>
      <c r="BJ35" s="21"/>
      <c r="BK35" s="21" t="s">
        <v>749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750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749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748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751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748</v>
      </c>
      <c r="BJ53" s="21"/>
      <c r="BK53" s="21" t="s">
        <v>749</v>
      </c>
      <c r="BL53" s="21" t="s">
        <v>749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746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748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749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749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748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751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746</v>
      </c>
      <c r="BK62" s="21"/>
      <c r="BL62" s="21"/>
      <c r="BM62" s="21" t="s">
        <v>752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748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749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747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749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748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752</v>
      </c>
      <c r="BI72" s="21" t="s">
        <v>748</v>
      </c>
      <c r="BJ72" s="21"/>
      <c r="BK72" s="21"/>
      <c r="BL72" s="21" t="s">
        <v>749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747</v>
      </c>
      <c r="BI73" s="21"/>
      <c r="BJ73" s="21"/>
      <c r="BK73" s="21"/>
      <c r="BL73" s="21" t="s">
        <v>751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747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752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747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748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747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752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752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748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748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748</v>
      </c>
      <c r="BJ101" s="27"/>
      <c r="BK101" s="27"/>
      <c r="BL101" s="27" t="s">
        <v>749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749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748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749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>
        <v>1</v>
      </c>
      <c r="F109" s="17">
        <v>1</v>
      </c>
      <c r="G109" s="17"/>
      <c r="H109" s="17"/>
      <c r="I109" s="17">
        <v>2</v>
      </c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>
        <v>1</v>
      </c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4</v>
      </c>
      <c r="BD109" s="19">
        <f t="shared" si="6"/>
        <v>5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>
        <v>1</v>
      </c>
      <c r="Q110" s="17"/>
      <c r="R110" s="17">
        <v>1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2</v>
      </c>
      <c r="BD110" s="19">
        <f t="shared" si="6"/>
        <v>2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>
        <v>1</v>
      </c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>
        <v>1</v>
      </c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2</v>
      </c>
      <c r="BD111" s="19">
        <f t="shared" si="6"/>
        <v>2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31" t="s">
        <v>753</v>
      </c>
      <c r="B112" s="32"/>
      <c r="C112" s="33"/>
      <c r="D112" s="34">
        <f>SUM(D2:D111)</f>
        <v>6</v>
      </c>
      <c r="E112" s="34">
        <f t="shared" ref="E112:AJ112" si="8">SUM(E2:E111)</f>
        <v>55</v>
      </c>
      <c r="F112" s="34">
        <f t="shared" si="8"/>
        <v>18</v>
      </c>
      <c r="G112" s="34">
        <f t="shared" si="8"/>
        <v>9</v>
      </c>
      <c r="H112" s="34">
        <f t="shared" si="8"/>
        <v>17</v>
      </c>
      <c r="I112" s="34">
        <f t="shared" si="8"/>
        <v>52</v>
      </c>
      <c r="J112" s="34">
        <f t="shared" si="8"/>
        <v>47</v>
      </c>
      <c r="K112" s="34">
        <f t="shared" si="8"/>
        <v>4</v>
      </c>
      <c r="L112" s="34">
        <f t="shared" si="8"/>
        <v>26</v>
      </c>
      <c r="M112" s="34">
        <f t="shared" si="8"/>
        <v>7</v>
      </c>
      <c r="N112" s="34">
        <f t="shared" si="8"/>
        <v>29</v>
      </c>
      <c r="O112" s="34">
        <f t="shared" si="8"/>
        <v>8</v>
      </c>
      <c r="P112" s="34">
        <f t="shared" si="8"/>
        <v>47</v>
      </c>
      <c r="Q112" s="34">
        <f t="shared" si="8"/>
        <v>5</v>
      </c>
      <c r="R112" s="34">
        <f t="shared" si="8"/>
        <v>11</v>
      </c>
      <c r="S112" s="34">
        <f t="shared" si="8"/>
        <v>1</v>
      </c>
      <c r="T112" s="34">
        <f t="shared" si="8"/>
        <v>15</v>
      </c>
      <c r="U112" s="34">
        <f t="shared" si="8"/>
        <v>2</v>
      </c>
      <c r="V112" s="34">
        <f t="shared" si="8"/>
        <v>7</v>
      </c>
      <c r="W112" s="34">
        <f t="shared" si="8"/>
        <v>42</v>
      </c>
      <c r="X112" s="34">
        <f t="shared" si="8"/>
        <v>1</v>
      </c>
      <c r="Y112" s="34">
        <f t="shared" si="8"/>
        <v>36</v>
      </c>
      <c r="Z112" s="34">
        <f t="shared" si="8"/>
        <v>1</v>
      </c>
      <c r="AA112" s="34">
        <f t="shared" si="8"/>
        <v>0</v>
      </c>
      <c r="AB112" s="34">
        <f t="shared" si="8"/>
        <v>1</v>
      </c>
      <c r="AC112" s="34">
        <f t="shared" si="8"/>
        <v>32</v>
      </c>
      <c r="AD112" s="34">
        <f t="shared" si="8"/>
        <v>22</v>
      </c>
      <c r="AE112" s="34">
        <f t="shared" si="8"/>
        <v>17</v>
      </c>
      <c r="AF112" s="34">
        <f t="shared" si="8"/>
        <v>28</v>
      </c>
      <c r="AG112" s="34">
        <f t="shared" si="8"/>
        <v>36</v>
      </c>
      <c r="AH112" s="34">
        <f t="shared" si="8"/>
        <v>16</v>
      </c>
      <c r="AI112" s="34">
        <f t="shared" si="8"/>
        <v>0</v>
      </c>
      <c r="AJ112" s="34">
        <f t="shared" si="8"/>
        <v>0</v>
      </c>
      <c r="AK112" s="34">
        <f t="shared" ref="AK112:BB112" si="9">SUM(AK2:AK111)</f>
        <v>2</v>
      </c>
      <c r="AL112" s="34">
        <f t="shared" si="9"/>
        <v>23</v>
      </c>
      <c r="AM112" s="34">
        <f t="shared" si="9"/>
        <v>19</v>
      </c>
      <c r="AN112" s="34">
        <f t="shared" si="9"/>
        <v>0</v>
      </c>
      <c r="AO112" s="34">
        <f t="shared" si="9"/>
        <v>64</v>
      </c>
      <c r="AP112" s="34">
        <f t="shared" si="9"/>
        <v>52</v>
      </c>
      <c r="AQ112" s="34">
        <f t="shared" si="9"/>
        <v>67</v>
      </c>
      <c r="AR112" s="34">
        <f t="shared" si="9"/>
        <v>1</v>
      </c>
      <c r="AS112" s="34">
        <f t="shared" si="9"/>
        <v>53</v>
      </c>
      <c r="AT112" s="34">
        <f t="shared" si="9"/>
        <v>0</v>
      </c>
      <c r="AU112" s="34">
        <f t="shared" si="9"/>
        <v>91</v>
      </c>
      <c r="AV112" s="34">
        <f t="shared" si="9"/>
        <v>0</v>
      </c>
      <c r="AW112" s="34">
        <f t="shared" si="9"/>
        <v>36</v>
      </c>
      <c r="AX112" s="34">
        <f t="shared" si="9"/>
        <v>11</v>
      </c>
      <c r="AY112" s="34">
        <f t="shared" si="9"/>
        <v>8</v>
      </c>
      <c r="AZ112" s="34">
        <f t="shared" si="9"/>
        <v>1</v>
      </c>
      <c r="BA112" s="34">
        <f t="shared" si="9"/>
        <v>0</v>
      </c>
      <c r="BB112" s="34">
        <f t="shared" si="9"/>
        <v>2</v>
      </c>
      <c r="BC112" s="35" t="s">
        <v>754</v>
      </c>
      <c r="BD112" s="36"/>
      <c r="BE112" s="37"/>
      <c r="BF112" s="21">
        <f>COUNTA(BF24:BF111)</f>
        <v>1</v>
      </c>
      <c r="BG112" s="21">
        <f t="shared" ref="BG112:BN112" si="10">COUNTA(BG24:BG111)</f>
        <v>3</v>
      </c>
      <c r="BH112" s="21">
        <f t="shared" si="10"/>
        <v>10</v>
      </c>
      <c r="BI112" s="21">
        <f t="shared" si="10"/>
        <v>11</v>
      </c>
      <c r="BJ112" s="21">
        <f t="shared" si="10"/>
        <v>3</v>
      </c>
      <c r="BK112" s="21">
        <f t="shared" si="10"/>
        <v>5</v>
      </c>
      <c r="BL112" s="21">
        <f t="shared" si="10"/>
        <v>9</v>
      </c>
      <c r="BM112" s="21">
        <f t="shared" si="10"/>
        <v>2</v>
      </c>
      <c r="BN112" s="21">
        <f t="shared" si="10"/>
        <v>0</v>
      </c>
      <c r="BO112" s="38">
        <f>SUM(BF112:BN112)</f>
        <v>44</v>
      </c>
    </row>
    <row r="113" customHeight="1" spans="1:67">
      <c r="A113" s="31" t="s">
        <v>755</v>
      </c>
      <c r="B113" s="32"/>
      <c r="C113" s="33"/>
      <c r="D113" s="34" cm="1">
        <f t="array" ref="D113">SUMPRODUCT(--(D2:D111=INT(D2:D111)),--(D2:D111&gt;0))</f>
        <v>5</v>
      </c>
      <c r="E113" s="34" cm="1">
        <f t="array" ref="E113">SUMPRODUCT(--(E2:E111=INT(E2:E111)),--(E2:E111&gt;0))</f>
        <v>50</v>
      </c>
      <c r="F113" s="34" cm="1">
        <f t="array" ref="F113">SUMPRODUCT(--(F2:F111=INT(F2:F111)),--(F2:F111&gt;0))</f>
        <v>18</v>
      </c>
      <c r="G113" s="34" cm="1">
        <f t="array" ref="G113">SUMPRODUCT(--(G2:G111=INT(G2:G111)),--(G2:G111&gt;0))</f>
        <v>9</v>
      </c>
      <c r="H113" s="34" cm="1">
        <f t="array" ref="H113">SUMPRODUCT(--(H2:H111=INT(H2:H111)),--(H2:H111&gt;0))</f>
        <v>16</v>
      </c>
      <c r="I113" s="34" cm="1">
        <f t="array" ref="I113">SUMPRODUCT(--(I2:I111=INT(I2:I111)),--(I2:I111&gt;0))</f>
        <v>50</v>
      </c>
      <c r="J113" s="34" cm="1">
        <f t="array" ref="J113">SUMPRODUCT(--(J2:J111=INT(J2:J111)),--(J2:J111&gt;0))</f>
        <v>41</v>
      </c>
      <c r="K113" s="34" cm="1">
        <f t="array" ref="K113">SUMPRODUCT(--(K2:K111=INT(K2:K111)),--(K2:K111&gt;0))</f>
        <v>4</v>
      </c>
      <c r="L113" s="34" cm="1">
        <f t="array" ref="L113">SUMPRODUCT(--(L2:L111=INT(L2:L111)),--(L2:L111&gt;0))</f>
        <v>21</v>
      </c>
      <c r="M113" s="34" cm="1">
        <f t="array" ref="M113">SUMPRODUCT(--(M2:M111=INT(M2:M111)),--(M2:M111&gt;0))</f>
        <v>7</v>
      </c>
      <c r="N113" s="34" cm="1">
        <f t="array" ref="N113">SUMPRODUCT(--(N2:N111=INT(N2:N111)),--(N2:N111&gt;0))</f>
        <v>28</v>
      </c>
      <c r="O113" s="34" cm="1">
        <f t="array" ref="O113">SUMPRODUCT(--(O2:O111=INT(O2:O111)),--(O2:O111&gt;0))</f>
        <v>8</v>
      </c>
      <c r="P113" s="34" cm="1">
        <f t="array" ref="P113">SUMPRODUCT(--(P2:P111=INT(P2:P111)),--(P2:P111&gt;0))</f>
        <v>40</v>
      </c>
      <c r="Q113" s="34" cm="1">
        <f t="array" ref="Q113">SUMPRODUCT(--(Q2:Q111=INT(Q2:Q111)),--(Q2:Q111&gt;0))</f>
        <v>5</v>
      </c>
      <c r="R113" s="34" cm="1">
        <f t="array" ref="R113">SUMPRODUCT(--(R2:R111=INT(R2:R111)),--(R2:R111&gt;0))</f>
        <v>11</v>
      </c>
      <c r="S113" s="34" cm="1">
        <f t="array" ref="S113">SUMPRODUCT(--(S2:S111=INT(S2:S111)),--(S2:S111&gt;0))</f>
        <v>1</v>
      </c>
      <c r="T113" s="34" cm="1">
        <f t="array" ref="T113">SUMPRODUCT(--(T2:T111=INT(T2:T111)),--(T2:T111&gt;0))</f>
        <v>14</v>
      </c>
      <c r="U113" s="34" cm="1">
        <f t="array" ref="U113">SUMPRODUCT(--(U2:U111=INT(U2:U111)),--(U2:U111&gt;0))</f>
        <v>2</v>
      </c>
      <c r="V113" s="34" cm="1">
        <f t="array" ref="V113">SUMPRODUCT(--(V2:V111=INT(V2:V111)),--(V2:V111&gt;0))</f>
        <v>6</v>
      </c>
      <c r="W113" s="34" cm="1">
        <f t="array" ref="W113">SUMPRODUCT(--(W2:W111=INT(W2:W111)),--(W2:W111&gt;0))</f>
        <v>36</v>
      </c>
      <c r="X113" s="34" cm="1">
        <f t="array" ref="X113">SUMPRODUCT(--(X2:X111=INT(X2:X111)),--(X2:X111&gt;0))</f>
        <v>1</v>
      </c>
      <c r="Y113" s="34" cm="1">
        <f t="array" ref="Y113">SUMPRODUCT(--(Y2:Y111=INT(Y2:Y111)),--(Y2:Y111&gt;0))</f>
        <v>33</v>
      </c>
      <c r="Z113" s="34" cm="1">
        <f t="array" ref="Z113">SUMPRODUCT(--(Z2:Z111=INT(Z2:Z111)),--(Z2:Z111&gt;0))</f>
        <v>1</v>
      </c>
      <c r="AA113" s="34" cm="1">
        <f t="array" ref="AA113">SUMPRODUCT(--(AA2:AA111=INT(AA2:AA111)),--(AA2:AA111&gt;0))</f>
        <v>0</v>
      </c>
      <c r="AB113" s="34" cm="1">
        <f t="array" ref="AB113">SUMPRODUCT(--(AB2:AB111=INT(AB2:AB111)),--(AB2:AB111&gt;0))</f>
        <v>1</v>
      </c>
      <c r="AC113" s="34" cm="1">
        <f t="array" ref="AC113">SUMPRODUCT(--(AC2:AC111=INT(AC2:AC111)),--(AC2:AC111&gt;0))</f>
        <v>27</v>
      </c>
      <c r="AD113" s="34" cm="1">
        <f t="array" ref="AD113">SUMPRODUCT(--(AD2:AD111=INT(AD2:AD111)),--(AD2:AD111&gt;0))</f>
        <v>21</v>
      </c>
      <c r="AE113" s="34" cm="1">
        <f t="array" ref="AE113">SUMPRODUCT(--(AE2:AE111=INT(AE2:AE111)),--(AE2:AE111&gt;0))</f>
        <v>16</v>
      </c>
      <c r="AF113" s="34" cm="1">
        <f t="array" ref="AF113">SUMPRODUCT(--(AF2:AF111=INT(AF2:AF111)),--(AF2:AF111&gt;0))</f>
        <v>26</v>
      </c>
      <c r="AG113" s="34" cm="1">
        <f t="array" ref="AG113">SUMPRODUCT(--(AG2:AG111=INT(AG2:AG111)),--(AG2:AG111&gt;0))</f>
        <v>31</v>
      </c>
      <c r="AH113" s="34" cm="1">
        <f t="array" ref="AH113">SUMPRODUCT(--(AH2:AH111=INT(AH2:AH111)),--(AH2:AH111&gt;0))</f>
        <v>16</v>
      </c>
      <c r="AI113" s="34" cm="1">
        <f t="array" ref="AI113">SUMPRODUCT(--(AI2:AI111=INT(AI2:AI111)),--(AI2:AI111&gt;0))</f>
        <v>0</v>
      </c>
      <c r="AJ113" s="34" cm="1">
        <f t="array" ref="AJ113">SUMPRODUCT(--(AJ2:AJ111=INT(AJ2:AJ111)),--(AJ2:AJ111&gt;0))</f>
        <v>0</v>
      </c>
      <c r="AK113" s="34" cm="1">
        <f t="array" ref="AK113">SUMPRODUCT(--(AK2:AK111=INT(AK2:AK111)),--(AK2:AK111&gt;0))</f>
        <v>2</v>
      </c>
      <c r="AL113" s="34" cm="1">
        <f t="array" ref="AL113">SUMPRODUCT(--(AL2:AL111=INT(AL2:AL111)),--(AL2:AL111&gt;0))</f>
        <v>22</v>
      </c>
      <c r="AM113" s="34" cm="1">
        <f t="array" ref="AM113">SUMPRODUCT(--(AM2:AM111=INT(AM2:AM111)),--(AM2:AM111&gt;0))</f>
        <v>17</v>
      </c>
      <c r="AN113" s="34" cm="1">
        <f t="array" ref="AN113">SUMPRODUCT(--(AN2:AN111=INT(AN2:AN111)),--(AN2:AN111&gt;0))</f>
        <v>0</v>
      </c>
      <c r="AO113" s="34" cm="1">
        <f t="array" ref="AO113">SUMPRODUCT(--(AO2:AO111=INT(AO2:AO111)),--(AO2:AO111&gt;0))</f>
        <v>53</v>
      </c>
      <c r="AP113" s="34" cm="1">
        <f t="array" ref="AP113">SUMPRODUCT(--(AP2:AP111=INT(AP2:AP111)),--(AP2:AP111&gt;0))</f>
        <v>42</v>
      </c>
      <c r="AQ113" s="34" cm="1">
        <f t="array" ref="AQ113">SUMPRODUCT(--(AQ2:AQ111=INT(AQ2:AQ111)),--(AQ2:AQ111&gt;0))</f>
        <v>51</v>
      </c>
      <c r="AR113" s="34" cm="1">
        <f t="array" ref="AR113">SUMPRODUCT(--(AR2:AR111=INT(AR2:AR111)),--(AR2:AR111&gt;0))</f>
        <v>1</v>
      </c>
      <c r="AS113" s="34" cm="1">
        <f t="array" ref="AS113">SUMPRODUCT(--(AS2:AS111=INT(AS2:AS111)),--(AS2:AS111&gt;0))</f>
        <v>45</v>
      </c>
      <c r="AT113" s="34" cm="1">
        <f t="array" ref="AT113">SUMPRODUCT(--(AT2:AT111=INT(AT2:AT111)),--(AT2:AT111&gt;0))</f>
        <v>0</v>
      </c>
      <c r="AU113" s="34" cm="1">
        <f t="array" ref="AU113">SUMPRODUCT(--(AU2:AU111=INT(AU2:AU111)),--(AU2:AU111&gt;0))</f>
        <v>70</v>
      </c>
      <c r="AV113" s="34" cm="1">
        <f t="array" ref="AV113">SUMPRODUCT(--(AV2:AV111=INT(AV2:AV111)),--(AV2:AV111&gt;0))</f>
        <v>0</v>
      </c>
      <c r="AW113" s="34" cm="1">
        <f t="array" ref="AW113">SUMPRODUCT(--(AW2:AW111=INT(AW2:AW111)),--(AW2:AW111&gt;0))</f>
        <v>32</v>
      </c>
      <c r="AX113" s="34" cm="1">
        <f t="array" ref="AX113">SUMPRODUCT(--(AX2:AX111=INT(AX2:AX111)),--(AX2:AX111&gt;0))</f>
        <v>11</v>
      </c>
      <c r="AY113" s="34" cm="1">
        <f t="array" ref="AY113">SUMPRODUCT(--(AY2:AY111=INT(AY2:AY111)),--(AY2:AY111&gt;0))</f>
        <v>8</v>
      </c>
      <c r="AZ113" s="34" cm="1">
        <f t="array" ref="AZ113">SUMPRODUCT(--(AZ2:AZ111=INT(AZ2:AZ111)),--(AZ2:AZ111&gt;0))</f>
        <v>1</v>
      </c>
      <c r="BA113" s="34" cm="1">
        <f t="array" ref="BA113">SUMPRODUCT(--(BA2:BA111=INT(BA2:BA111)),--(BA2:BA111&gt;0))</f>
        <v>0</v>
      </c>
      <c r="BB113" s="34" cm="1">
        <f t="array" ref="BB113">SUMPRODUCT(--(BB2:BB111=INT(BB2:BB111)),--(BB2:BB111&gt;0))</f>
        <v>2</v>
      </c>
      <c r="BC113" s="36"/>
      <c r="BD113" s="36"/>
      <c r="BF113" s="39" t="s">
        <v>756</v>
      </c>
      <c r="BG113" s="40"/>
      <c r="BH113" s="40"/>
      <c r="BI113" s="40"/>
      <c r="BJ113" s="40"/>
      <c r="BK113" s="40"/>
      <c r="BL113" s="40"/>
      <c r="BM113" s="40"/>
      <c r="BN113" s="40"/>
      <c r="BO113" s="41"/>
    </row>
    <row r="114" customHeight="1" spans="1:67">
      <c r="A114" s="31" t="s">
        <v>757</v>
      </c>
      <c r="B114" s="32"/>
      <c r="C114" s="33"/>
      <c r="D114" s="34" cm="1">
        <f t="array" ref="D114">MAX(FREQUENCY(IF((D2:D111=INT(D2:D111))*(D2:D111&gt;0),ROW(D2:D111)),IF((D2:D111&lt;&gt;INT(D2:D111))+(D2:D111&lt;=0),ROW(D2:D111))))</f>
        <v>1</v>
      </c>
      <c r="E114" s="34" cm="1">
        <f t="array" ref="E114">MAX(FREQUENCY(IF((E2:E111=INT(E2:E111))*(E2:E111&gt;0),ROW(E2:E111)),IF((E2:E111&lt;&gt;INT(E2:E111))+(E2:E111&lt;=0),ROW(E2:E111))))</f>
        <v>6</v>
      </c>
      <c r="F114" s="34" cm="1">
        <f t="array" ref="F114">MAX(FREQUENCY(IF((F2:F111=INT(F2:F111))*(F2:F111&gt;0),ROW(F2:F111)),IF((F2:F111&lt;&gt;INT(F2:F111))+(F2:F111&lt;=0),ROW(F2:F111))))</f>
        <v>3</v>
      </c>
      <c r="G114" s="34" cm="1">
        <f t="array" ref="G114">MAX(FREQUENCY(IF((G2:G111=INT(G2:G111))*(G2:G111&gt;0),ROW(G2:G111)),IF((G2:G111&lt;&gt;INT(G2:G111))+(G2:G111&lt;=0),ROW(G2:G111))))</f>
        <v>3</v>
      </c>
      <c r="H114" s="34" cm="1">
        <f t="array" ref="H114">MAX(FREQUENCY(IF((H2:H111=INT(H2:H111))*(H2:H111&gt;0),ROW(H2:H111)),IF((H2:H111&lt;&gt;INT(H2:H111))+(H2:H111&lt;=0),ROW(H2:H111))))</f>
        <v>4</v>
      </c>
      <c r="I114" s="34" cm="1">
        <f t="array" ref="I114">MAX(FREQUENCY(IF((I2:I111=INT(I2:I111))*(I2:I111&gt;0),ROW(I2:I111)),IF((I2:I111&lt;&gt;INT(I2:I111))+(I2:I111&lt;=0),ROW(I2:I111))))</f>
        <v>5</v>
      </c>
      <c r="J114" s="34" cm="1">
        <f t="array" ref="J114">MAX(FREQUENCY(IF((J2:J111=INT(J2:J111))*(J2:J111&gt;0),ROW(J2:J111)),IF((J2:J111&lt;&gt;INT(J2:J111))+(J2:J111&lt;=0),ROW(J2:J111))))</f>
        <v>6</v>
      </c>
      <c r="K114" s="34" cm="1">
        <f t="array" ref="K114">MAX(FREQUENCY(IF((K2:K111=INT(K2:K111))*(K2:K111&gt;0),ROW(K2:K111)),IF((K2:K111&lt;&gt;INT(K2:K111))+(K2:K111&lt;=0),ROW(K2:K111))))</f>
        <v>2</v>
      </c>
      <c r="L114" s="34" cm="1">
        <f t="array" ref="L114">MAX(FREQUENCY(IF((L2:L111=INT(L2:L111))*(L2:L111&gt;0),ROW(L2:L111)),IF((L2:L111&lt;&gt;INT(L2:L111))+(L2:L111&lt;=0),ROW(L2:L111))))</f>
        <v>2</v>
      </c>
      <c r="M114" s="34" cm="1">
        <f t="array" ref="M114">MAX(FREQUENCY(IF((M2:M111=INT(M2:M111))*(M2:M111&gt;0),ROW(M2:M111)),IF((M2:M111&lt;&gt;INT(M2:M111))+(M2:M111&lt;=0),ROW(M2:M111))))</f>
        <v>2</v>
      </c>
      <c r="N114" s="34" cm="1">
        <f t="array" ref="N114">MAX(FREQUENCY(IF((N2:N111=INT(N2:N111))*(N2:N111&gt;0),ROW(N2:N111)),IF((N2:N111&lt;&gt;INT(N2:N111))+(N2:N111&lt;=0),ROW(N2:N111))))</f>
        <v>4</v>
      </c>
      <c r="O114" s="34" cm="1">
        <f t="array" ref="O114">MAX(FREQUENCY(IF((O2:O111=INT(O2:O111))*(O2:O111&gt;0),ROW(O2:O111)),IF((O2:O111&lt;&gt;INT(O2:O111))+(O2:O111&lt;=0),ROW(O2:O111))))</f>
        <v>1</v>
      </c>
      <c r="P114" s="34" cm="1">
        <f t="array" ref="P114">MAX(FREQUENCY(IF((P2:P111=INT(P2:P111))*(P2:P111&gt;0),ROW(P2:P111)),IF((P2:P111&lt;&gt;INT(P2:P111))+(P2:P111&lt;=0),ROW(P2:P111))))</f>
        <v>4</v>
      </c>
      <c r="Q114" s="34" cm="1">
        <f t="array" ref="Q114">MAX(FREQUENCY(IF((Q2:Q111=INT(Q2:Q111))*(Q2:Q111&gt;0),ROW(Q2:Q111)),IF((Q2:Q111&lt;&gt;INT(Q2:Q111))+(Q2:Q111&lt;=0),ROW(Q2:Q111))))</f>
        <v>1</v>
      </c>
      <c r="R114" s="34" cm="1">
        <f t="array" ref="R114">MAX(FREQUENCY(IF((R2:R111=INT(R2:R111))*(R2:R111&gt;0),ROW(R2:R111)),IF((R2:R111&lt;&gt;INT(R2:R111))+(R2:R111&lt;=0),ROW(R2:R111))))</f>
        <v>2</v>
      </c>
      <c r="S114" s="34" cm="1">
        <f t="array" ref="S114">MAX(FREQUENCY(IF((S2:S111=INT(S2:S111))*(S2:S111&gt;0),ROW(S2:S111)),IF((S2:S111&lt;&gt;INT(S2:S111))+(S2:S111&lt;=0),ROW(S2:S111))))</f>
        <v>1</v>
      </c>
      <c r="T114" s="34" cm="1">
        <f t="array" ref="T114">MAX(FREQUENCY(IF((T2:T111=INT(T2:T111))*(T2:T111&gt;0),ROW(T2:T111)),IF((T2:T111&lt;&gt;INT(T2:T111))+(T2:T111&lt;=0),ROW(T2:T111))))</f>
        <v>2</v>
      </c>
      <c r="U114" s="34" cm="1">
        <f t="array" ref="U114">MAX(FREQUENCY(IF((U2:U111=INT(U2:U111))*(U2:U111&gt;0),ROW(U2:U111)),IF((U2:U111&lt;&gt;INT(U2:U111))+(U2:U111&lt;=0),ROW(U2:U111))))</f>
        <v>1</v>
      </c>
      <c r="V114" s="34" cm="1">
        <f t="array" ref="V114">MAX(FREQUENCY(IF((V2:V111=INT(V2:V111))*(V2:V111&gt;0),ROW(V2:V111)),IF((V2:V111&lt;&gt;INT(V2:V111))+(V2:V111&lt;=0),ROW(V2:V111))))</f>
        <v>1</v>
      </c>
      <c r="W114" s="34" cm="1">
        <f t="array" ref="W114">MAX(FREQUENCY(IF((W2:W111=INT(W2:W111))*(W2:W111&gt;0),ROW(W2:W111)),IF((W2:W111&lt;&gt;INT(W2:W111))+(W2:W111&lt;=0),ROW(W2:W111))))</f>
        <v>5</v>
      </c>
      <c r="X114" s="34" cm="1">
        <f t="array" ref="X114">MAX(FREQUENCY(IF((X2:X111=INT(X2:X111))*(X2:X111&gt;0),ROW(X2:X111)),IF((X2:X111&lt;&gt;INT(X2:X111))+(X2:X111&lt;=0),ROW(X2:X111))))</f>
        <v>1</v>
      </c>
      <c r="Y114" s="34" cm="1">
        <f t="array" ref="Y114">MAX(FREQUENCY(IF((Y2:Y111=INT(Y2:Y111))*(Y2:Y111&gt;0),ROW(Y2:Y111)),IF((Y2:Y111&lt;&gt;INT(Y2:Y111))+(Y2:Y111&lt;=0),ROW(Y2:Y111))))</f>
        <v>4</v>
      </c>
      <c r="Z114" s="34" cm="1">
        <f t="array" ref="Z114">MAX(FREQUENCY(IF((Z2:Z111=INT(Z2:Z111))*(Z2:Z111&gt;0),ROW(Z2:Z111)),IF((Z2:Z111&lt;&gt;INT(Z2:Z111))+(Z2:Z111&lt;=0),ROW(Z2:Z111))))</f>
        <v>1</v>
      </c>
      <c r="AA114" s="34" cm="1">
        <f t="array" ref="AA114">MAX(FREQUENCY(IF((AA2:AA111=INT(AA2:AA111))*(AA2:AA111&gt;0),ROW(AA2:AA111)),IF((AA2:AA111&lt;&gt;INT(AA2:AA111))+(AA2:AA111&lt;=0),ROW(AA2:AA111))))</f>
        <v>0</v>
      </c>
      <c r="AB114" s="34" cm="1">
        <f t="array" ref="AB114">MAX(FREQUENCY(IF((AB2:AB111=INT(AB2:AB111))*(AB2:AB111&gt;0),ROW(AB2:AB111)),IF((AB2:AB111&lt;&gt;INT(AB2:AB111))+(AB2:AB111&lt;=0),ROW(AB2:AB111))))</f>
        <v>1</v>
      </c>
      <c r="AC114" s="34" cm="1">
        <f t="array" ref="AC114">MAX(FREQUENCY(IF((AC2:AC111=INT(AC2:AC111))*(AC2:AC111&gt;0),ROW(AC2:AC111)),IF((AC2:AC111&lt;&gt;INT(AC2:AC111))+(AC2:AC111&lt;=0),ROW(AC2:AC111))))</f>
        <v>5</v>
      </c>
      <c r="AD114" s="34" cm="1">
        <f t="array" ref="AD114">MAX(FREQUENCY(IF((AD2:AD111=INT(AD2:AD111))*(AD2:AD111&gt;0),ROW(AD2:AD111)),IF((AD2:AD111&lt;&gt;INT(AD2:AD111))+(AD2:AD111&lt;=0),ROW(AD2:AD111))))</f>
        <v>5</v>
      </c>
      <c r="AE114" s="34" cm="1">
        <f t="array" ref="AE114">MAX(FREQUENCY(IF((AE2:AE111=INT(AE2:AE111))*(AE2:AE111&gt;0),ROW(AE2:AE111)),IF((AE2:AE111&lt;&gt;INT(AE2:AE111))+(AE2:AE111&lt;=0),ROW(AE2:AE111))))</f>
        <v>4</v>
      </c>
      <c r="AF114" s="34" cm="1">
        <f t="array" ref="AF114">MAX(FREQUENCY(IF((AF2:AF111=INT(AF2:AF111))*(AF2:AF111&gt;0),ROW(AF2:AF111)),IF((AF2:AF111&lt;&gt;INT(AF2:AF111))+(AF2:AF111&lt;=0),ROW(AF2:AF111))))</f>
        <v>3</v>
      </c>
      <c r="AG114" s="34" cm="1">
        <f t="array" ref="AG114">MAX(FREQUENCY(IF((AG2:AG111=INT(AG2:AG111))*(AG2:AG111&gt;0),ROW(AG2:AG111)),IF((AG2:AG111&lt;&gt;INT(AG2:AG111))+(AG2:AG111&lt;=0),ROW(AG2:AG111))))</f>
        <v>7</v>
      </c>
      <c r="AH114" s="34" cm="1">
        <f t="array" ref="AH114">MAX(FREQUENCY(IF((AH2:AH111=INT(AH2:AH111))*(AH2:AH111&gt;0),ROW(AH2:AH111)),IF((AH2:AH111&lt;&gt;INT(AH2:AH111))+(AH2:AH111&lt;=0),ROW(AH2:AH111))))</f>
        <v>2</v>
      </c>
      <c r="AI114" s="34" cm="1">
        <f t="array" ref="AI114">MAX(FREQUENCY(IF((AI2:AI111=INT(AI2:AI111))*(AI2:AI111&gt;0),ROW(AI2:AI111)),IF((AI2:AI111&lt;&gt;INT(AI2:AI111))+(AI2:AI111&lt;=0),ROW(AI2:AI111))))</f>
        <v>0</v>
      </c>
      <c r="AJ114" s="34" cm="1">
        <f t="array" ref="AJ114">MAX(FREQUENCY(IF((AJ2:AJ111=INT(AJ2:AJ111))*(AJ2:AJ111&gt;0),ROW(AJ2:AJ111)),IF((AJ2:AJ111&lt;&gt;INT(AJ2:AJ111))+(AJ2:AJ111&lt;=0),ROW(AJ2:AJ111))))</f>
        <v>0</v>
      </c>
      <c r="AK114" s="34" cm="1">
        <f t="array" ref="AK114">MAX(FREQUENCY(IF((AK2:AK111=INT(AK2:AK111))*(AK2:AK111&gt;0),ROW(AK2:AK111)),IF((AK2:AK111&lt;&gt;INT(AK2:AK111))+(AK2:AK111&lt;=0),ROW(AK2:AK111))))</f>
        <v>1</v>
      </c>
      <c r="AL114" s="34" cm="1">
        <f t="array" ref="AL114">MAX(FREQUENCY(IF((AL2:AL111=INT(AL2:AL111))*(AL2:AL111&gt;0),ROW(AL2:AL111)),IF((AL2:AL111&lt;&gt;INT(AL2:AL111))+(AL2:AL111&lt;=0),ROW(AL2:AL111))))</f>
        <v>3</v>
      </c>
      <c r="AM114" s="34" cm="1">
        <f t="array" ref="AM114">MAX(FREQUENCY(IF((AM2:AM111=INT(AM2:AM111))*(AM2:AM111&gt;0),ROW(AM2:AM111)),IF((AM2:AM111&lt;&gt;INT(AM2:AM111))+(AM2:AM111&lt;=0),ROW(AM2:AM111))))</f>
        <v>3</v>
      </c>
      <c r="AN114" s="34" cm="1">
        <f t="array" ref="AN114">MAX(FREQUENCY(IF((AN2:AN111=INT(AN2:AN111))*(AN2:AN111&gt;0),ROW(AN2:AN111)),IF((AN2:AN111&lt;&gt;INT(AN2:AN111))+(AN2:AN111&lt;=0),ROW(AN2:AN111))))</f>
        <v>0</v>
      </c>
      <c r="AO114" s="34" cm="1">
        <f t="array" ref="AO114">MAX(FREQUENCY(IF((AO2:AO111=INT(AO2:AO111))*(AO2:AO111&gt;0),ROW(AO2:AO111)),IF((AO2:AO111&lt;&gt;INT(AO2:AO111))+(AO2:AO111&lt;=0),ROW(AO2:AO111))))</f>
        <v>12</v>
      </c>
      <c r="AP114" s="34" cm="1">
        <f t="array" ref="AP114">MAX(FREQUENCY(IF((AP2:AP111=INT(AP2:AP111))*(AP2:AP111&gt;0),ROW(AP2:AP111)),IF((AP2:AP111&lt;&gt;INT(AP2:AP111))+(AP2:AP111&lt;=0),ROW(AP2:AP111))))</f>
        <v>6</v>
      </c>
      <c r="AQ114" s="34" cm="1">
        <f t="array" ref="AQ114">MAX(FREQUENCY(IF((AQ2:AQ111=INT(AQ2:AQ111))*(AQ2:AQ111&gt;0),ROW(AQ2:AQ111)),IF((AQ2:AQ111&lt;&gt;INT(AQ2:AQ111))+(AQ2:AQ111&lt;=0),ROW(AQ2:AQ111))))</f>
        <v>6</v>
      </c>
      <c r="AR114" s="34" cm="1">
        <f t="array" ref="AR114">MAX(FREQUENCY(IF((AR2:AR111=INT(AR2:AR111))*(AR2:AR111&gt;0),ROW(AR2:AR111)),IF((AR2:AR111&lt;&gt;INT(AR2:AR111))+(AR2:AR111&lt;=0),ROW(AR2:AR111))))</f>
        <v>1</v>
      </c>
      <c r="AS114" s="34" cm="1">
        <f t="array" ref="AS114">MAX(FREQUENCY(IF((AS2:AS111=INT(AS2:AS111))*(AS2:AS111&gt;0),ROW(AS2:AS111)),IF((AS2:AS111&lt;&gt;INT(AS2:AS111))+(AS2:AS111&lt;=0),ROW(AS2:AS111))))</f>
        <v>6</v>
      </c>
      <c r="AT114" s="34" cm="1">
        <f t="array" ref="AT114">MAX(FREQUENCY(IF((AT2:AT111=INT(AT2:AT111))*(AT2:AT111&gt;0),ROW(AT2:AT111)),IF((AT2:AT111&lt;&gt;INT(AT2:AT111))+(AT2:AT111&lt;=0),ROW(AT2:AT111))))</f>
        <v>0</v>
      </c>
      <c r="AU114" s="34" cm="1">
        <f t="array" ref="AU114">MAX(FREQUENCY(IF((AU2:AU111=INT(AU2:AU111))*(AU2:AU111&gt;0),ROW(AU2:AU111)),IF((AU2:AU111&lt;&gt;INT(AU2:AU111))+(AU2:AU111&lt;=0),ROW(AU2:AU111))))</f>
        <v>17</v>
      </c>
      <c r="AV114" s="34" cm="1">
        <f t="array" ref="AV114">MAX(FREQUENCY(IF((AV2:AV111=INT(AV2:AV111))*(AV2:AV111&gt;0),ROW(AV2:AV111)),IF((AV2:AV111&lt;&gt;INT(AV2:AV111))+(AV2:AV111&lt;=0),ROW(AV2:AV111))))</f>
        <v>0</v>
      </c>
      <c r="AW114" s="34" cm="1">
        <f t="array" ref="AW114">MAX(FREQUENCY(IF((AW2:AW111=INT(AW2:AW111))*(AW2:AW111&gt;0),ROW(AW2:AW111)),IF((AW2:AW111&lt;&gt;INT(AW2:AW111))+(AW2:AW111&lt;=0),ROW(AW2:AW111))))</f>
        <v>3</v>
      </c>
      <c r="AX114" s="34" cm="1">
        <f t="array" ref="AX114">MAX(FREQUENCY(IF((AX2:AX111=INT(AX2:AX111))*(AX2:AX111&gt;0),ROW(AX2:AX111)),IF((AX2:AX111&lt;&gt;INT(AX2:AX111))+(AX2:AX111&lt;=0),ROW(AX2:AX111))))</f>
        <v>4</v>
      </c>
      <c r="AY114" s="34" cm="1">
        <f t="array" ref="AY114">MAX(FREQUENCY(IF((AY2:AY111=INT(AY2:AY111))*(AY2:AY111&gt;0),ROW(AY2:AY111)),IF((AY2:AY111&lt;&gt;INT(AY2:AY111))+(AY2:AY111&lt;=0),ROW(AY2:AY111))))</f>
        <v>1</v>
      </c>
      <c r="AZ114" s="34" cm="1">
        <f t="array" ref="AZ114">MAX(FREQUENCY(IF((AZ2:AZ111=INT(AZ2:AZ111))*(AZ2:AZ111&gt;0),ROW(AZ2:AZ111)),IF((AZ2:AZ111&lt;&gt;INT(AZ2:AZ111))+(AZ2:AZ111&lt;=0),ROW(AZ2:AZ111))))</f>
        <v>1</v>
      </c>
      <c r="BA114" s="34" cm="1">
        <f t="array" ref="BA114">MAX(FREQUENCY(IF((BA2:BA111=INT(BA2:BA111))*(BA2:BA111&gt;0),ROW(BA2:BA111)),IF((BA2:BA111&lt;&gt;INT(BA2:BA111))+(BA2:BA111&lt;=0),ROW(BA2:BA111))))</f>
        <v>0</v>
      </c>
      <c r="BB114" s="34" cm="1">
        <f t="array" ref="BB114">MAX(FREQUENCY(IF((BB2:BB111=INT(BB2:BB111))*(BB2:BB111&gt;0),ROW(BB2:BB111)),IF((BB2:BB111&lt;&gt;INT(BB2:BB111))+(BB2:BB111&lt;=0),ROW(BB2:BB111))))</f>
        <v>1</v>
      </c>
      <c r="BC114" s="36"/>
      <c r="BD114" s="36"/>
      <c r="BF114" s="42"/>
      <c r="BG114" s="43"/>
      <c r="BH114" s="43"/>
      <c r="BI114" s="43"/>
      <c r="BJ114" s="43"/>
      <c r="BK114" s="43"/>
      <c r="BL114" s="43"/>
      <c r="BM114" s="43"/>
      <c r="BN114" s="43"/>
      <c r="BO114" s="44"/>
    </row>
  </sheetData>
  <mergeCells count="15">
    <mergeCell ref="A1:C1"/>
    <mergeCell ref="A112:C112"/>
    <mergeCell ref="A113:C113"/>
    <mergeCell ref="A114:C114"/>
    <mergeCell ref="A2:A19"/>
    <mergeCell ref="A20:A111"/>
    <mergeCell ref="B2:B19"/>
    <mergeCell ref="B20:B35"/>
    <mergeCell ref="B36:B38"/>
    <mergeCell ref="B39:B60"/>
    <mergeCell ref="B61:B78"/>
    <mergeCell ref="B79:B96"/>
    <mergeCell ref="B97:B111"/>
    <mergeCell ref="BC112:BD114"/>
    <mergeCell ref="BF113:BO114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2:BN112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3:BB113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4:BB114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1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1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1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1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BC112:BD114 A112:C114 AT96:BB96 AQ96:AR96 Z96:AO96 Q95:X96 F96:O96 A95:D96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2026-07-06T03:28:44Z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