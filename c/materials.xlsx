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<sst xmlns="http://schemas.openxmlformats.org/spreadsheetml/2006/main" count="1267" uniqueCount="729">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</sst>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trike/>
      <sz val="11"/>
      <name val="黑体"/>
      <charset val="134"/>
    </font>
  </fonts>
  <fills count="5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7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8" borderId="20" applyNumberFormat="0" applyAlignment="0" applyProtection="0">
      <alignment vertical="center"/>
    </xf>
    <xf numFmtId="0" fontId="41" fillId="29" borderId="21" applyNumberFormat="0" applyAlignment="0" applyProtection="0">
      <alignment vertical="center"/>
    </xf>
    <xf numFmtId="0" fontId="42" fillId="29" borderId="20" applyNumberFormat="0" applyAlignment="0" applyProtection="0">
      <alignment vertical="center"/>
    </xf>
    <xf numFmtId="0" fontId="43" fillId="30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49" fillId="57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6" borderId="4" xfId="0" applyFont="1" applyFill="1" applyBorder="1" applyAlignment="1" applyProtection="1">
      <alignment horizontal="center" vertical="center"/>
    </xf>
    <xf numFmtId="0" fontId="1" fillId="6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8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2" borderId="4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vertical="center" wrapText="1"/>
    </xf>
    <xf numFmtId="0" fontId="7" fillId="11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1" fillId="15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2" borderId="4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vertical="center" wrapText="1"/>
    </xf>
    <xf numFmtId="0" fontId="8" fillId="16" borderId="4" xfId="0" applyFont="1" applyFill="1" applyBorder="1" applyAlignment="1">
      <alignment horizontal="center" vertical="center" wrapText="1"/>
    </xf>
    <xf numFmtId="0" fontId="9" fillId="17" borderId="4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1" fillId="10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8" fillId="12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1" fillId="10" borderId="7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9" fillId="17" borderId="5" xfId="0" applyFont="1" applyFill="1" applyBorder="1" applyAlignment="1">
      <alignment horizontal="center" vertical="center" wrapText="1"/>
    </xf>
    <xf numFmtId="0" fontId="10" fillId="18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vertical="center" wrapText="1"/>
    </xf>
    <xf numFmtId="0" fontId="8" fillId="12" borderId="7" xfId="0" applyFont="1" applyFill="1" applyBorder="1" applyAlignment="1">
      <alignment horizontal="center" vertical="center" wrapText="1"/>
    </xf>
    <xf numFmtId="0" fontId="9" fillId="17" borderId="7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17" borderId="3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18" borderId="9" xfId="0" applyFont="1" applyFill="1" applyBorder="1" applyAlignment="1">
      <alignment horizontal="center" vertical="center" wrapText="1"/>
    </xf>
    <xf numFmtId="0" fontId="10" fillId="18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2" borderId="4" xfId="0" applyFont="1" applyFill="1" applyBorder="1">
      <alignment vertical="center"/>
    </xf>
    <xf numFmtId="0" fontId="0" fillId="7" borderId="4" xfId="0" applyFont="1" applyFill="1" applyBorder="1">
      <alignment vertical="center"/>
    </xf>
    <xf numFmtId="0" fontId="5" fillId="11" borderId="4" xfId="0" applyFont="1" applyFill="1" applyBorder="1">
      <alignment vertical="center"/>
    </xf>
    <xf numFmtId="0" fontId="5" fillId="20" borderId="4" xfId="0" applyFont="1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5" fillId="19" borderId="4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1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1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3" borderId="3" xfId="0" applyFont="1" applyFill="1" applyBorder="1" applyAlignment="1">
      <alignment horizontal="center" vertical="center"/>
    </xf>
    <xf numFmtId="0" fontId="13" fillId="14" borderId="14" xfId="0" applyFont="1" applyFill="1" applyBorder="1" applyAlignment="1">
      <alignment horizontal="center" vertical="center"/>
    </xf>
    <xf numFmtId="0" fontId="14" fillId="20" borderId="15" xfId="0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horizontal="center" vertical="center"/>
    </xf>
    <xf numFmtId="0" fontId="15" fillId="13" borderId="16" xfId="0" applyFont="1" applyFill="1" applyBorder="1" applyAlignment="1">
      <alignment horizontal="center" vertical="center"/>
    </xf>
    <xf numFmtId="0" fontId="15" fillId="13" borderId="13" xfId="0" applyFont="1" applyFill="1" applyBorder="1" applyAlignment="1">
      <alignment horizontal="center" vertical="center"/>
    </xf>
    <xf numFmtId="0" fontId="15" fillId="10" borderId="11" xfId="0" applyFont="1" applyFill="1" applyBorder="1" applyAlignment="1">
      <alignment horizontal="center" vertical="center"/>
    </xf>
    <xf numFmtId="0" fontId="15" fillId="10" borderId="16" xfId="0" applyFont="1" applyFill="1" applyBorder="1" applyAlignment="1">
      <alignment horizontal="center" vertical="center"/>
    </xf>
    <xf numFmtId="0" fontId="15" fillId="10" borderId="1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9" borderId="1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1" borderId="4" xfId="0" applyFont="1" applyFill="1" applyBorder="1">
      <alignment vertical="center"/>
    </xf>
    <xf numFmtId="0" fontId="16" fillId="21" borderId="4" xfId="0" applyFont="1" applyFill="1" applyBorder="1" applyAlignment="1">
      <alignment horizontal="center" vertical="center" wrapText="1"/>
    </xf>
    <xf numFmtId="0" fontId="17" fillId="22" borderId="4" xfId="0" applyFont="1" applyFill="1" applyBorder="1" applyAlignment="1">
      <alignment horizontal="center" vertical="center" wrapText="1"/>
    </xf>
    <xf numFmtId="0" fontId="18" fillId="23" borderId="4" xfId="0" applyFont="1" applyFill="1" applyBorder="1" applyAlignment="1">
      <alignment horizontal="center" vertical="center" wrapText="1"/>
    </xf>
    <xf numFmtId="0" fontId="19" fillId="24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2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1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3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4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5" borderId="0" xfId="0" applyFont="1" applyFill="1" applyAlignment="1">
      <alignment horizontal="center" vertical="center"/>
    </xf>
    <xf numFmtId="0" fontId="26" fillId="25" borderId="0" xfId="0" applyFont="1" applyFill="1" applyAlignment="1">
      <alignment horizontal="center" vertical="center"/>
    </xf>
    <xf numFmtId="0" fontId="23" fillId="25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17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20" borderId="0" xfId="0" applyFont="1" applyFill="1" applyAlignment="1">
      <alignment horizontal="center" vertical="center"/>
    </xf>
    <xf numFmtId="0" fontId="23" fillId="12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3" fillId="13" borderId="0" xfId="0" applyFont="1" applyFill="1" applyAlignment="1">
      <alignment horizontal="center" vertical="center"/>
    </xf>
    <xf numFmtId="0" fontId="23" fillId="7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6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20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left" vertical="center" wrapText="1"/>
    </xf>
    <xf numFmtId="0" fontId="29" fillId="7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6" borderId="4" xfId="0" applyFont="1" applyFill="1" applyBorder="1" applyAlignment="1">
      <alignment horizontal="center" vertical="center" wrapText="1"/>
    </xf>
    <xf numFmtId="0" fontId="30" fillId="14" borderId="4" xfId="0" applyFont="1" applyFill="1" applyBorder="1" applyAlignment="1">
      <alignment horizontal="center" vertical="center" wrapText="1"/>
    </xf>
    <xf numFmtId="0" fontId="29" fillId="7" borderId="4" xfId="0" applyFont="1" applyFill="1" applyBorder="1" applyAlignment="1">
      <alignment horizontal="center" vertical="center" wrapText="1"/>
    </xf>
    <xf numFmtId="0" fontId="30" fillId="12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1" borderId="4" xfId="0" applyFont="1" applyFill="1" applyBorder="1" applyAlignment="1">
      <alignment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F6" sqref="F6"/>
    </sheetView>
  </sheetViews>
  <sheetFormatPr defaultColWidth="8.72727272727273" defaultRowHeight="14"/>
  <cols>
    <col min="1" max="1" width="7.59090909090909" style="234" customWidth="1"/>
    <col min="2" max="7" width="25.8727272727273" style="235" customWidth="1"/>
    <col min="8" max="10" width="16.6818181818182" style="236" customWidth="1"/>
    <col min="11" max="16384" width="8.72727272727273" style="237"/>
  </cols>
  <sheetData>
    <row r="1" s="233" customFormat="1" spans="1:10">
      <c r="A1" s="238" t="s">
        <v>0</v>
      </c>
      <c r="B1" s="239" t="s">
        <v>1</v>
      </c>
      <c r="C1" s="239" t="s">
        <v>2</v>
      </c>
      <c r="D1" s="239" t="s">
        <v>3</v>
      </c>
      <c r="E1" s="239" t="s">
        <v>4</v>
      </c>
      <c r="F1" s="239" t="s">
        <v>5</v>
      </c>
      <c r="G1" s="239" t="s">
        <v>6</v>
      </c>
      <c r="H1" s="240"/>
      <c r="I1" s="240"/>
      <c r="J1" s="240"/>
    </row>
    <row r="2" spans="1:10">
      <c r="A2" s="241" t="s">
        <v>7</v>
      </c>
      <c r="B2" s="235" t="s">
        <v>8</v>
      </c>
      <c r="C2" s="235" t="s">
        <v>9</v>
      </c>
    </row>
    <row r="3" ht="52" spans="1:10">
      <c r="A3" s="241" t="s">
        <v>10</v>
      </c>
      <c r="C3" s="235" t="s">
        <v>11</v>
      </c>
      <c r="D3" s="235" t="s">
        <v>12</v>
      </c>
    </row>
    <row r="4" ht="26" spans="1:10">
      <c r="A4" s="241" t="s">
        <v>13</v>
      </c>
      <c r="D4" s="235" t="s">
        <v>14</v>
      </c>
    </row>
    <row r="5" ht="70" spans="1:10">
      <c r="A5" s="241" t="s">
        <v>15</v>
      </c>
      <c r="C5" s="235" t="s">
        <v>16</v>
      </c>
      <c r="D5" s="235" t="s">
        <v>17</v>
      </c>
      <c r="H5" s="236" t="s">
        <v>18</v>
      </c>
    </row>
    <row r="6" spans="1:10">
      <c r="A6" s="241" t="s">
        <v>19</v>
      </c>
      <c r="C6" s="235" t="s">
        <v>20</v>
      </c>
    </row>
    <row r="7" ht="221" spans="1:10">
      <c r="A7" s="241" t="s">
        <v>21</v>
      </c>
      <c r="B7" s="235" t="s">
        <v>22</v>
      </c>
      <c r="C7" s="235" t="s">
        <v>23</v>
      </c>
      <c r="D7" s="235" t="s">
        <v>24</v>
      </c>
    </row>
    <row r="8" ht="26" spans="1:10">
      <c r="A8" s="241" t="s">
        <v>25</v>
      </c>
      <c r="D8" s="235" t="s">
        <v>26</v>
      </c>
    </row>
    <row r="9" spans="1:10">
      <c r="A9" s="241" t="s">
        <v>27</v>
      </c>
    </row>
    <row r="10" spans="1:10">
      <c r="A10" s="241" t="s">
        <v>28</v>
      </c>
      <c r="B10" s="235" t="s">
        <v>29</v>
      </c>
    </row>
    <row r="11" spans="1:10">
      <c r="A11" s="241" t="s">
        <v>30</v>
      </c>
    </row>
    <row r="12" spans="1:10">
      <c r="A12" s="241" t="s">
        <v>31</v>
      </c>
      <c r="E12" s="235" t="s">
        <v>32</v>
      </c>
    </row>
    <row r="13" ht="39" spans="1:10">
      <c r="A13" s="241" t="s">
        <v>33</v>
      </c>
      <c r="D13" s="235" t="s">
        <v>34</v>
      </c>
      <c r="F13" s="235" t="s">
        <v>35</v>
      </c>
    </row>
    <row r="14" spans="1:10">
      <c r="A14" s="241" t="s">
        <v>36</v>
      </c>
      <c r="B14" s="235" t="s">
        <v>37</v>
      </c>
    </row>
    <row r="15" spans="1:10">
      <c r="A15" s="241" t="s">
        <v>38</v>
      </c>
    </row>
    <row r="16" ht="56" spans="1:10">
      <c r="A16" s="241" t="s">
        <v>39</v>
      </c>
      <c r="B16" s="235" t="s">
        <v>40</v>
      </c>
      <c r="C16" s="235" t="s">
        <v>41</v>
      </c>
      <c r="H16" s="236" t="s">
        <v>42</v>
      </c>
    </row>
    <row r="17" ht="26" spans="1:8">
      <c r="A17" s="241" t="s">
        <v>43</v>
      </c>
      <c r="C17" s="235" t="s">
        <v>44</v>
      </c>
    </row>
    <row r="18" spans="1:8">
      <c r="A18" s="241" t="s">
        <v>45</v>
      </c>
      <c r="D18" s="235" t="s">
        <v>46</v>
      </c>
    </row>
    <row r="19" ht="42" spans="1:8">
      <c r="A19" s="241" t="s">
        <v>47</v>
      </c>
      <c r="D19" s="235" t="s">
        <v>48</v>
      </c>
      <c r="E19" s="235" t="s">
        <v>32</v>
      </c>
      <c r="H19" s="236" t="s">
        <v>49</v>
      </c>
    </row>
    <row r="20" ht="26" spans="1:8">
      <c r="A20" s="241" t="s">
        <v>50</v>
      </c>
      <c r="B20" s="235" t="s">
        <v>51</v>
      </c>
      <c r="C20" s="235" t="s">
        <v>52</v>
      </c>
    </row>
    <row r="21" ht="52" spans="1:8">
      <c r="A21" s="241" t="s">
        <v>53</v>
      </c>
      <c r="B21" s="235" t="s">
        <v>54</v>
      </c>
      <c r="C21" s="235" t="s">
        <v>55</v>
      </c>
      <c r="D21" s="235" t="s">
        <v>56</v>
      </c>
      <c r="E21" s="235" t="s">
        <v>57</v>
      </c>
    </row>
    <row r="22" spans="1:8">
      <c r="A22" s="241" t="s">
        <v>58</v>
      </c>
    </row>
    <row r="23" ht="42" spans="1:8">
      <c r="A23" s="241" t="s">
        <v>59</v>
      </c>
      <c r="B23" s="235" t="s">
        <v>60</v>
      </c>
      <c r="E23" s="235" t="s">
        <v>61</v>
      </c>
      <c r="H23" s="236" t="s">
        <v>62</v>
      </c>
    </row>
    <row r="24" ht="52" spans="1:8">
      <c r="A24" s="241" t="s">
        <v>63</v>
      </c>
      <c r="B24" s="235" t="s">
        <v>64</v>
      </c>
      <c r="C24" s="235" t="s">
        <v>65</v>
      </c>
      <c r="D24" s="235" t="s">
        <v>66</v>
      </c>
      <c r="E24" s="235" t="s">
        <v>67</v>
      </c>
    </row>
    <row r="25" spans="1:8">
      <c r="A25" s="241" t="s">
        <v>68</v>
      </c>
    </row>
    <row r="26" spans="1:8">
      <c r="A26" s="241" t="s">
        <v>69</v>
      </c>
    </row>
    <row r="27" spans="1:8">
      <c r="A27" s="241" t="s">
        <v>70</v>
      </c>
      <c r="B27" s="235" t="s">
        <v>71</v>
      </c>
      <c r="C27" s="235" t="s">
        <v>72</v>
      </c>
    </row>
    <row r="28" ht="91" spans="1:8">
      <c r="A28" s="241" t="s">
        <v>73</v>
      </c>
      <c r="B28" s="235" t="s">
        <v>74</v>
      </c>
      <c r="C28" s="235" t="s">
        <v>75</v>
      </c>
      <c r="D28" s="235" t="s">
        <v>76</v>
      </c>
      <c r="E28" s="235" t="s">
        <v>77</v>
      </c>
    </row>
    <row r="29" spans="1:8">
      <c r="A29" s="241" t="s">
        <v>78</v>
      </c>
      <c r="E29" s="235" t="s">
        <v>79</v>
      </c>
      <c r="H29" s="236" t="s">
        <v>80</v>
      </c>
    </row>
    <row r="30" spans="1:8">
      <c r="A30" s="241" t="s">
        <v>81</v>
      </c>
      <c r="B30" s="235" t="s">
        <v>82</v>
      </c>
      <c r="C30" s="235" t="s">
        <v>83</v>
      </c>
    </row>
    <row r="31" spans="1:8">
      <c r="A31" s="241" t="s">
        <v>84</v>
      </c>
    </row>
    <row r="32" spans="1:8">
      <c r="A32" s="241" t="s">
        <v>85</v>
      </c>
    </row>
    <row r="33" spans="1:10">
      <c r="A33" s="241" t="s">
        <v>86</v>
      </c>
    </row>
    <row r="34" spans="1:10">
      <c r="A34" s="241" t="s">
        <v>87</v>
      </c>
    </row>
    <row r="35" spans="1:10">
      <c r="A35" s="241" t="s">
        <v>88</v>
      </c>
    </row>
    <row r="36" spans="1:10">
      <c r="A36" s="241" t="s">
        <v>89</v>
      </c>
      <c r="B36" s="235" t="s">
        <v>90</v>
      </c>
    </row>
    <row r="37" ht="26" spans="1:10">
      <c r="A37" s="241" t="s">
        <v>91</v>
      </c>
      <c r="C37" s="235" t="s">
        <v>92</v>
      </c>
      <c r="D37" s="235" t="s">
        <v>93</v>
      </c>
    </row>
    <row r="38" spans="1:10">
      <c r="A38" s="241" t="s">
        <v>94</v>
      </c>
      <c r="B38" s="235" t="s">
        <v>95</v>
      </c>
      <c r="C38" s="242"/>
      <c r="D38" s="242"/>
      <c r="E38" s="242"/>
      <c r="F38" s="242"/>
      <c r="G38" s="242"/>
    </row>
    <row r="39" ht="26" spans="1:10">
      <c r="A39" s="241" t="s">
        <v>96</v>
      </c>
      <c r="C39" s="235" t="s">
        <v>97</v>
      </c>
      <c r="D39" s="235" t="s">
        <v>98</v>
      </c>
      <c r="E39" s="235" t="s">
        <v>99</v>
      </c>
    </row>
    <row r="40" ht="252" spans="1:10">
      <c r="A40" s="241" t="s">
        <v>100</v>
      </c>
      <c r="B40" s="235" t="s">
        <v>101</v>
      </c>
      <c r="C40" s="235" t="s">
        <v>102</v>
      </c>
      <c r="D40" s="235" t="s">
        <v>103</v>
      </c>
      <c r="F40" s="235" t="s">
        <v>104</v>
      </c>
      <c r="H40" s="236" t="s">
        <v>105</v>
      </c>
    </row>
    <row r="41" ht="208" spans="1:10">
      <c r="A41" s="241" t="s">
        <v>106</v>
      </c>
      <c r="C41" s="235" t="s">
        <v>107</v>
      </c>
      <c r="D41" s="235" t="s">
        <v>108</v>
      </c>
      <c r="E41" s="235" t="s">
        <v>109</v>
      </c>
      <c r="H41" s="236" t="s">
        <v>110</v>
      </c>
      <c r="I41" s="236" t="s">
        <v>111</v>
      </c>
      <c r="J41" s="236" t="s">
        <v>112</v>
      </c>
    </row>
    <row r="42" spans="1:10">
      <c r="A42" s="241" t="s">
        <v>113</v>
      </c>
    </row>
    <row r="43" ht="28" spans="1:10">
      <c r="A43" s="241" t="s">
        <v>114</v>
      </c>
      <c r="B43" s="235" t="s">
        <v>115</v>
      </c>
      <c r="H43" s="236" t="s">
        <v>116</v>
      </c>
    </row>
    <row r="44" ht="26" spans="1:10">
      <c r="A44" s="241" t="s">
        <v>117</v>
      </c>
      <c r="B44" s="235" t="s">
        <v>118</v>
      </c>
    </row>
    <row r="45" ht="26" spans="1:10">
      <c r="A45" s="241" t="s">
        <v>119</v>
      </c>
      <c r="C45" s="235" t="s">
        <v>120</v>
      </c>
      <c r="D45" s="235" t="s">
        <v>121</v>
      </c>
      <c r="E45" s="235" t="s">
        <v>122</v>
      </c>
    </row>
    <row r="46" spans="1:10">
      <c r="A46" s="241" t="s">
        <v>123</v>
      </c>
    </row>
    <row r="47" spans="1:10">
      <c r="A47" s="241" t="s">
        <v>124</v>
      </c>
      <c r="D47" s="235" t="s">
        <v>125</v>
      </c>
    </row>
    <row r="48" ht="42" spans="1:10">
      <c r="A48" s="241" t="s">
        <v>126</v>
      </c>
      <c r="C48" s="235" t="s">
        <v>127</v>
      </c>
      <c r="D48" s="235" t="s">
        <v>128</v>
      </c>
      <c r="H48" s="236" t="s">
        <v>129</v>
      </c>
    </row>
    <row r="49" spans="1:8">
      <c r="A49" s="241" t="s">
        <v>130</v>
      </c>
      <c r="E49" s="235" t="s">
        <v>131</v>
      </c>
    </row>
    <row r="50" ht="78" spans="1:8">
      <c r="A50" s="241" t="s">
        <v>132</v>
      </c>
      <c r="C50" s="235" t="s">
        <v>133</v>
      </c>
    </row>
    <row r="51" spans="1:8">
      <c r="A51" s="241" t="s">
        <v>134</v>
      </c>
    </row>
    <row r="52" ht="26" spans="1:8">
      <c r="A52" s="241" t="s">
        <v>135</v>
      </c>
      <c r="B52" s="235" t="s">
        <v>136</v>
      </c>
      <c r="C52" s="235" t="s">
        <v>137</v>
      </c>
      <c r="E52" s="235" t="s">
        <v>138</v>
      </c>
    </row>
    <row r="53" ht="26" spans="1:8">
      <c r="A53" s="234" t="s">
        <v>139</v>
      </c>
      <c r="B53" s="235" t="s">
        <v>140</v>
      </c>
      <c r="D53" s="242"/>
      <c r="E53" s="242"/>
      <c r="F53" s="242"/>
      <c r="G53" s="242"/>
    </row>
    <row r="54" spans="1:8">
      <c r="A54" s="234" t="s">
        <v>141</v>
      </c>
      <c r="B54" s="235" t="s">
        <v>142</v>
      </c>
      <c r="C54" s="235" t="s">
        <v>143</v>
      </c>
      <c r="D54" s="242"/>
      <c r="E54" s="242"/>
      <c r="F54" s="242"/>
      <c r="G54" s="242"/>
    </row>
    <row r="55" ht="65" spans="1:8">
      <c r="A55" s="234" t="s">
        <v>144</v>
      </c>
      <c r="B55" s="242"/>
      <c r="C55" s="242"/>
      <c r="D55" s="235" t="s">
        <v>145</v>
      </c>
      <c r="E55" s="235" t="s">
        <v>146</v>
      </c>
    </row>
    <row r="56" ht="65" spans="1:8">
      <c r="A56" s="234" t="s">
        <v>147</v>
      </c>
      <c r="B56" s="243" t="s">
        <v>148</v>
      </c>
      <c r="C56" s="243"/>
      <c r="D56" s="235" t="s">
        <v>149</v>
      </c>
      <c r="H56" s="236" t="s">
        <v>150</v>
      </c>
    </row>
    <row r="57" ht="117" spans="1:8">
      <c r="A57" s="234" t="s">
        <v>151</v>
      </c>
      <c r="B57" s="243" t="s">
        <v>152</v>
      </c>
      <c r="C57" s="243" t="s">
        <v>153</v>
      </c>
      <c r="D57" s="235" t="s">
        <v>154</v>
      </c>
    </row>
    <row r="58" spans="1:8">
      <c r="A58" s="234" t="s">
        <v>155</v>
      </c>
      <c r="B58" s="235" t="s">
        <v>156</v>
      </c>
      <c r="C58" s="242"/>
      <c r="D58" s="242"/>
      <c r="E58" s="242"/>
      <c r="F58" s="242"/>
      <c r="G58" s="242"/>
    </row>
    <row r="59" spans="1:8">
      <c r="A59" s="234" t="s">
        <v>157</v>
      </c>
      <c r="B59" s="242"/>
      <c r="C59" s="235" t="s">
        <v>158</v>
      </c>
      <c r="D59" s="242"/>
      <c r="E59" s="242"/>
      <c r="F59" s="242"/>
      <c r="G59" s="242"/>
    </row>
    <row r="60" ht="52" spans="1:8">
      <c r="A60" s="234" t="s">
        <v>159</v>
      </c>
      <c r="B60" s="242" t="s">
        <v>160</v>
      </c>
      <c r="C60" s="242"/>
      <c r="D60" s="235" t="s">
        <v>161</v>
      </c>
    </row>
    <row r="61" spans="1:8">
      <c r="A61" s="234" t="s">
        <v>162</v>
      </c>
      <c r="B61" s="243" t="s">
        <v>163</v>
      </c>
      <c r="C61" s="243"/>
      <c r="D61" s="242"/>
      <c r="E61" s="242"/>
      <c r="F61" s="242"/>
      <c r="G61" s="242"/>
    </row>
    <row r="62" ht="52" spans="1:8">
      <c r="A62" s="234" t="s">
        <v>164</v>
      </c>
      <c r="B62" s="242"/>
      <c r="C62" s="242"/>
      <c r="D62" s="235" t="s">
        <v>165</v>
      </c>
      <c r="E62" s="235" t="s">
        <v>166</v>
      </c>
    </row>
    <row r="63" ht="26" spans="1:8">
      <c r="A63" s="234" t="s">
        <v>167</v>
      </c>
      <c r="B63" s="243" t="s">
        <v>168</v>
      </c>
      <c r="C63" s="243" t="s">
        <v>169</v>
      </c>
      <c r="D63" s="242"/>
      <c r="E63" s="242"/>
      <c r="F63" s="242"/>
      <c r="G63" s="242"/>
    </row>
    <row r="64" ht="26" spans="1:8">
      <c r="A64" s="234" t="s">
        <v>170</v>
      </c>
      <c r="B64" s="242"/>
      <c r="C64" s="242"/>
      <c r="D64" s="235" t="s">
        <v>171</v>
      </c>
      <c r="E64" s="235" t="s">
        <v>172</v>
      </c>
    </row>
    <row r="65" ht="26" spans="1:7">
      <c r="A65" s="234" t="s">
        <v>173</v>
      </c>
      <c r="B65" s="244" t="s">
        <v>174</v>
      </c>
      <c r="C65" s="242"/>
      <c r="D65" s="242"/>
      <c r="E65" s="242"/>
      <c r="F65" s="242"/>
      <c r="G65" s="242"/>
    </row>
    <row r="66" spans="1:7">
      <c r="A66" s="234" t="s">
        <v>175</v>
      </c>
      <c r="B66" s="242"/>
      <c r="C66" s="235" t="s">
        <v>176</v>
      </c>
      <c r="D66" s="242"/>
      <c r="E66" s="242"/>
      <c r="F66" s="242"/>
      <c r="G66" s="242"/>
    </row>
    <row r="67" spans="1:7">
      <c r="A67" s="234" t="s">
        <v>177</v>
      </c>
      <c r="B67" s="242"/>
      <c r="C67" s="242"/>
    </row>
    <row r="68" ht="78" spans="1:7">
      <c r="A68" s="234" t="s">
        <v>178</v>
      </c>
      <c r="B68" s="242"/>
      <c r="C68" s="242"/>
      <c r="D68" s="235" t="s">
        <v>179</v>
      </c>
    </row>
    <row r="69" spans="1:7">
      <c r="A69" s="234" t="s">
        <v>180</v>
      </c>
      <c r="B69" s="243" t="s">
        <v>181</v>
      </c>
      <c r="C69" s="243"/>
    </row>
    <row r="70" ht="26" spans="1:7">
      <c r="A70" s="234" t="s">
        <v>182</v>
      </c>
      <c r="B70" s="243" t="s">
        <v>183</v>
      </c>
      <c r="C70" s="243"/>
      <c r="D70" s="242"/>
      <c r="E70" s="242"/>
      <c r="F70" s="242"/>
      <c r="G70" s="242"/>
    </row>
    <row r="71" spans="1:7">
      <c r="A71" s="234" t="s">
        <v>184</v>
      </c>
      <c r="B71" s="242"/>
      <c r="C71" s="242"/>
    </row>
    <row r="72" spans="1:7">
      <c r="A72" s="234" t="s">
        <v>185</v>
      </c>
      <c r="B72" s="235" t="s">
        <v>186</v>
      </c>
      <c r="C72" s="235" t="s">
        <v>187</v>
      </c>
      <c r="D72" s="242"/>
      <c r="E72" s="242"/>
      <c r="F72" s="242"/>
      <c r="G72" s="242"/>
    </row>
    <row r="73" spans="1:7">
      <c r="A73" s="234" t="s">
        <v>188</v>
      </c>
      <c r="B73" s="242"/>
      <c r="C73" s="235" t="s">
        <v>189</v>
      </c>
      <c r="D73" s="242"/>
      <c r="E73" s="242"/>
      <c r="F73" s="242"/>
      <c r="G73" s="242"/>
    </row>
    <row r="74" spans="1:7">
      <c r="A74" s="234" t="s">
        <v>190</v>
      </c>
    </row>
    <row r="75" spans="1:7">
      <c r="A75" s="234" t="s">
        <v>191</v>
      </c>
      <c r="D75" s="242"/>
      <c r="E75" s="242"/>
      <c r="F75" s="242"/>
      <c r="G75" s="242"/>
    </row>
    <row r="76" spans="1:7">
      <c r="A76" s="234" t="s">
        <v>192</v>
      </c>
      <c r="B76" s="242"/>
      <c r="C76" s="242"/>
      <c r="D76" s="235" t="s">
        <v>193</v>
      </c>
    </row>
    <row r="77" spans="1:7">
      <c r="A77" s="234" t="s">
        <v>194</v>
      </c>
      <c r="B77" s="243"/>
      <c r="C77" s="243"/>
    </row>
    <row r="78" ht="26" spans="1:7">
      <c r="A78" s="245" t="s">
        <v>195</v>
      </c>
      <c r="B78" s="235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8" customWidth="1"/>
    <col min="2" max="2" width="32.6181818181818" style="112" customWidth="1"/>
    <col min="3" max="7" width="16.4909090909091" style="112" customWidth="1"/>
    <col min="8" max="16384" width="8.72727272727273" style="229"/>
  </cols>
  <sheetData>
    <row r="1" spans="1:7">
      <c r="A1" s="230"/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6" t="s">
        <v>6</v>
      </c>
    </row>
    <row r="2" s="227" customFormat="1" ht="39" spans="1:7">
      <c r="A2" s="231" t="s">
        <v>197</v>
      </c>
      <c r="B2" s="124"/>
      <c r="C2" s="124"/>
      <c r="D2" s="124" t="s">
        <v>198</v>
      </c>
      <c r="E2" s="124"/>
      <c r="F2" s="124"/>
      <c r="G2" s="124"/>
    </row>
    <row r="3" spans="1:7">
      <c r="A3" s="232" t="s">
        <v>199</v>
      </c>
      <c r="C3" s="112" t="s">
        <v>200</v>
      </c>
    </row>
    <row r="4" spans="1:7">
      <c r="A4" s="232" t="s">
        <v>201</v>
      </c>
      <c r="B4" s="112" t="s">
        <v>202</v>
      </c>
      <c r="D4" s="112" t="s">
        <v>203</v>
      </c>
    </row>
    <row r="5" spans="1:7">
      <c r="A5" s="232" t="s">
        <v>204</v>
      </c>
      <c r="C5" s="112" t="s">
        <v>205</v>
      </c>
      <c r="D5" s="112" t="s">
        <v>206</v>
      </c>
    </row>
    <row r="6" spans="1:7">
      <c r="A6" s="232" t="s">
        <v>207</v>
      </c>
      <c r="B6" s="112" t="s">
        <v>208</v>
      </c>
      <c r="D6" s="112" t="s">
        <v>209</v>
      </c>
    </row>
    <row r="7" spans="1:7">
      <c r="A7" s="232" t="s">
        <v>210</v>
      </c>
      <c r="B7" s="112" t="s">
        <v>211</v>
      </c>
    </row>
    <row r="8" spans="1:7">
      <c r="A8" s="232"/>
      <c r="D8" s="112" t="s">
        <v>212</v>
      </c>
    </row>
    <row r="9" spans="1:7">
      <c r="A9" s="232"/>
    </row>
    <row r="10" spans="1:7">
      <c r="A10" s="232"/>
      <c r="B10" s="112" t="s">
        <v>213</v>
      </c>
    </row>
    <row r="11" spans="1:7">
      <c r="A11" s="232"/>
    </row>
    <row r="12" spans="1:7">
      <c r="A12" s="232"/>
      <c r="B12" s="112" t="s">
        <v>214</v>
      </c>
    </row>
    <row r="13" spans="1:7">
      <c r="A13" s="232"/>
      <c r="B13" s="112" t="s">
        <v>215</v>
      </c>
    </row>
    <row r="14" spans="1:7">
      <c r="A14" s="232"/>
      <c r="B14" s="112" t="s">
        <v>216</v>
      </c>
    </row>
    <row r="15" spans="1:7">
      <c r="A15" s="232"/>
      <c r="B15" s="112" t="s">
        <v>217</v>
      </c>
    </row>
    <row r="16" spans="1:7">
      <c r="A16" s="232"/>
      <c r="B16" s="112" t="s">
        <v>218</v>
      </c>
    </row>
    <row r="17" spans="1:2">
      <c r="A17" s="232"/>
      <c r="B17" s="112" t="s">
        <v>219</v>
      </c>
    </row>
    <row r="18" spans="1:2">
      <c r="A18" s="232"/>
      <c r="B18" s="112" t="s">
        <v>220</v>
      </c>
    </row>
    <row r="19" ht="26" spans="1:2">
      <c r="A19" s="232"/>
      <c r="B19" s="124" t="s">
        <v>221</v>
      </c>
    </row>
    <row r="20" spans="1:2">
      <c r="A20" s="232"/>
      <c r="B20" s="112" t="s">
        <v>222</v>
      </c>
    </row>
    <row r="21" spans="1:2">
      <c r="A21" s="232"/>
      <c r="B21" s="112" t="s">
        <v>223</v>
      </c>
    </row>
    <row r="22" spans="1:2">
      <c r="A22" s="232"/>
      <c r="B22" s="112" t="s">
        <v>224</v>
      </c>
    </row>
    <row r="23" spans="1:2">
      <c r="A23" s="232"/>
      <c r="B23" s="112" t="s">
        <v>225</v>
      </c>
    </row>
    <row r="24" spans="1:2">
      <c r="A24" s="232"/>
      <c r="B24" s="112" t="s">
        <v>226</v>
      </c>
    </row>
    <row r="25" spans="1:2">
      <c r="A25" s="232"/>
    </row>
    <row r="26" spans="1:2">
      <c r="A26" s="232"/>
    </row>
    <row r="27" spans="1:2">
      <c r="A27" s="232"/>
    </row>
    <row r="28" spans="1:2">
      <c r="A28" s="232"/>
    </row>
    <row r="29" spans="1:2">
      <c r="A29" s="232"/>
    </row>
    <row r="30" spans="1:2">
      <c r="A30" s="232"/>
    </row>
    <row r="31" spans="1:2">
      <c r="A31" s="232"/>
    </row>
    <row r="32" spans="1:2">
      <c r="A32" s="232"/>
    </row>
    <row r="33" spans="1:7">
      <c r="A33" s="232"/>
    </row>
    <row r="34" spans="1:7">
      <c r="A34" s="232"/>
    </row>
    <row r="35" spans="1:7">
      <c r="A35" s="232"/>
    </row>
    <row r="36" spans="1:7">
      <c r="A36" s="232"/>
    </row>
    <row r="37" spans="1:7">
      <c r="A37" s="232"/>
    </row>
    <row r="38" spans="1:7">
      <c r="A38" s="232"/>
      <c r="B38" s="124"/>
      <c r="C38" s="124"/>
      <c r="D38" s="124"/>
      <c r="E38" s="124"/>
      <c r="F38" s="124"/>
      <c r="G38" s="124"/>
    </row>
    <row r="39" spans="1:7">
      <c r="A39" s="232"/>
      <c r="B39" s="124"/>
      <c r="C39" s="124"/>
      <c r="D39" s="124"/>
      <c r="E39" s="124"/>
      <c r="F39" s="124"/>
      <c r="G39" s="124"/>
    </row>
    <row r="40" spans="1:7">
      <c r="A40" s="232"/>
    </row>
    <row r="41" spans="1:7">
      <c r="A41" s="232"/>
    </row>
    <row r="42" spans="1:7">
      <c r="A42" s="232"/>
    </row>
    <row r="43" spans="1:7">
      <c r="A43" s="232"/>
    </row>
    <row r="44" spans="1:7">
      <c r="A44" s="232"/>
    </row>
    <row r="45" spans="1:7">
      <c r="A45" s="232"/>
    </row>
    <row r="46" spans="1:7">
      <c r="A46" s="232"/>
    </row>
    <row r="47" spans="1:7">
      <c r="A47" s="232"/>
    </row>
    <row r="48" spans="1:7">
      <c r="A48" s="232"/>
    </row>
    <row r="49" spans="1:1">
      <c r="A49" s="232"/>
    </row>
    <row r="50" spans="1:1">
      <c r="A50" s="232"/>
    </row>
    <row r="51" spans="1:1">
      <c r="A51" s="2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8"/>
  <sheetViews>
    <sheetView workbookViewId="0">
      <pane ySplit="1" topLeftCell="A66" activePane="bottomLeft" state="frozen"/>
      <selection/>
      <selection pane="bottomLeft" activeCell="C77" sqref="C77"/>
    </sheetView>
  </sheetViews>
  <sheetFormatPr defaultColWidth="8.72727272727273" defaultRowHeight="14" outlineLevelCol="2"/>
  <cols>
    <col min="1" max="1" width="24" style="218" customWidth="1"/>
    <col min="2" max="2" width="10.6363636363636" style="218" customWidth="1"/>
    <col min="3" max="3" width="91.3636363636364" style="218" customWidth="1"/>
    <col min="4" max="16384" width="8.72727272727273" style="138"/>
  </cols>
  <sheetData>
    <row r="1" s="217" customFormat="1" ht="15" spans="1:3">
      <c r="A1" s="219" t="s">
        <v>227</v>
      </c>
      <c r="B1" s="219" t="s">
        <v>228</v>
      </c>
      <c r="C1" s="219" t="s">
        <v>229</v>
      </c>
    </row>
    <row r="2" spans="1:3">
      <c r="A2" s="220" t="s">
        <v>230</v>
      </c>
      <c r="B2" s="220" t="s">
        <v>231</v>
      </c>
      <c r="C2" s="220" t="s">
        <v>232</v>
      </c>
    </row>
    <row r="3" spans="1:3">
      <c r="A3" s="220" t="s">
        <v>233</v>
      </c>
      <c r="B3" s="220" t="s">
        <v>234</v>
      </c>
      <c r="C3" s="220" t="s">
        <v>235</v>
      </c>
    </row>
    <row r="4" spans="1:3">
      <c r="A4" s="220" t="s">
        <v>236</v>
      </c>
      <c r="B4" s="220" t="s">
        <v>234</v>
      </c>
      <c r="C4" s="220" t="s">
        <v>237</v>
      </c>
    </row>
    <row r="5" ht="56" spans="1:3">
      <c r="A5" s="221" t="s">
        <v>238</v>
      </c>
      <c r="B5" s="220" t="s">
        <v>239</v>
      </c>
      <c r="C5" s="220" t="s">
        <v>240</v>
      </c>
    </row>
    <row r="6" ht="28" spans="1:3">
      <c r="A6" s="222"/>
      <c r="B6" s="220" t="s">
        <v>241</v>
      </c>
      <c r="C6" s="220" t="s">
        <v>242</v>
      </c>
    </row>
    <row r="7" spans="1:3">
      <c r="A7" s="223" t="s">
        <v>106</v>
      </c>
      <c r="B7" s="220" t="s">
        <v>243</v>
      </c>
      <c r="C7" s="220" t="s">
        <v>244</v>
      </c>
    </row>
    <row r="8" ht="140" spans="1:3">
      <c r="A8" s="223"/>
      <c r="B8" s="220" t="s">
        <v>245</v>
      </c>
      <c r="C8" s="220" t="s">
        <v>246</v>
      </c>
    </row>
    <row r="9" spans="1:3">
      <c r="A9" s="223"/>
      <c r="B9" s="220" t="s">
        <v>247</v>
      </c>
      <c r="C9" s="220" t="s">
        <v>248</v>
      </c>
    </row>
    <row r="10" spans="1:3">
      <c r="A10" s="223"/>
      <c r="B10" s="220" t="s">
        <v>249</v>
      </c>
      <c r="C10" s="220" t="s">
        <v>250</v>
      </c>
    </row>
    <row r="11" spans="1:3">
      <c r="A11" s="223"/>
      <c r="B11" s="220"/>
      <c r="C11" s="220"/>
    </row>
    <row r="12" spans="1:3">
      <c r="A12" s="223"/>
      <c r="B12" s="220"/>
      <c r="C12" s="220"/>
    </row>
    <row r="13" spans="1:3">
      <c r="A13" s="223"/>
      <c r="B13" s="220"/>
      <c r="C13" s="220"/>
    </row>
    <row r="14" spans="1:3">
      <c r="A14" s="224"/>
      <c r="B14" s="220"/>
      <c r="C14" s="220"/>
    </row>
    <row r="15" spans="1:3">
      <c r="A15" s="220" t="s">
        <v>251</v>
      </c>
      <c r="B15" s="220" t="s">
        <v>252</v>
      </c>
      <c r="C15" s="220" t="s">
        <v>253</v>
      </c>
    </row>
    <row r="16" spans="1:3">
      <c r="A16" s="220" t="s">
        <v>254</v>
      </c>
      <c r="B16" s="220" t="s">
        <v>255</v>
      </c>
      <c r="C16" s="220" t="s">
        <v>256</v>
      </c>
    </row>
    <row r="17" spans="1:3">
      <c r="A17" s="220" t="s">
        <v>257</v>
      </c>
      <c r="B17" s="220" t="s">
        <v>258</v>
      </c>
      <c r="C17" s="225">
        <v>0.440972222222222</v>
      </c>
    </row>
    <row r="18" spans="1:3">
      <c r="A18" s="226" t="s">
        <v>73</v>
      </c>
      <c r="B18" s="220" t="s">
        <v>259</v>
      </c>
      <c r="C18" s="220" t="s">
        <v>260</v>
      </c>
    </row>
    <row r="19" spans="1:3">
      <c r="A19" s="223"/>
      <c r="B19" s="220" t="s">
        <v>261</v>
      </c>
      <c r="C19" s="220" t="s">
        <v>262</v>
      </c>
    </row>
    <row r="20" ht="56" spans="1:3">
      <c r="A20" s="223"/>
      <c r="B20" s="220" t="s">
        <v>263</v>
      </c>
      <c r="C20" s="220" t="s">
        <v>264</v>
      </c>
    </row>
    <row r="21" spans="1:3">
      <c r="A21" s="223"/>
      <c r="B21" s="220" t="s">
        <v>265</v>
      </c>
      <c r="C21" s="220" t="s">
        <v>266</v>
      </c>
    </row>
    <row r="22" ht="28" spans="1:3">
      <c r="A22" s="223"/>
      <c r="B22" s="220" t="s">
        <v>267</v>
      </c>
      <c r="C22" s="220" t="s">
        <v>268</v>
      </c>
    </row>
    <row r="23" spans="1:3">
      <c r="A23" s="223"/>
      <c r="B23" s="220" t="s">
        <v>269</v>
      </c>
      <c r="C23" s="220" t="s">
        <v>270</v>
      </c>
    </row>
    <row r="24" spans="1:3">
      <c r="A24" s="223"/>
      <c r="B24" s="220" t="s">
        <v>271</v>
      </c>
      <c r="C24" s="220" t="s">
        <v>272</v>
      </c>
    </row>
    <row r="25" spans="1:3">
      <c r="A25" s="223"/>
      <c r="B25" s="220" t="s">
        <v>273</v>
      </c>
      <c r="C25" s="220" t="s">
        <v>274</v>
      </c>
    </row>
    <row r="26" spans="1:3">
      <c r="A26" s="223"/>
      <c r="B26" s="220" t="s">
        <v>271</v>
      </c>
      <c r="C26" s="220" t="s">
        <v>275</v>
      </c>
    </row>
    <row r="27" spans="1:3">
      <c r="A27" s="223"/>
      <c r="B27" s="220" t="s">
        <v>276</v>
      </c>
      <c r="C27" s="220" t="s">
        <v>277</v>
      </c>
    </row>
    <row r="28" spans="1:3">
      <c r="A28" s="223"/>
      <c r="B28" s="220" t="s">
        <v>278</v>
      </c>
      <c r="C28" s="220" t="s">
        <v>279</v>
      </c>
    </row>
    <row r="29" spans="1:3">
      <c r="A29" s="223"/>
      <c r="B29" s="220" t="s">
        <v>280</v>
      </c>
      <c r="C29" s="220" t="s">
        <v>281</v>
      </c>
    </row>
    <row r="30" spans="1:3">
      <c r="A30" s="223"/>
      <c r="B30" s="220" t="s">
        <v>280</v>
      </c>
      <c r="C30" s="220" t="s">
        <v>282</v>
      </c>
    </row>
    <row r="31" spans="1:3">
      <c r="A31" s="223"/>
      <c r="B31" s="220"/>
      <c r="C31" s="220"/>
    </row>
    <row r="32" spans="1:3">
      <c r="A32" s="223"/>
      <c r="B32" s="220"/>
      <c r="C32" s="220"/>
    </row>
    <row r="33" spans="1:3">
      <c r="A33" s="223"/>
      <c r="B33" s="220"/>
      <c r="C33" s="220"/>
    </row>
    <row r="34" spans="1:3">
      <c r="A34" s="221" t="s">
        <v>283</v>
      </c>
      <c r="B34" s="220" t="s">
        <v>261</v>
      </c>
      <c r="C34" s="220" t="s">
        <v>284</v>
      </c>
    </row>
    <row r="35" spans="1:3">
      <c r="A35" s="222"/>
      <c r="B35" s="220" t="s">
        <v>285</v>
      </c>
      <c r="C35" s="220" t="s">
        <v>286</v>
      </c>
    </row>
    <row r="36" ht="28" spans="1:3">
      <c r="A36" s="226" t="s">
        <v>287</v>
      </c>
      <c r="B36" s="220" t="s">
        <v>288</v>
      </c>
      <c r="C36" s="220" t="s">
        <v>289</v>
      </c>
    </row>
    <row r="37" spans="1:3">
      <c r="A37" s="223"/>
      <c r="B37" s="220" t="s">
        <v>245</v>
      </c>
      <c r="C37" s="220" t="s">
        <v>290</v>
      </c>
    </row>
    <row r="38" spans="1:3">
      <c r="A38" s="223"/>
      <c r="B38" s="220" t="s">
        <v>291</v>
      </c>
      <c r="C38" s="220" t="s">
        <v>292</v>
      </c>
    </row>
    <row r="39" spans="1:3">
      <c r="A39" s="223"/>
      <c r="B39" s="220"/>
      <c r="C39" s="220"/>
    </row>
    <row r="40" spans="1:3">
      <c r="A40" s="221" t="s">
        <v>293</v>
      </c>
      <c r="B40" s="220" t="s">
        <v>294</v>
      </c>
      <c r="C40" s="220" t="s">
        <v>295</v>
      </c>
    </row>
    <row r="41" spans="1:3">
      <c r="A41" s="222"/>
      <c r="B41" s="220" t="s">
        <v>243</v>
      </c>
      <c r="C41" s="220" t="s">
        <v>296</v>
      </c>
    </row>
    <row r="42" ht="28" spans="1:3">
      <c r="A42" s="226" t="s">
        <v>53</v>
      </c>
      <c r="B42" s="220" t="s">
        <v>243</v>
      </c>
      <c r="C42" s="220" t="s">
        <v>297</v>
      </c>
    </row>
    <row r="43" spans="1:3">
      <c r="A43" s="223"/>
      <c r="B43" s="218" t="s">
        <v>298</v>
      </c>
      <c r="C43" s="218" t="s">
        <v>299</v>
      </c>
    </row>
    <row r="44" spans="1:3">
      <c r="A44" s="223"/>
      <c r="B44" s="218" t="s">
        <v>265</v>
      </c>
      <c r="C44" s="218" t="s">
        <v>300</v>
      </c>
    </row>
    <row r="45" spans="1:3">
      <c r="A45" s="223"/>
      <c r="B45" s="218" t="s">
        <v>271</v>
      </c>
      <c r="C45" s="218" t="s">
        <v>301</v>
      </c>
    </row>
    <row r="46" ht="28" spans="1:3">
      <c r="A46" s="223"/>
      <c r="B46" s="218" t="s">
        <v>271</v>
      </c>
      <c r="C46" s="218" t="s">
        <v>302</v>
      </c>
    </row>
    <row r="47" spans="1:3">
      <c r="A47" s="223"/>
      <c r="B47" s="218" t="s">
        <v>303</v>
      </c>
      <c r="C47" s="218" t="s">
        <v>304</v>
      </c>
    </row>
    <row r="48" ht="98" spans="1:3">
      <c r="A48" s="226" t="s">
        <v>305</v>
      </c>
      <c r="B48" s="218" t="s">
        <v>243</v>
      </c>
      <c r="C48" s="218" t="s">
        <v>306</v>
      </c>
    </row>
    <row r="49" ht="84" spans="1:3">
      <c r="A49" s="223"/>
      <c r="B49" s="218" t="s">
        <v>307</v>
      </c>
      <c r="C49" s="218" t="s">
        <v>308</v>
      </c>
    </row>
    <row r="50" ht="28" spans="1:3">
      <c r="A50" s="224"/>
      <c r="B50" s="218" t="s">
        <v>309</v>
      </c>
      <c r="C50" s="218" t="s">
        <v>310</v>
      </c>
    </row>
    <row r="51" spans="1:3">
      <c r="A51" s="218" t="s">
        <v>43</v>
      </c>
      <c r="B51" s="218" t="s">
        <v>311</v>
      </c>
      <c r="C51" s="218" t="s">
        <v>312</v>
      </c>
    </row>
    <row r="52" spans="1:3">
      <c r="A52" s="226" t="s">
        <v>313</v>
      </c>
      <c r="B52" s="218" t="s">
        <v>245</v>
      </c>
      <c r="C52" s="218" t="s">
        <v>314</v>
      </c>
    </row>
    <row r="53" spans="1:3">
      <c r="A53" s="224"/>
      <c r="B53" s="218" t="s">
        <v>307</v>
      </c>
      <c r="C53" s="218" t="s">
        <v>315</v>
      </c>
    </row>
    <row r="54" spans="1:3">
      <c r="A54" s="218" t="s">
        <v>63</v>
      </c>
      <c r="B54" s="218" t="s">
        <v>247</v>
      </c>
      <c r="C54" s="218" t="s">
        <v>316</v>
      </c>
    </row>
    <row r="55" spans="1:3">
      <c r="A55" s="226" t="s">
        <v>317</v>
      </c>
      <c r="B55" s="218" t="s">
        <v>318</v>
      </c>
      <c r="C55" s="218" t="s">
        <v>319</v>
      </c>
    </row>
    <row r="56" spans="1:3">
      <c r="A56" s="224"/>
      <c r="B56" s="218" t="s">
        <v>271</v>
      </c>
      <c r="C56" s="218" t="s">
        <v>320</v>
      </c>
    </row>
    <row r="57" spans="1:3">
      <c r="A57" s="218" t="s">
        <v>321</v>
      </c>
      <c r="B57" s="218" t="s">
        <v>322</v>
      </c>
      <c r="C57" s="218" t="s">
        <v>323</v>
      </c>
    </row>
    <row r="58" spans="1:3">
      <c r="A58" s="218" t="s">
        <v>10</v>
      </c>
      <c r="B58" s="218" t="s">
        <v>307</v>
      </c>
      <c r="C58" s="218" t="s">
        <v>324</v>
      </c>
    </row>
    <row r="59" spans="1:3">
      <c r="A59" s="218" t="s">
        <v>325</v>
      </c>
      <c r="B59" s="218" t="s">
        <v>326</v>
      </c>
      <c r="C59" s="218" t="s">
        <v>327</v>
      </c>
    </row>
    <row r="60" spans="1:3">
      <c r="A60" s="218" t="s">
        <v>328</v>
      </c>
      <c r="B60" s="218" t="s">
        <v>329</v>
      </c>
      <c r="C60" s="218" t="s">
        <v>330</v>
      </c>
    </row>
    <row r="61" spans="1:3">
      <c r="A61" s="218" t="s">
        <v>331</v>
      </c>
      <c r="B61" s="218" t="s">
        <v>329</v>
      </c>
      <c r="C61" s="218" t="s">
        <v>332</v>
      </c>
    </row>
    <row r="62" spans="1:3">
      <c r="A62" s="218" t="s">
        <v>333</v>
      </c>
      <c r="B62" s="218" t="s">
        <v>267</v>
      </c>
      <c r="C62" s="218" t="s">
        <v>334</v>
      </c>
    </row>
    <row r="63" ht="28" spans="1:3">
      <c r="A63" s="218" t="s">
        <v>335</v>
      </c>
      <c r="B63" s="218" t="s">
        <v>309</v>
      </c>
      <c r="C63" s="218" t="s">
        <v>336</v>
      </c>
    </row>
    <row r="64" ht="28" spans="1:3">
      <c r="A64" s="226" t="s">
        <v>337</v>
      </c>
      <c r="B64" s="218" t="s">
        <v>309</v>
      </c>
      <c r="C64" s="218" t="s">
        <v>338</v>
      </c>
    </row>
    <row r="65" spans="1:3">
      <c r="A65" s="224"/>
      <c r="B65" s="218" t="s">
        <v>339</v>
      </c>
      <c r="C65" s="218" t="s">
        <v>340</v>
      </c>
    </row>
    <row r="66" ht="140" spans="1:3">
      <c r="A66" s="218" t="s">
        <v>341</v>
      </c>
      <c r="B66" s="218" t="s">
        <v>342</v>
      </c>
      <c r="C66" s="218" t="s">
        <v>343</v>
      </c>
    </row>
    <row r="67" spans="1:3">
      <c r="A67" s="218" t="s">
        <v>10</v>
      </c>
      <c r="B67" s="218" t="s">
        <v>269</v>
      </c>
      <c r="C67" s="218" t="s">
        <v>344</v>
      </c>
    </row>
    <row r="68" spans="1:3">
      <c r="A68" s="218" t="s">
        <v>345</v>
      </c>
      <c r="B68" s="218" t="s">
        <v>346</v>
      </c>
      <c r="C68" s="218" t="s">
        <v>347</v>
      </c>
    </row>
    <row r="69" spans="1:3">
      <c r="A69" s="218" t="s">
        <v>348</v>
      </c>
      <c r="B69" s="218" t="s">
        <v>349</v>
      </c>
      <c r="C69" s="218" t="s">
        <v>350</v>
      </c>
    </row>
    <row r="70" ht="70" spans="1:3">
      <c r="A70" s="218" t="s">
        <v>351</v>
      </c>
      <c r="B70" s="218" t="s">
        <v>352</v>
      </c>
      <c r="C70" s="218" t="s">
        <v>353</v>
      </c>
    </row>
    <row r="71" spans="1:3">
      <c r="A71" s="218" t="s">
        <v>354</v>
      </c>
      <c r="B71" s="218" t="s">
        <v>276</v>
      </c>
      <c r="C71" s="218" t="s">
        <v>355</v>
      </c>
    </row>
    <row r="72" ht="28" spans="1:3">
      <c r="A72" s="218" t="s">
        <v>47</v>
      </c>
      <c r="B72" s="218" t="s">
        <v>356</v>
      </c>
      <c r="C72" s="218" t="s">
        <v>357</v>
      </c>
    </row>
    <row r="73" spans="1:3">
      <c r="A73" s="218" t="s">
        <v>358</v>
      </c>
      <c r="B73" s="218" t="s">
        <v>359</v>
      </c>
      <c r="C73" s="218" t="s">
        <v>360</v>
      </c>
    </row>
    <row r="74" spans="1:3">
      <c r="A74" s="226" t="s">
        <v>361</v>
      </c>
      <c r="B74" s="218" t="s">
        <v>362</v>
      </c>
      <c r="C74" s="218" t="s">
        <v>363</v>
      </c>
    </row>
    <row r="75" spans="1:3">
      <c r="A75" s="224"/>
      <c r="B75" s="218" t="s">
        <v>359</v>
      </c>
      <c r="C75" s="218" t="s">
        <v>364</v>
      </c>
    </row>
    <row r="76" spans="1:3">
      <c r="A76" s="226" t="s">
        <v>365</v>
      </c>
      <c r="B76" s="218" t="s">
        <v>366</v>
      </c>
      <c r="C76" s="218" t="s">
        <v>367</v>
      </c>
    </row>
    <row r="77" spans="1:3">
      <c r="A77" s="224"/>
      <c r="B77" s="218" t="s">
        <v>368</v>
      </c>
      <c r="C77" s="218" t="s">
        <v>369</v>
      </c>
    </row>
    <row r="78" spans="1:3">
      <c r="A78" s="218" t="s">
        <v>370</v>
      </c>
      <c r="B78" s="218" t="s">
        <v>371</v>
      </c>
      <c r="C78" s="218" t="s">
        <v>372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8"/>
      <c r="B1" s="189" t="s">
        <v>1</v>
      </c>
      <c r="C1" s="189"/>
      <c r="D1" s="190" t="s">
        <v>2</v>
      </c>
      <c r="E1" s="191"/>
      <c r="F1" s="192"/>
      <c r="G1" s="189" t="s">
        <v>3</v>
      </c>
      <c r="H1" s="189" t="s">
        <v>4</v>
      </c>
      <c r="I1" s="189" t="s">
        <v>5</v>
      </c>
      <c r="J1" s="189" t="s">
        <v>6</v>
      </c>
    </row>
    <row r="2" ht="16.5" spans="1:10">
      <c r="A2" s="189" t="s">
        <v>373</v>
      </c>
      <c r="B2" s="193" t="s">
        <v>374</v>
      </c>
      <c r="C2" s="194" t="s">
        <v>375</v>
      </c>
      <c r="D2" s="195"/>
      <c r="E2" s="193" t="s">
        <v>374</v>
      </c>
      <c r="F2" s="193"/>
      <c r="G2" s="196" t="s">
        <v>376</v>
      </c>
      <c r="H2" s="196"/>
      <c r="I2" s="188"/>
      <c r="J2" s="197"/>
    </row>
    <row r="3" ht="16.5" spans="1:10">
      <c r="A3" s="189" t="s">
        <v>377</v>
      </c>
      <c r="B3" s="198" t="s">
        <v>378</v>
      </c>
      <c r="C3" s="198"/>
      <c r="D3" s="198"/>
      <c r="E3" s="198"/>
      <c r="F3" s="198"/>
      <c r="G3" s="198"/>
      <c r="H3" s="198"/>
      <c r="I3" s="188"/>
      <c r="J3" s="197"/>
    </row>
    <row r="4" ht="16.5" spans="1:10">
      <c r="A4" s="189" t="s">
        <v>379</v>
      </c>
      <c r="B4" s="199" t="s">
        <v>287</v>
      </c>
      <c r="C4" s="199"/>
      <c r="D4" s="199"/>
      <c r="E4" s="199"/>
      <c r="F4" s="199"/>
      <c r="G4" s="199"/>
      <c r="H4" s="199"/>
      <c r="I4" s="188"/>
      <c r="J4" s="197"/>
    </row>
    <row r="5" ht="16.5" spans="1:10">
      <c r="A5" s="189" t="s">
        <v>380</v>
      </c>
      <c r="B5" s="200">
        <v>1</v>
      </c>
      <c r="C5" s="200"/>
      <c r="D5" s="201">
        <v>2</v>
      </c>
      <c r="E5" s="201"/>
      <c r="F5" s="201"/>
      <c r="G5" s="200" t="s">
        <v>381</v>
      </c>
      <c r="H5" s="200"/>
      <c r="I5" s="188"/>
      <c r="J5" s="197"/>
    </row>
    <row r="6" ht="16.5" spans="1:10">
      <c r="A6" s="189" t="s">
        <v>382</v>
      </c>
      <c r="B6" s="202">
        <v>1</v>
      </c>
      <c r="C6" s="202"/>
      <c r="D6" s="202"/>
      <c r="E6" s="202"/>
      <c r="F6" s="202"/>
      <c r="G6" s="203" t="s">
        <v>383</v>
      </c>
      <c r="H6" s="203"/>
      <c r="I6" s="188"/>
      <c r="J6" s="197"/>
    </row>
    <row r="7" ht="16.5" spans="1:10">
      <c r="A7" s="189" t="s">
        <v>384</v>
      </c>
      <c r="B7" s="204" t="s">
        <v>385</v>
      </c>
      <c r="C7" s="204"/>
      <c r="D7" s="204"/>
      <c r="E7" s="204"/>
      <c r="F7" s="204"/>
      <c r="G7" s="205" t="s">
        <v>386</v>
      </c>
      <c r="H7" s="205"/>
      <c r="I7" s="188"/>
      <c r="J7" s="197"/>
    </row>
    <row r="8" ht="16.5" spans="1:10">
      <c r="A8" s="189" t="s">
        <v>387</v>
      </c>
      <c r="B8" s="206">
        <v>1</v>
      </c>
      <c r="C8" s="206"/>
      <c r="D8" s="207" t="s">
        <v>388</v>
      </c>
      <c r="E8" s="207"/>
      <c r="F8" s="207"/>
      <c r="G8" s="206" t="s">
        <v>389</v>
      </c>
      <c r="H8" s="206"/>
      <c r="I8" s="188"/>
      <c r="J8" s="197"/>
    </row>
    <row r="9" s="48" customFormat="1" ht="16.5" spans="1:10">
      <c r="A9" s="189" t="s">
        <v>390</v>
      </c>
      <c r="B9" s="49" t="s">
        <v>391</v>
      </c>
      <c r="C9" s="49"/>
      <c r="D9" s="49"/>
      <c r="E9" s="49"/>
      <c r="F9" s="49"/>
      <c r="G9" s="208" t="s">
        <v>392</v>
      </c>
      <c r="H9" s="208"/>
      <c r="I9" s="48"/>
      <c r="J9" s="209"/>
    </row>
    <row r="10" s="48" customFormat="1" ht="16.5" spans="1:10">
      <c r="A10" s="189" t="s">
        <v>393</v>
      </c>
      <c r="B10" s="210" t="s">
        <v>391</v>
      </c>
      <c r="C10" s="210"/>
      <c r="D10" s="210"/>
      <c r="E10" s="210"/>
      <c r="F10" s="210"/>
      <c r="G10" s="210"/>
      <c r="H10" s="210"/>
      <c r="I10" s="211"/>
      <c r="J10" s="209"/>
    </row>
    <row r="11" ht="16.5" spans="1:10">
      <c r="A11" s="189" t="s">
        <v>394</v>
      </c>
      <c r="B11" s="193" t="s">
        <v>395</v>
      </c>
      <c r="C11" s="193"/>
      <c r="D11" s="193"/>
      <c r="E11" s="193"/>
      <c r="F11" s="193"/>
      <c r="G11" s="193"/>
      <c r="H11" s="193"/>
      <c r="I11" s="188"/>
      <c r="J11" s="197"/>
    </row>
    <row r="12" ht="16.5" spans="1:10">
      <c r="A12" s="189" t="s">
        <v>396</v>
      </c>
      <c r="B12" s="198">
        <v>1</v>
      </c>
      <c r="C12" s="198"/>
      <c r="D12" s="212" t="s">
        <v>397</v>
      </c>
      <c r="E12" s="198">
        <v>1</v>
      </c>
      <c r="F12" s="212" t="s">
        <v>397</v>
      </c>
      <c r="G12" s="188" t="s">
        <v>391</v>
      </c>
      <c r="H12" s="188"/>
      <c r="I12" s="188"/>
      <c r="J12" s="197"/>
    </row>
    <row r="13" ht="16.5" spans="1:10">
      <c r="A13" s="189" t="s">
        <v>398</v>
      </c>
      <c r="B13" s="199">
        <v>1</v>
      </c>
      <c r="C13" s="199"/>
      <c r="D13" s="199"/>
      <c r="E13" s="199"/>
      <c r="F13" s="199"/>
      <c r="G13" s="199"/>
      <c r="H13" s="188" t="s">
        <v>391</v>
      </c>
      <c r="I13" s="188"/>
      <c r="J13" s="197"/>
    </row>
    <row r="14" ht="16.5" spans="1:10">
      <c r="A14" s="189" t="s">
        <v>399</v>
      </c>
      <c r="B14" s="213">
        <v>1</v>
      </c>
      <c r="C14" s="213"/>
      <c r="D14" s="213"/>
      <c r="E14" s="213"/>
      <c r="F14" s="213"/>
      <c r="G14" s="214">
        <v>2</v>
      </c>
      <c r="H14" s="215" t="s">
        <v>391</v>
      </c>
      <c r="I14" s="215"/>
      <c r="J14" s="216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9" customWidth="1"/>
    <col min="2" max="2" width="12.4545454545455" style="19" customWidth="1"/>
    <col min="3" max="4" width="8.72727272727273" style="19"/>
    <col min="5" max="5" width="2.06363636363636" style="19" customWidth="1"/>
    <col min="6" max="6" width="6.32727272727273" style="19" customWidth="1"/>
    <col min="7" max="7" width="3.63636363636364" style="19" customWidth="1"/>
    <col min="8" max="8" width="5.18181818181818" style="19" customWidth="1"/>
    <col min="9" max="16384" width="8.72727272727273" style="19"/>
  </cols>
  <sheetData>
    <row r="1" s="158" customFormat="1" spans="1:10">
      <c r="A1" s="161" t="s">
        <v>400</v>
      </c>
      <c r="B1" s="162"/>
      <c r="C1" s="158" t="s">
        <v>1</v>
      </c>
      <c r="D1" s="158" t="s">
        <v>2</v>
      </c>
      <c r="E1" s="163" t="s">
        <v>3</v>
      </c>
      <c r="F1" s="164"/>
      <c r="G1" s="163" t="s">
        <v>4</v>
      </c>
      <c r="H1" s="164"/>
      <c r="I1" s="158" t="s">
        <v>5</v>
      </c>
      <c r="J1" s="158" t="s">
        <v>6</v>
      </c>
    </row>
    <row r="2" s="159" customFormat="1" spans="1:10">
      <c r="A2" s="165" t="s">
        <v>401</v>
      </c>
      <c r="B2" s="166" t="s">
        <v>402</v>
      </c>
      <c r="C2" s="167" t="s">
        <v>7</v>
      </c>
      <c r="D2" s="168"/>
      <c r="E2" s="168"/>
      <c r="F2" s="168"/>
      <c r="G2" s="168"/>
      <c r="H2" s="169"/>
    </row>
    <row r="3" s="159" customFormat="1" spans="1:10">
      <c r="A3" s="170"/>
      <c r="B3" s="166" t="s">
        <v>403</v>
      </c>
      <c r="C3" s="167" t="s">
        <v>31</v>
      </c>
      <c r="D3" s="168"/>
      <c r="E3" s="168"/>
      <c r="F3" s="168"/>
      <c r="G3" s="168"/>
      <c r="H3" s="169"/>
    </row>
    <row r="4" s="159" customFormat="1" spans="1:10">
      <c r="A4" s="170"/>
      <c r="B4" s="166"/>
      <c r="C4" s="167" t="s">
        <v>25</v>
      </c>
      <c r="D4" s="168"/>
      <c r="E4" s="168"/>
      <c r="F4" s="168"/>
      <c r="G4" s="168"/>
      <c r="H4" s="169"/>
    </row>
    <row r="5" s="159" customFormat="1" spans="1:10">
      <c r="A5" s="170"/>
      <c r="B5" s="166" t="s">
        <v>404</v>
      </c>
      <c r="C5" s="167" t="s">
        <v>36</v>
      </c>
      <c r="D5" s="168"/>
      <c r="E5" s="168"/>
      <c r="F5" s="168"/>
      <c r="G5" s="168"/>
      <c r="H5" s="169"/>
    </row>
    <row r="6" s="159" customFormat="1" spans="1:10">
      <c r="A6" s="170"/>
      <c r="B6" s="166" t="s">
        <v>405</v>
      </c>
      <c r="C6" s="62" t="s">
        <v>21</v>
      </c>
      <c r="D6" s="171" t="s">
        <v>119</v>
      </c>
      <c r="E6" s="172"/>
      <c r="F6" s="172"/>
      <c r="G6" s="172"/>
      <c r="H6" s="173"/>
    </row>
    <row r="7" s="159" customFormat="1" spans="1:10">
      <c r="A7" s="170"/>
      <c r="B7" s="166"/>
      <c r="C7" s="62" t="s">
        <v>59</v>
      </c>
      <c r="D7" s="159" t="s">
        <v>91</v>
      </c>
      <c r="E7" s="171" t="s">
        <v>106</v>
      </c>
      <c r="F7" s="172"/>
      <c r="G7" s="172"/>
      <c r="H7" s="173"/>
    </row>
    <row r="8" s="159" customFormat="1" spans="1:10">
      <c r="A8" s="170"/>
      <c r="B8" s="166" t="s">
        <v>406</v>
      </c>
      <c r="C8" s="62" t="s">
        <v>15</v>
      </c>
      <c r="D8" s="171" t="s">
        <v>96</v>
      </c>
      <c r="E8" s="172"/>
      <c r="F8" s="172"/>
      <c r="G8" s="172"/>
      <c r="H8" s="173"/>
    </row>
    <row r="9" s="159" customFormat="1" spans="1:10">
      <c r="A9" s="170"/>
      <c r="B9" s="166" t="s">
        <v>407</v>
      </c>
      <c r="C9" s="167" t="s">
        <v>27</v>
      </c>
      <c r="D9" s="168"/>
      <c r="E9" s="168"/>
      <c r="F9" s="168"/>
      <c r="G9" s="168"/>
      <c r="H9" s="169"/>
    </row>
    <row r="10" s="159" customFormat="1" spans="1:10">
      <c r="A10" s="170"/>
      <c r="B10" s="166" t="s">
        <v>408</v>
      </c>
      <c r="C10" s="167" t="s">
        <v>39</v>
      </c>
      <c r="D10" s="168"/>
      <c r="E10" s="168"/>
      <c r="F10" s="168"/>
      <c r="G10" s="168"/>
      <c r="H10" s="169"/>
    </row>
    <row r="11" s="159" customFormat="1" spans="1:10">
      <c r="A11" s="174"/>
      <c r="B11" s="166" t="s">
        <v>409</v>
      </c>
      <c r="C11" s="167" t="s">
        <v>84</v>
      </c>
      <c r="D11" s="168"/>
      <c r="E11" s="168"/>
      <c r="F11" s="168"/>
      <c r="G11" s="168"/>
      <c r="H11" s="169"/>
    </row>
    <row r="12" s="160" customFormat="1" spans="1:10">
      <c r="A12" s="175" t="s">
        <v>410</v>
      </c>
      <c r="B12" s="176" t="s">
        <v>411</v>
      </c>
      <c r="C12" s="177" t="s">
        <v>106</v>
      </c>
      <c r="D12" s="178"/>
      <c r="E12" s="179" t="s">
        <v>21</v>
      </c>
      <c r="F12" s="180"/>
      <c r="G12" s="180"/>
      <c r="H12" s="181"/>
    </row>
    <row r="13" s="160" customFormat="1" spans="1:10">
      <c r="A13" s="182"/>
      <c r="B13" s="176"/>
      <c r="C13" s="177" t="s">
        <v>45</v>
      </c>
      <c r="D13" s="183"/>
      <c r="E13" s="183"/>
      <c r="F13" s="183"/>
      <c r="G13" s="183"/>
      <c r="H13" s="178"/>
    </row>
    <row r="14" s="160" customFormat="1" spans="1:10">
      <c r="A14" s="182"/>
      <c r="B14" s="176" t="s">
        <v>412</v>
      </c>
      <c r="C14" s="177" t="s">
        <v>413</v>
      </c>
      <c r="D14" s="183"/>
      <c r="E14" s="178"/>
      <c r="F14" s="180" t="s">
        <v>39</v>
      </c>
      <c r="G14" s="180"/>
      <c r="H14" s="181"/>
    </row>
    <row r="15" s="160" customFormat="1" spans="1:10">
      <c r="A15" s="182"/>
      <c r="B15" s="176" t="s">
        <v>414</v>
      </c>
      <c r="C15" s="177" t="s">
        <v>10</v>
      </c>
      <c r="D15" s="183"/>
      <c r="E15" s="183"/>
      <c r="F15" s="183"/>
      <c r="G15" s="183"/>
      <c r="H15" s="178"/>
    </row>
    <row r="16" s="160" customFormat="1" spans="1:10">
      <c r="A16" s="182"/>
      <c r="B16" s="176"/>
      <c r="C16" s="177" t="s">
        <v>13</v>
      </c>
      <c r="D16" s="183"/>
      <c r="E16" s="183"/>
      <c r="F16" s="183"/>
      <c r="G16" s="183"/>
      <c r="H16" s="178"/>
    </row>
    <row r="17" s="160" customFormat="1" spans="1:10">
      <c r="A17" s="182"/>
      <c r="B17" s="176" t="s">
        <v>415</v>
      </c>
      <c r="C17" s="177" t="s">
        <v>30</v>
      </c>
      <c r="D17" s="183"/>
      <c r="E17" s="183"/>
      <c r="F17" s="183"/>
      <c r="G17" s="183"/>
      <c r="H17" s="178"/>
    </row>
    <row r="18" s="160" customFormat="1" spans="1:10">
      <c r="A18" s="182"/>
      <c r="B18" s="176" t="s">
        <v>416</v>
      </c>
      <c r="C18" s="177" t="s">
        <v>50</v>
      </c>
      <c r="D18" s="183"/>
      <c r="E18" s="183"/>
      <c r="F18" s="183"/>
      <c r="G18" s="183"/>
      <c r="H18" s="178"/>
    </row>
    <row r="19" s="160" customFormat="1" spans="1:10">
      <c r="A19" s="182"/>
      <c r="B19" s="176" t="s">
        <v>417</v>
      </c>
      <c r="C19" s="177" t="s">
        <v>96</v>
      </c>
      <c r="D19" s="183"/>
      <c r="E19" s="183"/>
      <c r="F19" s="183"/>
      <c r="G19" s="183"/>
      <c r="H19" s="178"/>
      <c r="I19" s="184"/>
      <c r="J19" s="185"/>
    </row>
    <row r="20" s="160" customFormat="1" spans="1:10">
      <c r="A20" s="182"/>
      <c r="B20" s="176" t="s">
        <v>418</v>
      </c>
      <c r="C20" s="177" t="s">
        <v>100</v>
      </c>
      <c r="D20" s="183"/>
      <c r="E20" s="183"/>
      <c r="F20" s="183"/>
      <c r="G20" s="178"/>
      <c r="H20" s="181" t="s">
        <v>38</v>
      </c>
      <c r="I20" s="184"/>
      <c r="J20" s="185"/>
    </row>
    <row r="21" s="160" customFormat="1" spans="1:10">
      <c r="A21" s="182"/>
      <c r="B21" s="176" t="s">
        <v>419</v>
      </c>
      <c r="C21" s="184"/>
      <c r="D21" s="185"/>
      <c r="E21" s="179" t="s">
        <v>28</v>
      </c>
      <c r="F21" s="180"/>
      <c r="G21" s="180"/>
      <c r="H21" s="181"/>
    </row>
    <row r="22" s="160" customFormat="1" spans="1:10">
      <c r="A22" s="186"/>
      <c r="B22" s="176" t="s">
        <v>420</v>
      </c>
      <c r="C22" s="184"/>
      <c r="D22" s="187"/>
      <c r="E22" s="187"/>
      <c r="F22" s="187"/>
      <c r="G22" s="187"/>
      <c r="H22" s="185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8"/>
    <col min="2" max="9" width="10.3272727272727" style="138" customWidth="1"/>
    <col min="10" max="16384" width="8.72727272727273" style="138"/>
  </cols>
  <sheetData>
    <row r="1" s="137" customFormat="1" customHeight="1" spans="1:16">
      <c r="A1" s="139" t="s">
        <v>421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</row>
    <row r="2" s="138" customFormat="1" customHeight="1" spans="1:16">
      <c r="A2" s="141" t="s">
        <v>422</v>
      </c>
      <c r="B2" s="142"/>
      <c r="C2" s="143"/>
      <c r="D2" s="144" t="s">
        <v>50</v>
      </c>
      <c r="E2" s="144" t="s">
        <v>123</v>
      </c>
      <c r="F2" s="145"/>
      <c r="G2" s="145"/>
      <c r="H2" s="146"/>
      <c r="I2" s="146"/>
    </row>
    <row r="3" s="138" customFormat="1" customHeight="1" spans="1:16">
      <c r="A3" s="147"/>
      <c r="B3" s="143" t="s">
        <v>38</v>
      </c>
      <c r="C3" s="143" t="s">
        <v>50</v>
      </c>
      <c r="D3" s="144" t="s">
        <v>30</v>
      </c>
      <c r="E3" s="144" t="s">
        <v>7</v>
      </c>
      <c r="F3" s="145" t="s">
        <v>78</v>
      </c>
      <c r="G3" s="145" t="s">
        <v>91</v>
      </c>
      <c r="H3" s="146" t="s">
        <v>123</v>
      </c>
      <c r="I3" s="146" t="s">
        <v>106</v>
      </c>
    </row>
    <row r="4" s="138" customFormat="1" customHeight="1" spans="1:16">
      <c r="A4" s="147"/>
      <c r="B4" s="143" t="s">
        <v>45</v>
      </c>
      <c r="C4" s="143" t="s">
        <v>43</v>
      </c>
      <c r="D4" s="144" t="s">
        <v>134</v>
      </c>
      <c r="E4" s="144" t="s">
        <v>94</v>
      </c>
      <c r="F4" s="145" t="s">
        <v>21</v>
      </c>
      <c r="G4" s="145" t="s">
        <v>69</v>
      </c>
      <c r="H4" s="146" t="s">
        <v>58</v>
      </c>
      <c r="I4" s="146" t="s">
        <v>33</v>
      </c>
    </row>
    <row r="5" s="138" customFormat="1" customHeight="1" spans="1:16">
      <c r="A5" s="147"/>
      <c r="B5" s="143" t="s">
        <v>85</v>
      </c>
      <c r="C5" s="143" t="s">
        <v>31</v>
      </c>
      <c r="D5" s="144" t="s">
        <v>47</v>
      </c>
      <c r="E5" s="144" t="s">
        <v>88</v>
      </c>
      <c r="F5" s="145" t="s">
        <v>84</v>
      </c>
      <c r="G5" s="145" t="s">
        <v>28</v>
      </c>
      <c r="H5" s="146" t="s">
        <v>39</v>
      </c>
      <c r="I5" s="146" t="s">
        <v>124</v>
      </c>
    </row>
    <row r="6" s="138" customFormat="1" customHeight="1" spans="1:16">
      <c r="A6" s="147"/>
      <c r="B6" s="143" t="s">
        <v>25</v>
      </c>
      <c r="C6" s="143" t="s">
        <v>87</v>
      </c>
      <c r="D6" s="144" t="s">
        <v>10</v>
      </c>
      <c r="E6" s="144" t="s">
        <v>86</v>
      </c>
      <c r="F6" s="145" t="s">
        <v>100</v>
      </c>
      <c r="G6" s="145" t="s">
        <v>132</v>
      </c>
      <c r="H6" s="146" t="s">
        <v>73</v>
      </c>
      <c r="I6" s="146" t="s">
        <v>19</v>
      </c>
    </row>
    <row r="7" s="138" customFormat="1" customHeight="1" spans="1:16">
      <c r="A7" s="147"/>
      <c r="B7" s="143" t="s">
        <v>117</v>
      </c>
      <c r="C7" s="143" t="s">
        <v>36</v>
      </c>
      <c r="D7" s="144" t="s">
        <v>70</v>
      </c>
      <c r="E7" s="144" t="s">
        <v>13</v>
      </c>
      <c r="F7" s="145" t="s">
        <v>113</v>
      </c>
      <c r="G7" s="145" t="s">
        <v>59</v>
      </c>
      <c r="H7" s="146" t="s">
        <v>89</v>
      </c>
      <c r="I7" s="146" t="s">
        <v>114</v>
      </c>
    </row>
    <row r="8" s="138" customFormat="1" customHeight="1" spans="1:16">
      <c r="A8" s="147"/>
      <c r="B8" s="143" t="s">
        <v>130</v>
      </c>
      <c r="C8" s="143" t="s">
        <v>68</v>
      </c>
      <c r="D8" s="144" t="s">
        <v>81</v>
      </c>
      <c r="E8" s="144" t="s">
        <v>119</v>
      </c>
      <c r="F8" s="145" t="s">
        <v>53</v>
      </c>
      <c r="G8" s="145" t="s">
        <v>126</v>
      </c>
      <c r="H8" s="146" t="s">
        <v>63</v>
      </c>
      <c r="I8" s="146" t="s">
        <v>96</v>
      </c>
    </row>
    <row r="9" s="138" customFormat="1" customHeight="1" spans="1:16">
      <c r="A9" s="148"/>
      <c r="B9" s="149"/>
      <c r="C9" s="150"/>
      <c r="D9" s="151" t="s">
        <v>135</v>
      </c>
      <c r="E9" s="152"/>
      <c r="F9" s="153"/>
      <c r="G9" s="153"/>
      <c r="H9" s="153"/>
      <c r="I9" s="154"/>
    </row>
    <row r="10" s="138" customFormat="1" customHeight="1" spans="1:16">
      <c r="A10" s="141" t="s">
        <v>423</v>
      </c>
      <c r="B10" s="142"/>
      <c r="C10" s="143"/>
      <c r="D10" s="144" t="s">
        <v>50</v>
      </c>
      <c r="E10" s="144" t="s">
        <v>123</v>
      </c>
      <c r="F10" s="145"/>
      <c r="G10" s="145"/>
      <c r="H10" s="146"/>
      <c r="I10" s="146"/>
    </row>
    <row r="11" s="138" customFormat="1" customHeight="1" spans="1:16">
      <c r="A11" s="147"/>
      <c r="B11" s="143" t="s">
        <v>58</v>
      </c>
      <c r="C11" s="143" t="s">
        <v>106</v>
      </c>
      <c r="D11" s="144" t="s">
        <v>69</v>
      </c>
      <c r="E11" s="144" t="s">
        <v>134</v>
      </c>
      <c r="F11" s="145" t="s">
        <v>15</v>
      </c>
      <c r="G11" s="145" t="s">
        <v>91</v>
      </c>
      <c r="H11" s="146" t="s">
        <v>38</v>
      </c>
      <c r="I11" s="146" t="s">
        <v>27</v>
      </c>
    </row>
    <row r="12" s="138" customFormat="1" customHeight="1" spans="1:16">
      <c r="A12" s="147"/>
      <c r="B12" s="143" t="s">
        <v>94</v>
      </c>
      <c r="C12" s="143" t="s">
        <v>33</v>
      </c>
      <c r="D12" s="144" t="s">
        <v>7</v>
      </c>
      <c r="E12" s="144" t="s">
        <v>30</v>
      </c>
      <c r="F12" s="145" t="s">
        <v>21</v>
      </c>
      <c r="G12" s="145" t="s">
        <v>78</v>
      </c>
      <c r="H12" s="146" t="s">
        <v>45</v>
      </c>
      <c r="I12" s="146" t="s">
        <v>43</v>
      </c>
    </row>
    <row r="13" s="138" customFormat="1" customHeight="1" spans="1:16">
      <c r="A13" s="147"/>
      <c r="B13" s="143" t="s">
        <v>85</v>
      </c>
      <c r="C13" s="143" t="s">
        <v>47</v>
      </c>
      <c r="D13" s="144" t="s">
        <v>39</v>
      </c>
      <c r="E13" s="144" t="s">
        <v>124</v>
      </c>
      <c r="F13" s="145" t="s">
        <v>132</v>
      </c>
      <c r="G13" s="145" t="s">
        <v>86</v>
      </c>
      <c r="H13" s="146" t="s">
        <v>88</v>
      </c>
      <c r="I13" s="146" t="s">
        <v>31</v>
      </c>
    </row>
    <row r="14" s="138" customFormat="1" customHeight="1" spans="1:16">
      <c r="A14" s="147"/>
      <c r="B14" s="143" t="s">
        <v>25</v>
      </c>
      <c r="C14" s="143" t="s">
        <v>87</v>
      </c>
      <c r="D14" s="144" t="s">
        <v>10</v>
      </c>
      <c r="E14" s="144" t="s">
        <v>73</v>
      </c>
      <c r="F14" s="145" t="s">
        <v>28</v>
      </c>
      <c r="G14" s="145" t="s">
        <v>84</v>
      </c>
      <c r="H14" s="146" t="s">
        <v>19</v>
      </c>
      <c r="I14" s="146" t="s">
        <v>100</v>
      </c>
    </row>
    <row r="15" s="138" customFormat="1" customHeight="1" spans="1:16">
      <c r="A15" s="147"/>
      <c r="B15" s="143" t="s">
        <v>36</v>
      </c>
      <c r="C15" s="143" t="s">
        <v>117</v>
      </c>
      <c r="D15" s="144" t="s">
        <v>114</v>
      </c>
      <c r="E15" s="144" t="s">
        <v>113</v>
      </c>
      <c r="F15" s="145" t="s">
        <v>13</v>
      </c>
      <c r="G15" s="145" t="s">
        <v>59</v>
      </c>
      <c r="H15" s="146" t="s">
        <v>89</v>
      </c>
      <c r="I15" s="146" t="s">
        <v>70</v>
      </c>
    </row>
    <row r="16" s="138" customFormat="1" customHeight="1" spans="1:16">
      <c r="A16" s="147"/>
      <c r="B16" s="143" t="s">
        <v>130</v>
      </c>
      <c r="C16" s="143" t="s">
        <v>68</v>
      </c>
      <c r="D16" s="144" t="s">
        <v>126</v>
      </c>
      <c r="E16" s="144" t="s">
        <v>119</v>
      </c>
      <c r="F16" s="145" t="s">
        <v>53</v>
      </c>
      <c r="G16" s="145" t="s">
        <v>81</v>
      </c>
      <c r="H16" s="146" t="s">
        <v>135</v>
      </c>
      <c r="I16" s="146" t="s">
        <v>96</v>
      </c>
    </row>
    <row r="17" s="138" customFormat="1" customHeight="1" spans="1:9">
      <c r="A17" s="148"/>
      <c r="B17" s="149"/>
      <c r="C17" s="150"/>
      <c r="D17" s="151" t="s">
        <v>63</v>
      </c>
      <c r="E17" s="152"/>
      <c r="F17" s="153"/>
      <c r="G17" s="153"/>
      <c r="H17" s="153"/>
      <c r="I17" s="154"/>
    </row>
    <row r="18" s="138" customFormat="1" customHeight="1" spans="1:9">
      <c r="A18" s="141" t="s">
        <v>424</v>
      </c>
      <c r="B18" s="142"/>
      <c r="C18" s="143"/>
      <c r="D18" s="144" t="s">
        <v>50</v>
      </c>
      <c r="E18" s="144"/>
      <c r="F18" s="145" t="s">
        <v>123</v>
      </c>
      <c r="G18" s="145"/>
      <c r="H18" s="146"/>
      <c r="I18" s="146"/>
    </row>
    <row r="19" s="138" customFormat="1" customHeight="1" spans="1:9">
      <c r="A19" s="147"/>
      <c r="B19" s="155" t="s">
        <v>27</v>
      </c>
      <c r="C19" s="143" t="s">
        <v>38</v>
      </c>
      <c r="D19" s="144" t="s">
        <v>134</v>
      </c>
      <c r="E19" s="144" t="s">
        <v>91</v>
      </c>
      <c r="F19" s="145" t="s">
        <v>58</v>
      </c>
      <c r="G19" s="145" t="s">
        <v>106</v>
      </c>
      <c r="H19" s="146" t="s">
        <v>15</v>
      </c>
      <c r="I19" s="146" t="s">
        <v>69</v>
      </c>
    </row>
    <row r="20" s="138" customFormat="1" customHeight="1" spans="1:9">
      <c r="A20" s="147"/>
      <c r="B20" s="143" t="s">
        <v>78</v>
      </c>
      <c r="C20" s="143" t="s">
        <v>30</v>
      </c>
      <c r="D20" s="144" t="s">
        <v>94</v>
      </c>
      <c r="E20" s="144" t="s">
        <v>33</v>
      </c>
      <c r="F20" s="145" t="s">
        <v>43</v>
      </c>
      <c r="G20" s="145" t="s">
        <v>47</v>
      </c>
      <c r="H20" s="146" t="s">
        <v>45</v>
      </c>
      <c r="I20" s="146" t="s">
        <v>7</v>
      </c>
    </row>
    <row r="21" s="138" customFormat="1" customHeight="1" spans="1:9">
      <c r="A21" s="147"/>
      <c r="B21" s="143" t="s">
        <v>88</v>
      </c>
      <c r="C21" s="143" t="s">
        <v>85</v>
      </c>
      <c r="D21" s="144" t="s">
        <v>84</v>
      </c>
      <c r="E21" s="144" t="s">
        <v>39</v>
      </c>
      <c r="F21" s="145" t="s">
        <v>28</v>
      </c>
      <c r="G21" s="145" t="s">
        <v>21</v>
      </c>
      <c r="H21" s="146" t="s">
        <v>89</v>
      </c>
      <c r="I21" s="146" t="s">
        <v>31</v>
      </c>
    </row>
    <row r="22" s="138" customFormat="1" customHeight="1" spans="1:9">
      <c r="A22" s="147"/>
      <c r="B22" s="143" t="s">
        <v>25</v>
      </c>
      <c r="C22" s="143" t="s">
        <v>100</v>
      </c>
      <c r="D22" s="144" t="s">
        <v>86</v>
      </c>
      <c r="E22" s="144" t="s">
        <v>73</v>
      </c>
      <c r="F22" s="145" t="s">
        <v>132</v>
      </c>
      <c r="G22" s="145" t="s">
        <v>113</v>
      </c>
      <c r="H22" s="146" t="s">
        <v>19</v>
      </c>
      <c r="I22" s="146" t="s">
        <v>13</v>
      </c>
    </row>
    <row r="23" s="138" customFormat="1" customHeight="1" spans="1:9">
      <c r="A23" s="147"/>
      <c r="B23" s="143" t="s">
        <v>70</v>
      </c>
      <c r="C23" s="143" t="s">
        <v>117</v>
      </c>
      <c r="D23" s="144" t="s">
        <v>87</v>
      </c>
      <c r="E23" s="144" t="s">
        <v>36</v>
      </c>
      <c r="F23" s="145" t="s">
        <v>119</v>
      </c>
      <c r="G23" s="145" t="s">
        <v>10</v>
      </c>
      <c r="H23" s="146" t="s">
        <v>59</v>
      </c>
      <c r="I23" s="146" t="s">
        <v>53</v>
      </c>
    </row>
    <row r="24" s="138" customFormat="1" customHeight="1" spans="1:9">
      <c r="A24" s="147"/>
      <c r="B24" s="143" t="s">
        <v>126</v>
      </c>
      <c r="C24" s="143" t="s">
        <v>96</v>
      </c>
      <c r="D24" s="144" t="s">
        <v>81</v>
      </c>
      <c r="E24" s="144" t="s">
        <v>68</v>
      </c>
      <c r="F24" s="145" t="s">
        <v>87</v>
      </c>
      <c r="G24" s="145" t="s">
        <v>114</v>
      </c>
      <c r="H24" s="146" t="s">
        <v>130</v>
      </c>
      <c r="I24" s="146" t="s">
        <v>53</v>
      </c>
    </row>
    <row r="25" s="138" customFormat="1" customHeight="1" spans="1:9">
      <c r="A25" s="148"/>
      <c r="B25" s="156"/>
      <c r="C25" s="157"/>
      <c r="D25" s="151" t="s">
        <v>135</v>
      </c>
      <c r="E25" s="152"/>
      <c r="F25" s="153"/>
      <c r="G25" s="153"/>
      <c r="H25" s="153"/>
      <c r="I25" s="154"/>
    </row>
    <row r="26" customHeight="1" spans="1:9">
      <c r="A26" s="141" t="s">
        <v>425</v>
      </c>
      <c r="B26" s="142"/>
      <c r="C26" s="143"/>
      <c r="D26" s="144"/>
      <c r="E26" s="144"/>
      <c r="F26" s="145"/>
      <c r="G26" s="145"/>
      <c r="H26" s="146" t="s">
        <v>87</v>
      </c>
      <c r="I26" s="146"/>
    </row>
    <row r="27" customHeight="1" spans="1:9">
      <c r="A27" s="147"/>
      <c r="B27" s="155" t="s">
        <v>15</v>
      </c>
      <c r="C27" s="143" t="s">
        <v>38</v>
      </c>
      <c r="D27" s="144" t="s">
        <v>27</v>
      </c>
      <c r="E27" s="144" t="s">
        <v>43</v>
      </c>
      <c r="F27" s="145" t="s">
        <v>123</v>
      </c>
      <c r="G27" s="145" t="s">
        <v>91</v>
      </c>
      <c r="H27" s="146" t="s">
        <v>134</v>
      </c>
      <c r="I27" s="146" t="s">
        <v>58</v>
      </c>
    </row>
    <row r="28" customHeight="1" spans="1:9">
      <c r="A28" s="147"/>
      <c r="B28" s="143" t="s">
        <v>45</v>
      </c>
      <c r="C28" s="143" t="s">
        <v>7</v>
      </c>
      <c r="D28" s="144" t="s">
        <v>78</v>
      </c>
      <c r="E28" s="144" t="s">
        <v>30</v>
      </c>
      <c r="F28" s="145" t="s">
        <v>86</v>
      </c>
      <c r="G28" s="145" t="s">
        <v>88</v>
      </c>
      <c r="H28" s="146" t="s">
        <v>69</v>
      </c>
      <c r="I28" s="146" t="s">
        <v>50</v>
      </c>
    </row>
    <row r="29" customHeight="1" spans="1:9">
      <c r="A29" s="147"/>
      <c r="B29" s="143" t="s">
        <v>89</v>
      </c>
      <c r="C29" s="143" t="s">
        <v>63</v>
      </c>
      <c r="D29" s="144" t="s">
        <v>132</v>
      </c>
      <c r="E29" s="144" t="s">
        <v>85</v>
      </c>
      <c r="F29" s="145" t="s">
        <v>33</v>
      </c>
      <c r="G29" s="145" t="s">
        <v>39</v>
      </c>
      <c r="H29" s="146" t="s">
        <v>28</v>
      </c>
      <c r="I29" s="146" t="s">
        <v>31</v>
      </c>
    </row>
    <row r="30" customHeight="1" spans="1:9">
      <c r="A30" s="147"/>
      <c r="B30" s="143" t="s">
        <v>53</v>
      </c>
      <c r="C30" s="143" t="s">
        <v>21</v>
      </c>
      <c r="D30" s="144" t="s">
        <v>100</v>
      </c>
      <c r="E30" s="144" t="s">
        <v>84</v>
      </c>
      <c r="F30" s="145" t="s">
        <v>73</v>
      </c>
      <c r="G30" s="145" t="s">
        <v>19</v>
      </c>
      <c r="H30" s="146" t="s">
        <v>124</v>
      </c>
      <c r="I30" s="146" t="s">
        <v>25</v>
      </c>
    </row>
    <row r="31" customHeight="1" spans="1:9">
      <c r="A31" s="147"/>
      <c r="B31" s="143" t="s">
        <v>126</v>
      </c>
      <c r="C31" s="143" t="s">
        <v>59</v>
      </c>
      <c r="D31" s="144" t="s">
        <v>10</v>
      </c>
      <c r="E31" s="144" t="s">
        <v>70</v>
      </c>
      <c r="F31" s="145" t="s">
        <v>81</v>
      </c>
      <c r="G31" s="145" t="s">
        <v>36</v>
      </c>
      <c r="H31" s="146" t="s">
        <v>47</v>
      </c>
      <c r="I31" s="146" t="s">
        <v>113</v>
      </c>
    </row>
    <row r="32" customHeight="1" spans="1:9">
      <c r="A32" s="147"/>
      <c r="B32" s="143" t="s">
        <v>117</v>
      </c>
      <c r="C32" s="143" t="s">
        <v>114</v>
      </c>
      <c r="D32" s="144" t="s">
        <v>130</v>
      </c>
      <c r="E32" s="144" t="s">
        <v>106</v>
      </c>
      <c r="F32" s="145" t="s">
        <v>13</v>
      </c>
      <c r="G32" s="145" t="s">
        <v>96</v>
      </c>
      <c r="H32" s="146" t="s">
        <v>68</v>
      </c>
      <c r="I32" s="146" t="s">
        <v>119</v>
      </c>
    </row>
    <row r="33" customHeight="1" spans="1:9">
      <c r="A33" s="148"/>
      <c r="B33" s="156"/>
      <c r="C33" s="157"/>
      <c r="D33" s="151" t="s">
        <v>135</v>
      </c>
      <c r="E33" s="152"/>
      <c r="F33" s="153"/>
      <c r="G33" s="153"/>
      <c r="H33" s="153"/>
      <c r="I33" s="154"/>
    </row>
    <row r="34" customHeight="1" spans="1:9">
      <c r="A34" s="141" t="s">
        <v>426</v>
      </c>
      <c r="B34" s="142"/>
      <c r="C34" s="143"/>
      <c r="D34" s="144"/>
      <c r="E34" s="144"/>
      <c r="F34" s="145" t="s">
        <v>87</v>
      </c>
      <c r="G34" s="145" t="s">
        <v>63</v>
      </c>
      <c r="H34" s="146"/>
      <c r="I34" s="146"/>
    </row>
    <row r="35" customHeight="1" spans="1:9">
      <c r="A35" s="147"/>
      <c r="B35" s="155" t="s">
        <v>86</v>
      </c>
      <c r="C35" s="143" t="s">
        <v>134</v>
      </c>
      <c r="D35" s="144" t="s">
        <v>50</v>
      </c>
      <c r="E35" s="144" t="s">
        <v>27</v>
      </c>
      <c r="F35" s="145" t="s">
        <v>43</v>
      </c>
      <c r="G35" s="145" t="s">
        <v>15</v>
      </c>
      <c r="H35" s="146" t="s">
        <v>123</v>
      </c>
      <c r="I35" s="146" t="s">
        <v>69</v>
      </c>
    </row>
    <row r="36" customHeight="1" spans="1:9">
      <c r="A36" s="147"/>
      <c r="B36" s="143" t="s">
        <v>124</v>
      </c>
      <c r="C36" s="143" t="s">
        <v>132</v>
      </c>
      <c r="D36" s="144" t="s">
        <v>88</v>
      </c>
      <c r="E36" s="144" t="s">
        <v>58</v>
      </c>
      <c r="F36" s="145" t="s">
        <v>91</v>
      </c>
      <c r="G36" s="145" t="s">
        <v>38</v>
      </c>
      <c r="H36" s="146" t="s">
        <v>45</v>
      </c>
      <c r="I36" s="146" t="s">
        <v>78</v>
      </c>
    </row>
    <row r="37" customHeight="1" spans="1:9">
      <c r="A37" s="147"/>
      <c r="B37" s="143" t="s">
        <v>33</v>
      </c>
      <c r="C37" s="143" t="s">
        <v>30</v>
      </c>
      <c r="D37" s="144" t="s">
        <v>89</v>
      </c>
      <c r="E37" s="144" t="s">
        <v>85</v>
      </c>
      <c r="F37" s="145" t="s">
        <v>7</v>
      </c>
      <c r="G37" s="145" t="s">
        <v>31</v>
      </c>
      <c r="H37" s="146" t="s">
        <v>100</v>
      </c>
      <c r="I37" s="146" t="s">
        <v>39</v>
      </c>
    </row>
    <row r="38" customHeight="1" spans="1:9">
      <c r="A38" s="147"/>
      <c r="B38" s="143" t="s">
        <v>73</v>
      </c>
      <c r="C38" s="143" t="s">
        <v>21</v>
      </c>
      <c r="D38" s="144" t="s">
        <v>28</v>
      </c>
      <c r="E38" s="144" t="s">
        <v>47</v>
      </c>
      <c r="F38" s="145" t="s">
        <v>53</v>
      </c>
      <c r="G38" s="145" t="s">
        <v>84</v>
      </c>
      <c r="H38" s="146" t="s">
        <v>113</v>
      </c>
      <c r="I38" s="146" t="s">
        <v>10</v>
      </c>
    </row>
    <row r="39" customHeight="1" spans="1:9">
      <c r="A39" s="147"/>
      <c r="B39" s="143" t="s">
        <v>114</v>
      </c>
      <c r="C39" s="143" t="s">
        <v>126</v>
      </c>
      <c r="D39" s="144" t="s">
        <v>70</v>
      </c>
      <c r="E39" s="144" t="s">
        <v>19</v>
      </c>
      <c r="F39" s="145" t="s">
        <v>119</v>
      </c>
      <c r="G39" s="145" t="s">
        <v>13</v>
      </c>
      <c r="H39" s="146" t="s">
        <v>25</v>
      </c>
      <c r="I39" s="146" t="s">
        <v>59</v>
      </c>
    </row>
    <row r="40" customHeight="1" spans="1:9">
      <c r="A40" s="147"/>
      <c r="B40" s="143" t="s">
        <v>106</v>
      </c>
      <c r="C40" s="143" t="s">
        <v>117</v>
      </c>
      <c r="D40" s="144" t="s">
        <v>96</v>
      </c>
      <c r="E40" s="144" t="s">
        <v>130</v>
      </c>
      <c r="F40" s="145" t="s">
        <v>135</v>
      </c>
      <c r="G40" s="145" t="s">
        <v>68</v>
      </c>
      <c r="H40" s="146" t="s">
        <v>36</v>
      </c>
      <c r="I40" s="146" t="s">
        <v>81</v>
      </c>
    </row>
    <row r="41" customHeight="1" spans="1:9">
      <c r="A41" s="148"/>
      <c r="B41" s="156"/>
      <c r="C41" s="157"/>
      <c r="D41" s="151"/>
      <c r="E41" s="152"/>
      <c r="F41" s="153"/>
      <c r="G41" s="153"/>
      <c r="H41" s="153"/>
      <c r="I41" s="154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25" customWidth="1"/>
    <col min="2" max="2" width="20.5545454545455" style="126" customWidth="1"/>
    <col min="3" max="3" width="61.9" style="127" customWidth="1"/>
  </cols>
  <sheetData>
    <row r="1" spans="1:3">
      <c r="A1" s="128" t="s">
        <v>427</v>
      </c>
      <c r="B1" s="129" t="s">
        <v>428</v>
      </c>
      <c r="C1" s="130" t="s">
        <v>229</v>
      </c>
    </row>
    <row r="2" spans="1:3">
      <c r="A2" s="131" t="s">
        <v>1</v>
      </c>
      <c r="B2" s="126" t="s">
        <v>429</v>
      </c>
      <c r="C2" s="127" t="s">
        <v>430</v>
      </c>
    </row>
    <row r="3" spans="1:3">
      <c r="A3" s="131"/>
      <c r="B3" s="126" t="s">
        <v>431</v>
      </c>
      <c r="C3" s="127" t="s">
        <v>432</v>
      </c>
    </row>
    <row r="4" spans="1:3">
      <c r="A4" s="131"/>
      <c r="B4" s="126" t="s">
        <v>433</v>
      </c>
      <c r="C4" s="127" t="s">
        <v>434</v>
      </c>
    </row>
    <row r="5" spans="1:3">
      <c r="A5" s="131"/>
      <c r="B5" s="126" t="s">
        <v>435</v>
      </c>
      <c r="C5" s="127" t="s">
        <v>436</v>
      </c>
    </row>
    <row r="6" spans="1:3">
      <c r="A6" s="131"/>
      <c r="B6" s="126" t="s">
        <v>437</v>
      </c>
      <c r="C6" s="127" t="s">
        <v>438</v>
      </c>
    </row>
    <row r="7" spans="1:3">
      <c r="A7" s="131"/>
      <c r="B7" s="126" t="s">
        <v>439</v>
      </c>
      <c r="C7" s="127" t="s">
        <v>440</v>
      </c>
    </row>
    <row r="8" spans="1:3">
      <c r="A8" s="131"/>
      <c r="B8" s="126" t="s">
        <v>441</v>
      </c>
      <c r="C8" s="127" t="s">
        <v>442</v>
      </c>
    </row>
    <row r="9" spans="1:3">
      <c r="A9" s="131"/>
      <c r="B9" s="126" t="s">
        <v>443</v>
      </c>
      <c r="C9" s="127" t="s">
        <v>444</v>
      </c>
    </row>
    <row r="10" spans="1:3">
      <c r="A10" s="131"/>
      <c r="B10" s="126" t="s">
        <v>445</v>
      </c>
      <c r="C10" s="127" t="s">
        <v>446</v>
      </c>
    </row>
    <row r="11" spans="1:3">
      <c r="A11" s="131"/>
      <c r="B11" s="126" t="s">
        <v>447</v>
      </c>
      <c r="C11" s="127" t="s">
        <v>448</v>
      </c>
    </row>
    <row r="12" spans="1:3">
      <c r="A12" s="131"/>
      <c r="B12" s="126" t="s">
        <v>449</v>
      </c>
      <c r="C12" s="127" t="s">
        <v>450</v>
      </c>
    </row>
    <row r="13" spans="1:3">
      <c r="A13" s="131"/>
      <c r="B13" s="126" t="s">
        <v>451</v>
      </c>
      <c r="C13" s="127" t="s">
        <v>452</v>
      </c>
    </row>
    <row r="14" spans="1:3">
      <c r="A14" s="131"/>
      <c r="B14" s="126" t="s">
        <v>453</v>
      </c>
      <c r="C14" s="127" t="s">
        <v>454</v>
      </c>
    </row>
    <row r="15" spans="1:3">
      <c r="A15" s="131"/>
      <c r="B15" s="126" t="s">
        <v>455</v>
      </c>
      <c r="C15" s="127" t="s">
        <v>456</v>
      </c>
    </row>
    <row r="16" spans="1:3">
      <c r="A16" s="131"/>
      <c r="B16" s="126" t="s">
        <v>457</v>
      </c>
      <c r="C16" s="127" t="s">
        <v>458</v>
      </c>
    </row>
    <row r="17" spans="1:3">
      <c r="A17" s="131"/>
      <c r="B17" s="126" t="s">
        <v>459</v>
      </c>
      <c r="C17" s="127" t="s">
        <v>460</v>
      </c>
    </row>
    <row r="18" spans="1:3">
      <c r="A18" s="131"/>
      <c r="B18" s="126" t="s">
        <v>461</v>
      </c>
      <c r="C18" s="127" t="s">
        <v>462</v>
      </c>
    </row>
    <row r="19" spans="1:3">
      <c r="A19" s="131"/>
      <c r="B19" s="126" t="s">
        <v>463</v>
      </c>
      <c r="C19" s="127" t="s">
        <v>464</v>
      </c>
    </row>
    <row r="20" spans="1:3">
      <c r="A20" s="131"/>
      <c r="B20" s="126" t="s">
        <v>465</v>
      </c>
      <c r="C20" s="127" t="s">
        <v>466</v>
      </c>
    </row>
    <row r="21" spans="1:3">
      <c r="A21" s="131"/>
      <c r="B21" s="126" t="s">
        <v>465</v>
      </c>
      <c r="C21" s="127" t="s">
        <v>467</v>
      </c>
    </row>
    <row r="22" spans="1:3">
      <c r="A22" s="131"/>
      <c r="B22" s="126" t="s">
        <v>468</v>
      </c>
      <c r="C22" s="127" t="s">
        <v>469</v>
      </c>
    </row>
    <row r="23" spans="1:3">
      <c r="A23" s="131"/>
      <c r="B23" s="126" t="s">
        <v>470</v>
      </c>
      <c r="C23" s="127" t="s">
        <v>471</v>
      </c>
    </row>
    <row r="24" spans="1:3">
      <c r="A24" s="131"/>
      <c r="B24" s="126" t="s">
        <v>472</v>
      </c>
      <c r="C24" s="127" t="s">
        <v>473</v>
      </c>
    </row>
    <row r="25" spans="1:3">
      <c r="A25" s="132" t="s">
        <v>2</v>
      </c>
      <c r="B25" s="126" t="s">
        <v>474</v>
      </c>
      <c r="C25" s="127" t="s">
        <v>475</v>
      </c>
    </row>
    <row r="26" spans="1:3">
      <c r="A26" s="132"/>
      <c r="B26" s="126" t="s">
        <v>476</v>
      </c>
      <c r="C26" s="127" t="s">
        <v>477</v>
      </c>
    </row>
    <row r="27" spans="1:3">
      <c r="A27" s="132"/>
      <c r="B27" s="126" t="s">
        <v>478</v>
      </c>
      <c r="C27" s="127" t="s">
        <v>479</v>
      </c>
    </row>
    <row r="28" spans="1:3">
      <c r="A28" s="132"/>
      <c r="B28" s="126" t="s">
        <v>480</v>
      </c>
      <c r="C28" s="127" t="s">
        <v>481</v>
      </c>
    </row>
    <row r="29" spans="1:3">
      <c r="A29" s="132"/>
      <c r="B29" s="126" t="s">
        <v>482</v>
      </c>
      <c r="C29" s="127" t="s">
        <v>483</v>
      </c>
    </row>
    <row r="30" spans="1:3">
      <c r="A30" s="132"/>
      <c r="B30" s="126" t="s">
        <v>484</v>
      </c>
      <c r="C30" s="127" t="s">
        <v>485</v>
      </c>
    </row>
    <row r="31" spans="1:3">
      <c r="A31" s="132"/>
      <c r="B31" s="126" t="s">
        <v>486</v>
      </c>
      <c r="C31" s="127" t="s">
        <v>487</v>
      </c>
    </row>
    <row r="32" spans="1:3">
      <c r="A32" s="132"/>
      <c r="B32" s="126" t="s">
        <v>488</v>
      </c>
      <c r="C32" s="127" t="s">
        <v>489</v>
      </c>
    </row>
    <row r="33" spans="1:3">
      <c r="A33" s="132"/>
      <c r="B33" s="126" t="s">
        <v>490</v>
      </c>
      <c r="C33" s="127" t="s">
        <v>491</v>
      </c>
    </row>
    <row r="34" spans="1:3">
      <c r="A34" s="132"/>
      <c r="B34" s="126" t="s">
        <v>492</v>
      </c>
      <c r="C34" s="127" t="s">
        <v>493</v>
      </c>
    </row>
    <row r="35" spans="1:3">
      <c r="A35" s="132"/>
      <c r="B35" s="126" t="s">
        <v>494</v>
      </c>
      <c r="C35" s="127" t="s">
        <v>495</v>
      </c>
    </row>
    <row r="36" spans="1:3">
      <c r="A36" s="132"/>
      <c r="B36" s="126" t="s">
        <v>496</v>
      </c>
      <c r="C36" s="127" t="s">
        <v>497</v>
      </c>
    </row>
    <row r="37" spans="1:3">
      <c r="A37" s="133"/>
      <c r="B37" s="126" t="s">
        <v>498</v>
      </c>
      <c r="C37" s="127" t="s">
        <v>499</v>
      </c>
    </row>
    <row r="38" spans="1:3">
      <c r="A38" s="134" t="s">
        <v>3</v>
      </c>
      <c r="B38" s="126" t="s">
        <v>500</v>
      </c>
      <c r="C38" s="127" t="s">
        <v>501</v>
      </c>
    </row>
    <row r="39" spans="1:3">
      <c r="A39" s="135"/>
      <c r="B39" s="126" t="s">
        <v>502</v>
      </c>
      <c r="C39" s="127" t="s">
        <v>503</v>
      </c>
    </row>
    <row r="40" spans="1:3">
      <c r="A40" s="135"/>
      <c r="B40" s="126" t="s">
        <v>504</v>
      </c>
      <c r="C40" s="127" t="s">
        <v>505</v>
      </c>
    </row>
    <row r="41" spans="1:3">
      <c r="A41" s="135"/>
      <c r="B41" s="126" t="s">
        <v>506</v>
      </c>
      <c r="C41" s="127" t="s">
        <v>438</v>
      </c>
    </row>
    <row r="42" spans="1:3">
      <c r="A42" s="135"/>
      <c r="B42" s="126" t="s">
        <v>507</v>
      </c>
      <c r="C42" s="127" t="s">
        <v>508</v>
      </c>
    </row>
    <row r="43" spans="1:3">
      <c r="A43" s="135"/>
      <c r="B43" s="126" t="s">
        <v>509</v>
      </c>
      <c r="C43" s="127" t="s">
        <v>510</v>
      </c>
    </row>
    <row r="44" spans="1:3">
      <c r="A44" s="135"/>
      <c r="B44" s="126" t="s">
        <v>511</v>
      </c>
      <c r="C44" s="127" t="s">
        <v>512</v>
      </c>
    </row>
    <row r="45" spans="1:3">
      <c r="A45" s="135"/>
      <c r="B45" s="126" t="s">
        <v>513</v>
      </c>
      <c r="C45" s="127" t="s">
        <v>514</v>
      </c>
    </row>
    <row r="46" spans="1:3">
      <c r="A46" s="135"/>
      <c r="B46" s="126" t="s">
        <v>515</v>
      </c>
      <c r="C46" s="127" t="s">
        <v>516</v>
      </c>
    </row>
    <row r="47" spans="1:3">
      <c r="A47" s="135"/>
      <c r="B47" s="126" t="s">
        <v>517</v>
      </c>
      <c r="C47" s="127" t="s">
        <v>518</v>
      </c>
    </row>
    <row r="48" spans="1:3">
      <c r="A48" s="135"/>
      <c r="B48" s="126" t="s">
        <v>519</v>
      </c>
      <c r="C48" s="127" t="s">
        <v>520</v>
      </c>
    </row>
    <row r="49" spans="1:3">
      <c r="A49" s="135"/>
      <c r="B49" s="126" t="s">
        <v>521</v>
      </c>
      <c r="C49" s="127" t="s">
        <v>522</v>
      </c>
    </row>
    <row r="50" spans="1:3">
      <c r="A50" s="136"/>
      <c r="B50" s="126" t="s">
        <v>523</v>
      </c>
      <c r="C50" s="127" t="s">
        <v>524</v>
      </c>
    </row>
    <row r="51" customFormat="1" spans="1:3">
      <c r="A51" s="125"/>
      <c r="B51" s="126" t="s">
        <v>525</v>
      </c>
      <c r="C51" s="127"/>
    </row>
    <row r="52" customFormat="1" spans="1:3">
      <c r="A52" s="125"/>
      <c r="B52" s="126" t="s">
        <v>525</v>
      </c>
      <c r="C52" s="127"/>
    </row>
    <row r="53" customFormat="1" spans="1:3">
      <c r="A53" s="125"/>
      <c r="B53" s="126" t="s">
        <v>525</v>
      </c>
      <c r="C53" s="127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109" customWidth="1"/>
    <col min="2" max="2" width="7.21818181818182" style="110" customWidth="1"/>
    <col min="3" max="3" width="9.21818181818182" style="111" customWidth="1"/>
    <col min="4" max="4" width="62.4545454545455" style="112" customWidth="1"/>
  </cols>
  <sheetData>
    <row r="1" spans="1:4">
      <c r="A1" s="113" t="s">
        <v>526</v>
      </c>
      <c r="B1" s="114" t="s">
        <v>0</v>
      </c>
      <c r="C1" s="115" t="s">
        <v>527</v>
      </c>
      <c r="D1" s="116" t="s">
        <v>528</v>
      </c>
    </row>
    <row r="2" spans="1:4">
      <c r="A2" s="117">
        <v>1</v>
      </c>
      <c r="B2" s="118" t="s">
        <v>7</v>
      </c>
      <c r="C2" s="119">
        <v>20111216</v>
      </c>
      <c r="D2" s="112" t="s">
        <v>529</v>
      </c>
    </row>
    <row r="3" spans="1:4">
      <c r="A3" s="117">
        <v>2</v>
      </c>
      <c r="B3" s="118" t="s">
        <v>10</v>
      </c>
      <c r="C3" s="120">
        <v>20111227</v>
      </c>
      <c r="D3" s="112" t="s">
        <v>530</v>
      </c>
    </row>
    <row r="4" spans="1:4">
      <c r="A4" s="117">
        <v>3</v>
      </c>
      <c r="B4" s="118" t="s">
        <v>13</v>
      </c>
      <c r="C4" s="120">
        <v>20120518</v>
      </c>
      <c r="D4" s="112" t="s">
        <v>531</v>
      </c>
    </row>
    <row r="5" customFormat="1" spans="1:4">
      <c r="A5" s="117">
        <v>4</v>
      </c>
      <c r="B5" s="118" t="s">
        <v>15</v>
      </c>
      <c r="C5" s="120">
        <v>20120714</v>
      </c>
      <c r="D5" s="112" t="s">
        <v>17</v>
      </c>
    </row>
    <row r="6" spans="1:4">
      <c r="A6" s="117">
        <v>5</v>
      </c>
      <c r="B6" s="118" t="s">
        <v>19</v>
      </c>
      <c r="C6" s="120">
        <v>20120504</v>
      </c>
      <c r="D6" s="112" t="s">
        <v>374</v>
      </c>
    </row>
    <row r="7" spans="1:4">
      <c r="A7" s="117">
        <v>6</v>
      </c>
      <c r="B7" s="118" t="s">
        <v>21</v>
      </c>
      <c r="C7" s="120">
        <v>20120809</v>
      </c>
      <c r="D7" s="112" t="s">
        <v>532</v>
      </c>
    </row>
    <row r="8" spans="1:4">
      <c r="A8" s="117">
        <v>7</v>
      </c>
      <c r="B8" s="118" t="s">
        <v>25</v>
      </c>
      <c r="C8" s="120">
        <v>20120227</v>
      </c>
      <c r="D8" s="112" t="s">
        <v>533</v>
      </c>
    </row>
    <row r="9" spans="1:4">
      <c r="A9" s="117">
        <v>8</v>
      </c>
      <c r="B9" s="118" t="s">
        <v>27</v>
      </c>
      <c r="C9" s="120">
        <v>20120127</v>
      </c>
      <c r="D9" s="112" t="s">
        <v>534</v>
      </c>
    </row>
    <row r="10" spans="1:4">
      <c r="A10" s="117">
        <v>9</v>
      </c>
      <c r="B10" s="118" t="s">
        <v>28</v>
      </c>
      <c r="C10" s="120">
        <v>20111202</v>
      </c>
      <c r="D10" s="112" t="s">
        <v>535</v>
      </c>
    </row>
    <row r="11" customFormat="1" spans="1:4">
      <c r="A11" s="117">
        <v>10</v>
      </c>
      <c r="B11" s="118" t="s">
        <v>30</v>
      </c>
      <c r="C11" s="120">
        <v>20120623</v>
      </c>
      <c r="D11" s="112"/>
    </row>
    <row r="12" spans="1:4">
      <c r="A12" s="117">
        <v>11</v>
      </c>
      <c r="B12" s="118" t="s">
        <v>31</v>
      </c>
      <c r="C12" s="120">
        <v>20111024</v>
      </c>
      <c r="D12" s="112" t="s">
        <v>536</v>
      </c>
    </row>
    <row r="13" spans="1:4">
      <c r="A13" s="117">
        <v>12</v>
      </c>
      <c r="B13" s="118" t="s">
        <v>33</v>
      </c>
      <c r="C13" s="120">
        <v>20110908</v>
      </c>
      <c r="D13" s="112" t="s">
        <v>537</v>
      </c>
    </row>
    <row r="14" spans="1:4">
      <c r="A14" s="117">
        <v>13</v>
      </c>
      <c r="B14" s="118" t="s">
        <v>36</v>
      </c>
      <c r="C14" s="120">
        <v>20120228</v>
      </c>
      <c r="D14" s="112" t="s">
        <v>538</v>
      </c>
    </row>
    <row r="15" customFormat="1" spans="1:4">
      <c r="A15" s="117">
        <v>14</v>
      </c>
      <c r="B15" s="118" t="s">
        <v>38</v>
      </c>
      <c r="C15" s="120">
        <v>20110904</v>
      </c>
      <c r="D15" s="112"/>
    </row>
    <row r="16" spans="1:4">
      <c r="A16" s="117">
        <v>15</v>
      </c>
      <c r="B16" s="118" t="s">
        <v>39</v>
      </c>
      <c r="C16" s="119">
        <v>20111201</v>
      </c>
      <c r="D16" s="112" t="s">
        <v>539</v>
      </c>
    </row>
    <row r="17" spans="1:4">
      <c r="A17" s="117">
        <v>16</v>
      </c>
      <c r="B17" s="118" t="s">
        <v>43</v>
      </c>
      <c r="C17" s="120">
        <v>20120722</v>
      </c>
      <c r="D17" s="112" t="s">
        <v>540</v>
      </c>
    </row>
    <row r="18" customFormat="1" spans="1:4">
      <c r="A18" s="117">
        <v>17</v>
      </c>
      <c r="B18" s="118" t="s">
        <v>45</v>
      </c>
      <c r="C18" s="120">
        <v>20111215</v>
      </c>
      <c r="D18" s="112"/>
    </row>
    <row r="19" customFormat="1" spans="1:4">
      <c r="A19" s="117">
        <v>18</v>
      </c>
      <c r="B19" s="118" t="s">
        <v>47</v>
      </c>
      <c r="C19" s="120">
        <v>20120509</v>
      </c>
      <c r="D19" s="112"/>
    </row>
    <row r="20" spans="1:4">
      <c r="A20" s="117">
        <v>19</v>
      </c>
      <c r="B20" s="118" t="s">
        <v>50</v>
      </c>
      <c r="C20" s="120">
        <v>20120530</v>
      </c>
      <c r="D20" s="112" t="s">
        <v>541</v>
      </c>
    </row>
    <row r="21" spans="1:4">
      <c r="A21" s="117">
        <v>20</v>
      </c>
      <c r="B21" s="118" t="s">
        <v>53</v>
      </c>
      <c r="C21" s="120">
        <v>20120827</v>
      </c>
      <c r="D21" s="112" t="s">
        <v>542</v>
      </c>
    </row>
    <row r="22" customFormat="1" spans="1:4">
      <c r="A22" s="117">
        <v>21</v>
      </c>
      <c r="B22" s="118" t="s">
        <v>58</v>
      </c>
      <c r="C22" s="120">
        <v>20120816</v>
      </c>
      <c r="D22" s="112"/>
    </row>
    <row r="23" spans="1:4">
      <c r="A23" s="117">
        <v>22</v>
      </c>
      <c r="B23" s="118" t="s">
        <v>59</v>
      </c>
      <c r="C23" s="120">
        <v>20120518</v>
      </c>
      <c r="D23" s="112" t="s">
        <v>543</v>
      </c>
    </row>
    <row r="24" spans="1:4">
      <c r="A24" s="117">
        <v>23</v>
      </c>
      <c r="B24" s="118" t="s">
        <v>63</v>
      </c>
      <c r="C24" s="120">
        <v>20120413</v>
      </c>
      <c r="D24" s="112" t="s">
        <v>544</v>
      </c>
    </row>
    <row r="25" spans="1:4">
      <c r="A25" s="117">
        <v>24</v>
      </c>
      <c r="B25" s="118" t="s">
        <v>68</v>
      </c>
      <c r="C25" s="120">
        <v>20120629</v>
      </c>
      <c r="D25" s="112" t="s">
        <v>545</v>
      </c>
    </row>
    <row r="26" spans="1:4">
      <c r="A26" s="117">
        <v>25</v>
      </c>
      <c r="B26" s="118" t="s">
        <v>69</v>
      </c>
      <c r="C26" s="120">
        <v>20111105</v>
      </c>
      <c r="D26" s="112" t="s">
        <v>546</v>
      </c>
    </row>
    <row r="27" spans="1:4">
      <c r="A27" s="117">
        <v>26</v>
      </c>
      <c r="B27" s="118" t="s">
        <v>70</v>
      </c>
      <c r="C27" s="120">
        <v>20120112</v>
      </c>
      <c r="D27" s="112" t="s">
        <v>547</v>
      </c>
    </row>
    <row r="28" spans="1:4">
      <c r="A28" s="117">
        <v>27</v>
      </c>
      <c r="B28" s="118" t="s">
        <v>73</v>
      </c>
      <c r="C28" s="120">
        <v>20111119</v>
      </c>
      <c r="D28" s="112" t="s">
        <v>548</v>
      </c>
    </row>
    <row r="29" customFormat="1" spans="1:4">
      <c r="A29" s="117">
        <v>28</v>
      </c>
      <c r="B29" s="118" t="s">
        <v>78</v>
      </c>
      <c r="C29" s="120">
        <v>20120110</v>
      </c>
      <c r="D29" s="112" t="s">
        <v>549</v>
      </c>
    </row>
    <row r="30" spans="1:4">
      <c r="A30" s="117">
        <v>29</v>
      </c>
      <c r="B30" s="118" t="s">
        <v>81</v>
      </c>
      <c r="C30" s="120">
        <v>20120331</v>
      </c>
      <c r="D30" s="112" t="s">
        <v>550</v>
      </c>
    </row>
    <row r="31" spans="1:4">
      <c r="A31" s="117">
        <v>30</v>
      </c>
      <c r="B31" s="118" t="s">
        <v>84</v>
      </c>
      <c r="C31" s="120">
        <v>20111109</v>
      </c>
      <c r="D31" s="112" t="s">
        <v>551</v>
      </c>
    </row>
    <row r="32" spans="1:4">
      <c r="A32" s="117">
        <v>31</v>
      </c>
      <c r="B32" s="118" t="s">
        <v>85</v>
      </c>
      <c r="C32" s="120">
        <v>20120824</v>
      </c>
      <c r="D32" s="112" t="s">
        <v>552</v>
      </c>
    </row>
    <row r="33" customFormat="1" spans="1:5">
      <c r="A33" s="117">
        <v>32</v>
      </c>
      <c r="B33" s="118" t="s">
        <v>86</v>
      </c>
      <c r="C33" s="120">
        <v>20120425</v>
      </c>
      <c r="D33" s="112"/>
    </row>
    <row r="34" spans="1:5">
      <c r="A34" s="117">
        <v>33</v>
      </c>
      <c r="B34" s="118" t="s">
        <v>87</v>
      </c>
      <c r="C34" s="120">
        <v>20120624</v>
      </c>
      <c r="D34" s="112" t="s">
        <v>553</v>
      </c>
    </row>
    <row r="35" customFormat="1" spans="1:5">
      <c r="A35" s="117">
        <v>34</v>
      </c>
      <c r="B35" s="118" t="s">
        <v>88</v>
      </c>
      <c r="C35" s="120">
        <v>20120507</v>
      </c>
      <c r="D35" s="112"/>
    </row>
    <row r="36" spans="1:5">
      <c r="A36" s="117">
        <v>35</v>
      </c>
      <c r="B36" s="118" t="s">
        <v>89</v>
      </c>
      <c r="C36" s="120">
        <v>20120603</v>
      </c>
      <c r="D36" s="112" t="s">
        <v>554</v>
      </c>
    </row>
    <row r="37" spans="1:5">
      <c r="A37" s="117">
        <v>36</v>
      </c>
      <c r="B37" s="118" t="s">
        <v>91</v>
      </c>
      <c r="C37" s="119">
        <v>20120326</v>
      </c>
      <c r="D37" s="112" t="s">
        <v>555</v>
      </c>
    </row>
    <row r="38" spans="1:5">
      <c r="A38" s="121">
        <v>37</v>
      </c>
      <c r="B38" s="121" t="s">
        <v>94</v>
      </c>
      <c r="C38" s="122">
        <v>20111106</v>
      </c>
      <c r="D38" s="123" t="s">
        <v>556</v>
      </c>
      <c r="E38" t="s">
        <v>557</v>
      </c>
    </row>
    <row r="39" spans="1:5">
      <c r="A39" s="117">
        <v>38</v>
      </c>
      <c r="B39" s="118" t="s">
        <v>96</v>
      </c>
      <c r="C39" s="120">
        <v>20120811</v>
      </c>
      <c r="D39" s="124" t="s">
        <v>558</v>
      </c>
    </row>
    <row r="40" spans="1:5">
      <c r="A40" s="117">
        <v>39</v>
      </c>
      <c r="B40" s="118" t="s">
        <v>100</v>
      </c>
      <c r="C40" s="120">
        <v>20111217</v>
      </c>
      <c r="D40" s="124" t="s">
        <v>559</v>
      </c>
    </row>
    <row r="41" spans="1:5">
      <c r="A41" s="117">
        <v>40</v>
      </c>
      <c r="B41" s="118" t="s">
        <v>106</v>
      </c>
      <c r="C41" s="120">
        <v>20111013</v>
      </c>
      <c r="D41" s="112" t="s">
        <v>560</v>
      </c>
      <c r="E41" t="s">
        <v>557</v>
      </c>
    </row>
    <row r="42" customFormat="1" spans="1:5">
      <c r="A42" s="117">
        <v>41</v>
      </c>
      <c r="B42" s="118" t="s">
        <v>113</v>
      </c>
      <c r="C42" s="120">
        <v>20111027</v>
      </c>
      <c r="D42" s="112"/>
    </row>
    <row r="43" spans="1:5">
      <c r="A43" s="117">
        <v>42</v>
      </c>
      <c r="B43" s="118" t="s">
        <v>114</v>
      </c>
      <c r="C43" s="120">
        <v>20120207</v>
      </c>
      <c r="D43" s="112" t="s">
        <v>561</v>
      </c>
    </row>
    <row r="44" customFormat="1" spans="1:5">
      <c r="A44" s="117">
        <v>43</v>
      </c>
      <c r="B44" s="118" t="s">
        <v>117</v>
      </c>
      <c r="C44" s="119">
        <v>20120508</v>
      </c>
      <c r="D44" s="112"/>
    </row>
    <row r="45" spans="1:5">
      <c r="A45" s="117">
        <v>44</v>
      </c>
      <c r="B45" s="118" t="s">
        <v>119</v>
      </c>
      <c r="C45" s="120">
        <v>20110929</v>
      </c>
      <c r="D45" s="112" t="s">
        <v>562</v>
      </c>
    </row>
    <row r="46" customFormat="1" spans="1:5">
      <c r="A46" s="117">
        <v>45</v>
      </c>
      <c r="B46" s="118" t="s">
        <v>123</v>
      </c>
      <c r="C46" s="120">
        <v>20111205</v>
      </c>
      <c r="D46" s="112"/>
    </row>
    <row r="47" spans="1:5">
      <c r="A47" s="117">
        <v>46</v>
      </c>
      <c r="B47" s="118" t="s">
        <v>124</v>
      </c>
      <c r="C47" s="120">
        <v>20120108</v>
      </c>
      <c r="D47" s="112" t="s">
        <v>563</v>
      </c>
      <c r="E47" t="s">
        <v>557</v>
      </c>
    </row>
    <row r="48" spans="1:5">
      <c r="A48" s="117">
        <v>47</v>
      </c>
      <c r="B48" s="118" t="s">
        <v>126</v>
      </c>
      <c r="C48" s="120">
        <v>20120311</v>
      </c>
      <c r="D48" s="112" t="s">
        <v>564</v>
      </c>
    </row>
    <row r="49" customFormat="1" spans="1:4">
      <c r="A49" s="117">
        <v>48</v>
      </c>
      <c r="B49" s="118" t="s">
        <v>130</v>
      </c>
      <c r="C49" s="120">
        <v>20110902</v>
      </c>
      <c r="D49" s="112"/>
    </row>
    <row r="50" spans="1:4">
      <c r="A50" s="117">
        <v>49</v>
      </c>
      <c r="B50" s="118" t="s">
        <v>132</v>
      </c>
      <c r="C50" s="120">
        <v>20120723</v>
      </c>
      <c r="D50" s="112" t="s">
        <v>565</v>
      </c>
    </row>
    <row r="51" customFormat="1" spans="1:4">
      <c r="A51" s="117">
        <v>50</v>
      </c>
      <c r="B51" s="118" t="s">
        <v>134</v>
      </c>
      <c r="C51" s="120">
        <v>20120101</v>
      </c>
      <c r="D51" s="112"/>
    </row>
    <row r="52" spans="1:4">
      <c r="A52" s="117">
        <v>51</v>
      </c>
      <c r="B52" s="118" t="s">
        <v>135</v>
      </c>
      <c r="C52" s="120">
        <v>20111220</v>
      </c>
      <c r="D52" s="112" t="s">
        <v>566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75" customWidth="1"/>
    <col min="2" max="2" width="8.72727272727273" style="76"/>
    <col min="3" max="3" width="7.55454545454545" style="77" customWidth="1"/>
    <col min="4" max="4" width="8.72727272727273" style="78"/>
    <col min="5" max="5" width="77.2727272727273" style="79" customWidth="1"/>
    <col min="6" max="16384" width="8.72727272727273" style="74"/>
  </cols>
  <sheetData>
    <row r="1" s="73" customFormat="1" spans="1:5">
      <c r="A1" s="80" t="s">
        <v>567</v>
      </c>
      <c r="B1" s="81" t="s">
        <v>568</v>
      </c>
      <c r="C1" s="82" t="s">
        <v>569</v>
      </c>
      <c r="D1" s="83"/>
      <c r="E1" s="84" t="s">
        <v>570</v>
      </c>
    </row>
    <row r="2" s="74" customFormat="1" ht="409" customHeight="1" spans="1:5">
      <c r="A2" s="85" t="s">
        <v>379</v>
      </c>
      <c r="B2" s="86" t="s">
        <v>287</v>
      </c>
      <c r="C2" s="87" t="s">
        <v>571</v>
      </c>
      <c r="D2" s="78" t="s">
        <v>572</v>
      </c>
      <c r="E2" s="79" t="s">
        <v>573</v>
      </c>
    </row>
    <row r="3" s="74" customFormat="1" ht="56" spans="1:5">
      <c r="A3" s="88"/>
      <c r="B3" s="89"/>
      <c r="C3" s="90"/>
      <c r="D3" s="78" t="s">
        <v>574</v>
      </c>
      <c r="E3" s="79" t="s">
        <v>575</v>
      </c>
    </row>
    <row r="4" s="74" customFormat="1" spans="1:5">
      <c r="A4" s="88"/>
      <c r="B4" s="89"/>
      <c r="C4" s="90"/>
      <c r="D4" s="78" t="s">
        <v>576</v>
      </c>
      <c r="E4" s="79" t="s">
        <v>577</v>
      </c>
    </row>
    <row r="5" s="74" customFormat="1" ht="56" spans="1:5">
      <c r="A5" s="88"/>
      <c r="B5" s="89"/>
      <c r="C5" s="90"/>
      <c r="D5" s="78" t="s">
        <v>578</v>
      </c>
      <c r="E5" s="79" t="s">
        <v>579</v>
      </c>
    </row>
    <row r="6" s="74" customFormat="1" ht="238" spans="1:5">
      <c r="A6" s="88"/>
      <c r="B6" s="89"/>
      <c r="C6" s="90"/>
      <c r="D6" s="78" t="s">
        <v>580</v>
      </c>
      <c r="E6" s="79" t="s">
        <v>581</v>
      </c>
    </row>
    <row r="7" s="74" customFormat="1" ht="238" spans="1:5">
      <c r="A7" s="88"/>
      <c r="B7" s="89"/>
      <c r="C7" s="87" t="s">
        <v>582</v>
      </c>
      <c r="D7" s="78" t="s">
        <v>583</v>
      </c>
      <c r="E7" s="79" t="s">
        <v>584</v>
      </c>
    </row>
    <row r="8" s="74" customFormat="1" ht="56" spans="1:5">
      <c r="A8" s="88"/>
      <c r="B8" s="89"/>
      <c r="C8" s="90"/>
      <c r="D8" s="78" t="s">
        <v>585</v>
      </c>
      <c r="E8" s="79" t="s">
        <v>586</v>
      </c>
    </row>
    <row r="9" s="74" customFormat="1" ht="84" spans="1:5">
      <c r="A9" s="88"/>
      <c r="B9" s="89"/>
      <c r="C9" s="90"/>
      <c r="D9" s="78" t="s">
        <v>587</v>
      </c>
      <c r="E9" s="79" t="s">
        <v>588</v>
      </c>
    </row>
    <row r="10" s="74" customFormat="1" ht="28" spans="1:5">
      <c r="A10" s="88"/>
      <c r="B10" s="89"/>
      <c r="C10" s="90"/>
      <c r="D10" s="78" t="s">
        <v>589</v>
      </c>
      <c r="E10" s="79" t="s">
        <v>590</v>
      </c>
    </row>
    <row r="11" s="74" customFormat="1" spans="1:5">
      <c r="A11" s="88"/>
      <c r="B11" s="89"/>
      <c r="C11" s="91"/>
      <c r="D11" s="78" t="s">
        <v>591</v>
      </c>
      <c r="E11" s="79" t="s">
        <v>592</v>
      </c>
    </row>
    <row r="12" s="74" customFormat="1" ht="154" spans="1:5">
      <c r="A12" s="88"/>
      <c r="B12" s="89"/>
      <c r="C12" s="77"/>
      <c r="D12" s="78" t="s">
        <v>593</v>
      </c>
      <c r="E12" s="79" t="s">
        <v>594</v>
      </c>
    </row>
    <row r="13" s="74" customFormat="1" ht="56" spans="1:5">
      <c r="A13" s="88"/>
      <c r="B13" s="89"/>
      <c r="C13" s="92" t="s">
        <v>595</v>
      </c>
      <c r="D13" s="83"/>
      <c r="E13" s="79" t="s">
        <v>596</v>
      </c>
    </row>
    <row r="14" s="74" customFormat="1" ht="84" spans="1:5">
      <c r="A14" s="88"/>
      <c r="B14" s="89"/>
      <c r="C14" s="92" t="s">
        <v>597</v>
      </c>
      <c r="D14" s="83"/>
      <c r="E14" s="79" t="s">
        <v>598</v>
      </c>
    </row>
    <row r="15" s="74" customFormat="1" ht="28" spans="1:5">
      <c r="A15" s="88"/>
      <c r="B15" s="89"/>
      <c r="C15" s="92" t="s">
        <v>599</v>
      </c>
      <c r="D15" s="83"/>
      <c r="E15" s="79" t="s">
        <v>600</v>
      </c>
    </row>
    <row r="16" s="74" customFormat="1" spans="1:5">
      <c r="A16" s="88"/>
      <c r="B16" s="89"/>
      <c r="C16" s="92" t="s">
        <v>601</v>
      </c>
      <c r="D16" s="83"/>
      <c r="E16" s="79"/>
    </row>
    <row r="17" s="74" customFormat="1" spans="1:5">
      <c r="A17" s="88"/>
      <c r="B17" s="89"/>
      <c r="C17" s="92" t="s">
        <v>602</v>
      </c>
      <c r="D17" s="83"/>
      <c r="E17" s="79" t="s">
        <v>603</v>
      </c>
    </row>
    <row r="18" s="74" customFormat="1" spans="1:5">
      <c r="A18" s="88"/>
      <c r="B18" s="89"/>
      <c r="C18" s="87" t="s">
        <v>604</v>
      </c>
      <c r="D18" s="78" t="s">
        <v>605</v>
      </c>
      <c r="E18" s="79" t="s">
        <v>606</v>
      </c>
    </row>
    <row r="19" s="74" customFormat="1" spans="1:5">
      <c r="A19" s="88"/>
      <c r="B19" s="89"/>
      <c r="C19" s="91"/>
      <c r="D19" s="78" t="s">
        <v>607</v>
      </c>
      <c r="E19" s="79" t="s">
        <v>608</v>
      </c>
    </row>
    <row r="20" s="74" customFormat="1" spans="1:5">
      <c r="A20" s="88"/>
      <c r="B20" s="89"/>
      <c r="C20" s="92" t="s">
        <v>609</v>
      </c>
      <c r="D20" s="83"/>
      <c r="E20" s="79"/>
    </row>
    <row r="21" s="74" customFormat="1" spans="1:5">
      <c r="A21" s="88"/>
      <c r="B21" s="89"/>
      <c r="C21" s="92" t="s">
        <v>610</v>
      </c>
      <c r="D21" s="83"/>
      <c r="E21" s="79" t="s">
        <v>611</v>
      </c>
    </row>
    <row r="22" s="74" customFormat="1" ht="28" spans="1:5">
      <c r="A22" s="88"/>
      <c r="B22" s="89"/>
      <c r="C22" s="92" t="s">
        <v>612</v>
      </c>
      <c r="D22" s="93"/>
      <c r="E22" s="79" t="s">
        <v>613</v>
      </c>
    </row>
    <row r="23" s="74" customFormat="1" spans="1:5">
      <c r="A23" s="88"/>
      <c r="B23" s="89"/>
      <c r="C23" s="77" t="s">
        <v>614</v>
      </c>
      <c r="D23" s="77"/>
      <c r="E23" s="79" t="s">
        <v>615</v>
      </c>
    </row>
    <row r="24" s="74" customFormat="1" spans="1:5">
      <c r="A24" s="88"/>
      <c r="B24" s="89"/>
      <c r="C24" s="77" t="s">
        <v>616</v>
      </c>
      <c r="D24" s="77"/>
      <c r="E24" s="79" t="s">
        <v>617</v>
      </c>
    </row>
    <row r="25" s="74" customFormat="1" ht="28" spans="1:5">
      <c r="A25" s="85" t="s">
        <v>377</v>
      </c>
      <c r="B25" s="86" t="s">
        <v>378</v>
      </c>
      <c r="C25" s="90" t="s">
        <v>571</v>
      </c>
      <c r="D25" s="94" t="s">
        <v>618</v>
      </c>
      <c r="E25" s="79" t="s">
        <v>619</v>
      </c>
    </row>
    <row r="26" s="74" customFormat="1" spans="1:5">
      <c r="A26" s="88"/>
      <c r="B26" s="89"/>
      <c r="C26" s="90"/>
      <c r="D26" s="78" t="s">
        <v>620</v>
      </c>
      <c r="E26" s="79" t="s">
        <v>621</v>
      </c>
    </row>
    <row r="27" s="74" customFormat="1" ht="28" spans="1:5">
      <c r="A27" s="88"/>
      <c r="B27" s="89"/>
      <c r="C27" s="90"/>
      <c r="D27" s="78" t="s">
        <v>622</v>
      </c>
      <c r="E27" s="79" t="s">
        <v>623</v>
      </c>
    </row>
    <row r="28" s="74" customFormat="1" ht="42" spans="1:5">
      <c r="A28" s="88"/>
      <c r="B28" s="89"/>
      <c r="C28" s="90"/>
      <c r="D28" s="78" t="s">
        <v>624</v>
      </c>
      <c r="E28" s="79" t="s">
        <v>625</v>
      </c>
    </row>
    <row r="29" s="74" customFormat="1" ht="42" spans="1:5">
      <c r="A29" s="85" t="s">
        <v>373</v>
      </c>
      <c r="B29" s="86" t="s">
        <v>374</v>
      </c>
      <c r="C29" s="87" t="s">
        <v>571</v>
      </c>
      <c r="D29" s="78" t="s">
        <v>572</v>
      </c>
      <c r="E29" s="79" t="s">
        <v>626</v>
      </c>
    </row>
    <row r="30" s="74" customFormat="1" ht="70" spans="1:5">
      <c r="A30" s="88"/>
      <c r="B30" s="89"/>
      <c r="C30" s="90"/>
      <c r="D30" s="78" t="s">
        <v>627</v>
      </c>
      <c r="E30" s="79" t="s">
        <v>628</v>
      </c>
    </row>
    <row r="31" s="74" customFormat="1" spans="1:5">
      <c r="A31" s="88"/>
      <c r="B31" s="89"/>
      <c r="C31" s="90"/>
      <c r="D31" s="78" t="s">
        <v>618</v>
      </c>
      <c r="E31" s="79" t="s">
        <v>629</v>
      </c>
    </row>
    <row r="32" s="74" customFormat="1" ht="28" spans="1:5">
      <c r="A32" s="88"/>
      <c r="B32" s="89"/>
      <c r="C32" s="91"/>
      <c r="D32" s="78" t="s">
        <v>630</v>
      </c>
      <c r="E32" s="79" t="s">
        <v>631</v>
      </c>
    </row>
    <row r="33" s="74" customFormat="1" ht="42" spans="1:5">
      <c r="A33" s="88"/>
      <c r="B33" s="95"/>
      <c r="C33" s="92" t="s">
        <v>582</v>
      </c>
      <c r="D33" s="93"/>
      <c r="E33" s="79" t="s">
        <v>632</v>
      </c>
    </row>
    <row r="34" s="74" customFormat="1" ht="42" spans="1:5">
      <c r="A34" s="88"/>
      <c r="B34" s="96" t="s">
        <v>633</v>
      </c>
      <c r="C34" s="82" t="s">
        <v>582</v>
      </c>
      <c r="D34" s="97"/>
      <c r="E34" s="98" t="s">
        <v>634</v>
      </c>
    </row>
    <row r="35" s="74" customFormat="1" ht="42" spans="1:5">
      <c r="A35" s="99"/>
      <c r="B35" s="100"/>
      <c r="C35" s="82" t="s">
        <v>571</v>
      </c>
      <c r="D35" s="97"/>
      <c r="E35" s="98" t="s">
        <v>635</v>
      </c>
    </row>
    <row r="36" s="74" customFormat="1" spans="1:5">
      <c r="A36" s="85" t="s">
        <v>380</v>
      </c>
      <c r="B36" s="101" t="s">
        <v>636</v>
      </c>
      <c r="C36" s="102"/>
      <c r="D36" s="103"/>
      <c r="E36" s="98" t="s">
        <v>156</v>
      </c>
    </row>
    <row r="37" s="74" customFormat="1" spans="1:5">
      <c r="A37" s="99"/>
      <c r="B37" s="104" t="s">
        <v>637</v>
      </c>
      <c r="C37" s="105"/>
      <c r="D37" s="106"/>
      <c r="E37" s="79" t="s">
        <v>638</v>
      </c>
    </row>
    <row r="38" s="74" customFormat="1" spans="1:5">
      <c r="A38" s="75" t="s">
        <v>382</v>
      </c>
      <c r="B38" s="104" t="s">
        <v>639</v>
      </c>
      <c r="C38" s="105"/>
      <c r="D38" s="106"/>
      <c r="E38" s="79" t="s">
        <v>640</v>
      </c>
    </row>
    <row r="39" s="74" customFormat="1" spans="1:5">
      <c r="A39" s="85" t="s">
        <v>384</v>
      </c>
      <c r="B39" s="86" t="s">
        <v>641</v>
      </c>
      <c r="C39" s="87" t="s">
        <v>571</v>
      </c>
      <c r="D39" s="78" t="s">
        <v>642</v>
      </c>
      <c r="E39" s="79" t="s">
        <v>643</v>
      </c>
    </row>
    <row r="40" s="74" customFormat="1" spans="1:5">
      <c r="A40" s="88"/>
      <c r="B40" s="89"/>
      <c r="C40" s="91"/>
      <c r="D40" s="78" t="s">
        <v>644</v>
      </c>
      <c r="E40" s="79" t="s">
        <v>645</v>
      </c>
    </row>
    <row r="41" s="74" customFormat="1" spans="1:5">
      <c r="A41" s="88"/>
      <c r="B41" s="89"/>
      <c r="C41" s="92" t="s">
        <v>646</v>
      </c>
      <c r="D41" s="93"/>
      <c r="E41" s="79" t="s">
        <v>647</v>
      </c>
    </row>
    <row r="42" s="74" customFormat="1" spans="1:5">
      <c r="A42" s="99"/>
      <c r="B42" s="95"/>
      <c r="C42" s="92" t="s">
        <v>582</v>
      </c>
      <c r="D42" s="93"/>
      <c r="E42" s="79" t="s">
        <v>648</v>
      </c>
    </row>
    <row r="43" s="74" customFormat="1" spans="1:5">
      <c r="A43" s="85" t="s">
        <v>387</v>
      </c>
      <c r="B43" s="96" t="s">
        <v>639</v>
      </c>
      <c r="C43" s="107" t="s">
        <v>649</v>
      </c>
      <c r="D43" s="108"/>
      <c r="E43" s="98" t="s">
        <v>650</v>
      </c>
    </row>
    <row r="44" s="74" customFormat="1" ht="28" spans="1:5">
      <c r="A44" s="88"/>
      <c r="B44" s="100"/>
      <c r="C44" s="107" t="s">
        <v>624</v>
      </c>
      <c r="D44" s="108"/>
      <c r="E44" s="98" t="s">
        <v>651</v>
      </c>
    </row>
    <row r="45" s="74" customFormat="1" spans="1:5">
      <c r="A45" s="99"/>
      <c r="B45" s="104" t="s">
        <v>652</v>
      </c>
      <c r="C45" s="105"/>
      <c r="D45" s="106"/>
      <c r="E45" s="79" t="s">
        <v>176</v>
      </c>
    </row>
    <row r="46" s="74" customFormat="1" spans="1:5">
      <c r="A46" s="85" t="s">
        <v>399</v>
      </c>
      <c r="B46" s="86" t="s">
        <v>653</v>
      </c>
      <c r="C46" s="87" t="s">
        <v>571</v>
      </c>
      <c r="D46" s="78" t="s">
        <v>654</v>
      </c>
      <c r="E46" s="79"/>
    </row>
    <row r="47" s="74" customFormat="1" spans="1:5">
      <c r="A47" s="88"/>
      <c r="B47" s="89"/>
      <c r="C47" s="90"/>
      <c r="D47" s="78" t="s">
        <v>655</v>
      </c>
      <c r="E47" s="79"/>
    </row>
    <row r="48" s="74" customFormat="1" spans="1:5">
      <c r="A48" s="99"/>
      <c r="B48" s="95"/>
      <c r="C48" s="91"/>
      <c r="D48" s="78" t="s">
        <v>624</v>
      </c>
      <c r="E48" s="79" t="s">
        <v>656</v>
      </c>
    </row>
    <row r="49" s="74" customFormat="1" spans="1:5">
      <c r="A49" s="75" t="s">
        <v>394</v>
      </c>
      <c r="B49" s="104" t="s">
        <v>395</v>
      </c>
      <c r="C49" s="105"/>
      <c r="D49" s="106"/>
      <c r="E49" s="79" t="s">
        <v>657</v>
      </c>
    </row>
    <row r="50" s="74" customFormat="1" spans="1:5">
      <c r="A50" s="85" t="s">
        <v>396</v>
      </c>
      <c r="B50" s="104" t="s">
        <v>639</v>
      </c>
      <c r="C50" s="105"/>
      <c r="D50" s="106"/>
      <c r="E50" s="79" t="s">
        <v>658</v>
      </c>
    </row>
    <row r="51" s="74" customFormat="1" spans="1:5">
      <c r="A51" s="99"/>
      <c r="B51" s="104" t="s">
        <v>639</v>
      </c>
      <c r="C51" s="105"/>
      <c r="D51" s="106"/>
      <c r="E51" s="79" t="s">
        <v>189</v>
      </c>
    </row>
    <row r="52" s="74" customFormat="1" spans="1:5">
      <c r="A52" s="75" t="s">
        <v>398</v>
      </c>
      <c r="B52" s="104" t="s">
        <v>639</v>
      </c>
      <c r="C52" s="105"/>
      <c r="D52" s="106"/>
      <c r="E52" s="79"/>
    </row>
    <row r="53" s="74" customFormat="1" spans="1:5">
      <c r="A53" s="85" t="s">
        <v>659</v>
      </c>
      <c r="B53" s="104" t="s">
        <v>639</v>
      </c>
      <c r="C53" s="105"/>
      <c r="D53" s="106"/>
      <c r="E53" s="79"/>
    </row>
    <row r="54" s="74" customFormat="1" ht="28" spans="1:5">
      <c r="A54" s="99"/>
      <c r="B54" s="104"/>
      <c r="C54" s="105"/>
      <c r="D54" s="106"/>
      <c r="E54" s="79" t="s">
        <v>660</v>
      </c>
    </row>
    <row r="55" s="74" customFormat="1" spans="1:5">
      <c r="A55" s="75" t="s">
        <v>390</v>
      </c>
      <c r="B55" s="76"/>
      <c r="C55" s="77"/>
      <c r="D55" s="78"/>
      <c r="E55" s="79" t="s">
        <v>661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54"/>
    <col min="2" max="2" width="61.8090909090909" style="55" customWidth="1"/>
    <col min="3" max="3" width="61.8090909090909" style="56" customWidth="1"/>
    <col min="4" max="4" width="61.8090909090909" style="57" customWidth="1"/>
    <col min="5" max="5" width="61.8090909090909" style="58" customWidth="1"/>
    <col min="6" max="6" width="61.8090909090909" style="59" customWidth="1"/>
    <col min="7" max="7" width="61.8090909090909" style="60" customWidth="1"/>
    <col min="8" max="16384" width="8.72727272727273" style="53"/>
  </cols>
  <sheetData>
    <row r="1" s="52" customFormat="1" spans="1:7">
      <c r="A1" s="61" t="s">
        <v>0</v>
      </c>
      <c r="B1" s="62" t="s">
        <v>1</v>
      </c>
      <c r="C1" s="63" t="s">
        <v>2</v>
      </c>
      <c r="D1" s="21" t="s">
        <v>3</v>
      </c>
      <c r="E1" s="64" t="s">
        <v>4</v>
      </c>
      <c r="F1" s="65" t="s">
        <v>5</v>
      </c>
      <c r="G1" s="66" t="s">
        <v>6</v>
      </c>
    </row>
    <row r="2" s="53" customFormat="1" ht="56" spans="1:7">
      <c r="A2" s="61" t="s">
        <v>7</v>
      </c>
      <c r="B2" s="67" t="s">
        <v>662</v>
      </c>
      <c r="C2" s="56"/>
      <c r="D2" s="57"/>
      <c r="E2" s="58"/>
      <c r="F2" s="59"/>
      <c r="G2" s="60"/>
    </row>
    <row r="3" s="53" customFormat="1" ht="28" spans="1:7">
      <c r="A3" s="61" t="s">
        <v>10</v>
      </c>
      <c r="B3" s="55"/>
      <c r="C3" s="56" t="s">
        <v>663</v>
      </c>
      <c r="D3" s="57"/>
      <c r="E3" s="58"/>
      <c r="F3" s="59"/>
      <c r="G3" s="60"/>
    </row>
    <row r="4" s="53" customFormat="1" spans="1:7">
      <c r="A4" s="61" t="s">
        <v>13</v>
      </c>
      <c r="B4" s="55"/>
      <c r="C4" s="56"/>
      <c r="D4" s="57"/>
      <c r="E4" s="58"/>
      <c r="F4" s="59"/>
      <c r="G4" s="60"/>
    </row>
    <row r="5" s="53" customFormat="1" ht="28" spans="1:7">
      <c r="A5" s="61" t="s">
        <v>15</v>
      </c>
      <c r="B5" s="55"/>
      <c r="C5" s="56" t="s">
        <v>664</v>
      </c>
      <c r="D5" s="57"/>
      <c r="E5" s="58"/>
      <c r="F5" s="59"/>
      <c r="G5" s="60"/>
    </row>
    <row r="6" s="53" customFormat="1" spans="1:7">
      <c r="A6" s="61" t="s">
        <v>19</v>
      </c>
      <c r="B6" s="55"/>
      <c r="C6" s="68" t="s">
        <v>665</v>
      </c>
      <c r="D6" s="57"/>
      <c r="E6" s="58"/>
      <c r="F6" s="59"/>
      <c r="G6" s="60"/>
    </row>
    <row r="7" s="53" customFormat="1" ht="42" spans="1:7">
      <c r="A7" s="61" t="s">
        <v>21</v>
      </c>
      <c r="B7" s="55"/>
      <c r="C7" s="56" t="s">
        <v>666</v>
      </c>
      <c r="D7" s="57"/>
      <c r="E7" s="58"/>
      <c r="F7" s="59"/>
      <c r="G7" s="60"/>
    </row>
    <row r="8" s="53" customFormat="1" spans="1:7">
      <c r="A8" s="61" t="s">
        <v>25</v>
      </c>
      <c r="B8" s="55"/>
      <c r="C8" s="56"/>
      <c r="D8" s="57"/>
      <c r="E8" s="58"/>
      <c r="F8" s="59"/>
      <c r="G8" s="60"/>
    </row>
    <row r="9" s="53" customFormat="1" spans="1:7">
      <c r="A9" s="61" t="s">
        <v>27</v>
      </c>
      <c r="B9" s="55"/>
      <c r="C9" s="56"/>
      <c r="D9" s="57"/>
      <c r="E9" s="58"/>
      <c r="F9" s="59"/>
      <c r="G9" s="60"/>
    </row>
    <row r="10" s="53" customFormat="1" ht="28" spans="1:7">
      <c r="A10" s="61" t="s">
        <v>28</v>
      </c>
      <c r="B10" s="69" t="s">
        <v>667</v>
      </c>
      <c r="C10" s="56"/>
      <c r="D10" s="57"/>
      <c r="E10" s="58"/>
      <c r="F10" s="59"/>
      <c r="G10" s="60"/>
    </row>
    <row r="11" s="53" customFormat="1" spans="1:7">
      <c r="A11" s="61" t="s">
        <v>30</v>
      </c>
      <c r="B11" s="55"/>
      <c r="C11" s="56"/>
      <c r="D11" s="57"/>
      <c r="E11" s="58"/>
      <c r="F11" s="59"/>
      <c r="G11" s="60"/>
    </row>
    <row r="12" s="53" customFormat="1" spans="1:7">
      <c r="A12" s="61" t="s">
        <v>31</v>
      </c>
      <c r="B12" s="55"/>
      <c r="C12" s="56"/>
      <c r="D12" s="57"/>
      <c r="E12" s="58"/>
      <c r="F12" s="59"/>
      <c r="G12" s="60"/>
    </row>
    <row r="13" s="53" customFormat="1" spans="1:7">
      <c r="A13" s="61" t="s">
        <v>33</v>
      </c>
      <c r="B13" s="55"/>
      <c r="C13" s="56"/>
      <c r="D13" s="57"/>
      <c r="E13" s="58"/>
      <c r="F13" s="59"/>
      <c r="G13" s="60"/>
    </row>
    <row r="14" s="53" customFormat="1" ht="28" spans="1:7">
      <c r="A14" s="61" t="s">
        <v>36</v>
      </c>
      <c r="B14" s="69" t="s">
        <v>668</v>
      </c>
      <c r="C14" s="56"/>
      <c r="D14" s="57"/>
      <c r="E14" s="58"/>
      <c r="F14" s="59"/>
      <c r="G14" s="60"/>
    </row>
    <row r="15" s="53" customFormat="1" spans="1:7">
      <c r="A15" s="61" t="s">
        <v>38</v>
      </c>
      <c r="B15" s="55"/>
      <c r="C15" s="56"/>
      <c r="D15" s="57"/>
      <c r="E15" s="58"/>
      <c r="F15" s="59"/>
      <c r="G15" s="60"/>
    </row>
    <row r="16" s="53" customFormat="1" spans="1:7">
      <c r="A16" s="61" t="s">
        <v>39</v>
      </c>
      <c r="B16" s="55"/>
      <c r="C16" s="56"/>
      <c r="D16" s="57"/>
      <c r="E16" s="58"/>
      <c r="F16" s="59"/>
      <c r="G16" s="60"/>
    </row>
    <row r="17" s="53" customFormat="1" ht="28" spans="1:7">
      <c r="A17" s="61" t="s">
        <v>43</v>
      </c>
      <c r="B17" s="55"/>
      <c r="C17" s="68" t="s">
        <v>669</v>
      </c>
      <c r="D17" s="57"/>
      <c r="E17" s="58"/>
      <c r="F17" s="59"/>
      <c r="G17" s="60"/>
    </row>
    <row r="18" s="53" customFormat="1" spans="1:7">
      <c r="A18" s="61" t="s">
        <v>45</v>
      </c>
      <c r="B18" s="55"/>
      <c r="C18" s="56"/>
      <c r="D18" s="57"/>
      <c r="E18" s="58"/>
      <c r="F18" s="59"/>
      <c r="G18" s="60"/>
    </row>
    <row r="19" s="53" customFormat="1" spans="1:7">
      <c r="A19" s="61" t="s">
        <v>47</v>
      </c>
      <c r="B19" s="55"/>
      <c r="C19" s="56"/>
      <c r="D19" s="57"/>
      <c r="E19" s="58"/>
      <c r="F19" s="59"/>
      <c r="G19" s="60"/>
    </row>
    <row r="20" s="53" customFormat="1" ht="42" spans="1:7">
      <c r="A20" s="61" t="s">
        <v>50</v>
      </c>
      <c r="B20" s="69" t="s">
        <v>670</v>
      </c>
      <c r="C20" s="56" t="s">
        <v>671</v>
      </c>
      <c r="D20" s="57"/>
      <c r="E20" s="58"/>
      <c r="F20" s="59"/>
      <c r="G20" s="60"/>
    </row>
    <row r="21" s="53" customFormat="1" ht="280" spans="1:7">
      <c r="A21" s="61" t="s">
        <v>53</v>
      </c>
      <c r="B21" s="55" t="s">
        <v>672</v>
      </c>
      <c r="C21" s="56" t="s">
        <v>673</v>
      </c>
      <c r="D21" s="57"/>
      <c r="E21" s="58"/>
      <c r="F21" s="59"/>
      <c r="G21" s="60"/>
    </row>
    <row r="22" s="53" customFormat="1" spans="1:7">
      <c r="A22" s="61" t="s">
        <v>58</v>
      </c>
      <c r="B22" s="55"/>
      <c r="C22" s="56"/>
      <c r="D22" s="57"/>
      <c r="E22" s="58"/>
      <c r="F22" s="59"/>
      <c r="G22" s="60"/>
    </row>
    <row r="23" s="53" customFormat="1" ht="56" spans="1:7">
      <c r="A23" s="61" t="s">
        <v>59</v>
      </c>
      <c r="B23" s="69" t="s">
        <v>674</v>
      </c>
      <c r="C23" s="56"/>
      <c r="D23" s="57"/>
      <c r="E23" s="58"/>
      <c r="F23" s="59"/>
      <c r="G23" s="60"/>
    </row>
    <row r="24" s="53" customFormat="1" ht="70" spans="1:7">
      <c r="A24" s="61" t="s">
        <v>63</v>
      </c>
      <c r="B24" s="69" t="s">
        <v>675</v>
      </c>
      <c r="C24" s="68" t="s">
        <v>676</v>
      </c>
      <c r="D24" s="57"/>
      <c r="E24" s="58"/>
      <c r="F24" s="59"/>
      <c r="G24" s="60"/>
    </row>
    <row r="25" s="53" customFormat="1" spans="1:7">
      <c r="A25" s="61" t="s">
        <v>68</v>
      </c>
      <c r="B25" s="55"/>
      <c r="C25" s="56"/>
      <c r="D25" s="57"/>
      <c r="E25" s="58"/>
      <c r="F25" s="59"/>
      <c r="G25" s="60"/>
    </row>
    <row r="26" s="53" customFormat="1" spans="1:7">
      <c r="A26" s="61" t="s">
        <v>69</v>
      </c>
      <c r="B26" s="55"/>
      <c r="C26" s="56"/>
      <c r="D26" s="57"/>
      <c r="E26" s="58"/>
      <c r="F26" s="59"/>
      <c r="G26" s="60"/>
    </row>
    <row r="27" s="53" customFormat="1" ht="112" spans="1:7">
      <c r="A27" s="61" t="s">
        <v>70</v>
      </c>
      <c r="B27" s="55" t="s">
        <v>677</v>
      </c>
      <c r="C27" s="68" t="s">
        <v>678</v>
      </c>
      <c r="D27" s="57"/>
      <c r="E27" s="58"/>
      <c r="F27" s="59"/>
      <c r="G27" s="60"/>
    </row>
    <row r="28" s="53" customFormat="1" ht="409" customHeight="1" spans="1:7">
      <c r="A28" s="61" t="s">
        <v>73</v>
      </c>
      <c r="B28" s="55" t="s">
        <v>679</v>
      </c>
      <c r="C28" s="68" t="s">
        <v>680</v>
      </c>
      <c r="D28" s="57"/>
      <c r="E28" s="58"/>
      <c r="F28" s="59"/>
      <c r="G28" s="60"/>
    </row>
    <row r="29" s="53" customFormat="1" spans="1:7">
      <c r="A29" s="61" t="s">
        <v>78</v>
      </c>
      <c r="B29" s="55"/>
      <c r="C29" s="56"/>
      <c r="D29" s="57"/>
      <c r="E29" s="58"/>
      <c r="F29" s="59"/>
      <c r="G29" s="60"/>
    </row>
    <row r="30" s="53" customFormat="1" ht="28" spans="1:7">
      <c r="A30" s="61" t="s">
        <v>81</v>
      </c>
      <c r="B30" s="55"/>
      <c r="C30" s="68" t="s">
        <v>681</v>
      </c>
      <c r="D30" s="57"/>
      <c r="E30" s="58"/>
      <c r="F30" s="59"/>
      <c r="G30" s="60"/>
    </row>
    <row r="31" s="53" customFormat="1" spans="1:7">
      <c r="A31" s="61" t="s">
        <v>84</v>
      </c>
      <c r="B31" s="55"/>
      <c r="C31" s="56"/>
      <c r="D31" s="57"/>
      <c r="E31" s="58"/>
      <c r="F31" s="59"/>
      <c r="G31" s="60"/>
    </row>
    <row r="32" s="53" customFormat="1" spans="1:7">
      <c r="A32" s="61" t="s">
        <v>85</v>
      </c>
      <c r="B32" s="55"/>
      <c r="C32" s="56"/>
      <c r="D32" s="57"/>
      <c r="E32" s="58"/>
      <c r="F32" s="59"/>
      <c r="G32" s="60"/>
    </row>
    <row r="33" s="53" customFormat="1" spans="1:7">
      <c r="A33" s="61" t="s">
        <v>86</v>
      </c>
      <c r="B33" s="55"/>
      <c r="C33" s="56"/>
      <c r="D33" s="57"/>
      <c r="E33" s="58"/>
      <c r="F33" s="59"/>
      <c r="G33" s="60"/>
    </row>
    <row r="34" s="53" customFormat="1" spans="1:7">
      <c r="A34" s="61" t="s">
        <v>87</v>
      </c>
      <c r="B34" s="55"/>
      <c r="C34" s="56"/>
      <c r="D34" s="57"/>
      <c r="E34" s="58"/>
      <c r="F34" s="59"/>
      <c r="G34" s="60"/>
    </row>
    <row r="35" s="53" customFormat="1" spans="1:7">
      <c r="A35" s="61" t="s">
        <v>88</v>
      </c>
      <c r="B35" s="55"/>
      <c r="C35" s="56"/>
      <c r="D35" s="57"/>
      <c r="E35" s="58"/>
      <c r="F35" s="59"/>
      <c r="G35" s="60"/>
    </row>
    <row r="36" s="53" customFormat="1" ht="42" spans="1:7">
      <c r="A36" s="61" t="s">
        <v>89</v>
      </c>
      <c r="B36" s="69" t="s">
        <v>682</v>
      </c>
      <c r="C36" s="56"/>
      <c r="D36" s="57"/>
      <c r="E36" s="58"/>
      <c r="F36" s="59"/>
      <c r="G36" s="60"/>
    </row>
    <row r="37" s="53" customFormat="1" ht="126" spans="1:7">
      <c r="A37" s="61" t="s">
        <v>91</v>
      </c>
      <c r="B37" s="55"/>
      <c r="C37" s="68" t="s">
        <v>683</v>
      </c>
      <c r="D37" s="57"/>
      <c r="E37" s="58"/>
      <c r="F37" s="59"/>
      <c r="G37" s="60"/>
    </row>
    <row r="38" s="53" customFormat="1" ht="28" spans="1:7">
      <c r="A38" s="61" t="s">
        <v>94</v>
      </c>
      <c r="B38" s="70" t="s">
        <v>684</v>
      </c>
      <c r="C38" s="71"/>
      <c r="D38" s="72"/>
      <c r="E38" s="72"/>
      <c r="F38" s="72"/>
      <c r="G38" s="72"/>
    </row>
    <row r="39" s="53" customFormat="1" ht="42" spans="1:7">
      <c r="A39" s="61" t="s">
        <v>96</v>
      </c>
      <c r="B39" s="55"/>
      <c r="C39" s="68" t="s">
        <v>685</v>
      </c>
      <c r="D39" s="57"/>
      <c r="E39" s="58"/>
      <c r="F39" s="59"/>
      <c r="G39" s="60"/>
    </row>
    <row r="40" s="53" customFormat="1" spans="1:7">
      <c r="A40" s="61" t="s">
        <v>100</v>
      </c>
      <c r="B40" s="69" t="s">
        <v>686</v>
      </c>
      <c r="C40" s="68" t="s">
        <v>687</v>
      </c>
      <c r="D40" s="57"/>
      <c r="E40" s="58"/>
      <c r="F40" s="59"/>
      <c r="G40" s="60"/>
    </row>
    <row r="41" s="53" customFormat="1" ht="126" spans="1:7">
      <c r="A41" s="61" t="s">
        <v>106</v>
      </c>
      <c r="B41" s="55"/>
      <c r="C41" s="68" t="s">
        <v>688</v>
      </c>
      <c r="D41" s="57"/>
      <c r="E41" s="58"/>
      <c r="F41" s="59"/>
      <c r="G41" s="60"/>
    </row>
    <row r="42" s="53" customFormat="1" spans="1:7">
      <c r="A42" s="61" t="s">
        <v>113</v>
      </c>
      <c r="B42" s="55"/>
      <c r="C42" s="56"/>
      <c r="D42" s="57"/>
      <c r="E42" s="58"/>
      <c r="F42" s="59"/>
      <c r="G42" s="60"/>
    </row>
    <row r="43" s="53" customFormat="1" spans="1:7">
      <c r="A43" s="61" t="s">
        <v>114</v>
      </c>
      <c r="B43" s="69" t="s">
        <v>689</v>
      </c>
      <c r="C43" s="56"/>
      <c r="D43" s="57"/>
      <c r="E43" s="58"/>
      <c r="F43" s="59"/>
      <c r="G43" s="60"/>
    </row>
    <row r="44" s="53" customFormat="1" spans="1:7">
      <c r="A44" s="61" t="s">
        <v>117</v>
      </c>
      <c r="B44" s="55"/>
      <c r="C44" s="56"/>
      <c r="D44" s="57"/>
      <c r="E44" s="58"/>
      <c r="F44" s="59"/>
      <c r="G44" s="60"/>
    </row>
    <row r="45" s="53" customFormat="1" ht="387" spans="1:7">
      <c r="A45" s="61" t="s">
        <v>119</v>
      </c>
      <c r="B45" s="55" t="s">
        <v>690</v>
      </c>
      <c r="C45" s="56"/>
      <c r="D45" s="57"/>
      <c r="E45" s="58"/>
      <c r="F45" s="59"/>
      <c r="G45" s="60"/>
    </row>
    <row r="46" s="53" customFormat="1" spans="1:7">
      <c r="A46" s="61" t="s">
        <v>123</v>
      </c>
      <c r="B46" s="55"/>
      <c r="C46" s="56"/>
      <c r="D46" s="57"/>
      <c r="E46" s="58"/>
      <c r="F46" s="59"/>
      <c r="G46" s="60"/>
    </row>
    <row r="47" s="53" customFormat="1" spans="1:7">
      <c r="A47" s="61" t="s">
        <v>124</v>
      </c>
      <c r="B47" s="55"/>
      <c r="C47" s="56"/>
      <c r="D47" s="57"/>
      <c r="E47" s="58"/>
      <c r="F47" s="59"/>
      <c r="G47" s="60"/>
    </row>
    <row r="48" s="53" customFormat="1" spans="1:7">
      <c r="A48" s="61" t="s">
        <v>126</v>
      </c>
      <c r="B48" s="55"/>
      <c r="C48" s="68" t="s">
        <v>691</v>
      </c>
      <c r="D48" s="57"/>
      <c r="E48" s="58"/>
      <c r="F48" s="59"/>
      <c r="G48" s="60"/>
    </row>
    <row r="49" s="53" customFormat="1" spans="1:7">
      <c r="A49" s="61" t="s">
        <v>130</v>
      </c>
      <c r="B49" s="55"/>
      <c r="C49" s="56"/>
      <c r="D49" s="57"/>
      <c r="E49" s="58"/>
      <c r="F49" s="59"/>
      <c r="G49" s="60"/>
    </row>
    <row r="50" s="53" customFormat="1" ht="322" spans="1:7">
      <c r="A50" s="61" t="s">
        <v>132</v>
      </c>
      <c r="B50" s="55"/>
      <c r="C50" s="68" t="s">
        <v>692</v>
      </c>
      <c r="D50" s="57"/>
      <c r="E50" s="58"/>
      <c r="F50" s="59"/>
      <c r="G50" s="60"/>
    </row>
    <row r="51" s="53" customFormat="1" spans="1:7">
      <c r="A51" s="61" t="s">
        <v>134</v>
      </c>
      <c r="B51" s="55"/>
      <c r="C51" s="56"/>
      <c r="D51" s="57"/>
      <c r="E51" s="58"/>
      <c r="F51" s="59"/>
      <c r="G51" s="60"/>
    </row>
    <row r="52" s="53" customFormat="1" ht="224" spans="1:7">
      <c r="A52" s="61" t="s">
        <v>135</v>
      </c>
      <c r="B52" s="55" t="s">
        <v>693</v>
      </c>
      <c r="C52" s="68" t="s">
        <v>694</v>
      </c>
      <c r="D52" s="57"/>
      <c r="E52" s="58"/>
      <c r="F52" s="59"/>
      <c r="G52" s="60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48"/>
    <col min="2" max="3" width="16.2727272727273" style="49" customWidth="1"/>
    <col min="4" max="4" width="8.72727272727273" style="48"/>
    <col min="5" max="6" width="16.2727272727273" style="49" customWidth="1"/>
    <col min="7" max="16384" width="8.72727272727273" style="48"/>
  </cols>
  <sheetData>
    <row r="1" spans="2:6">
      <c r="B1" s="50" t="s">
        <v>695</v>
      </c>
      <c r="C1" s="50" t="s">
        <v>696</v>
      </c>
      <c r="E1" s="50" t="s">
        <v>511</v>
      </c>
      <c r="F1" s="50" t="s">
        <v>697</v>
      </c>
    </row>
    <row r="2" spans="2:6">
      <c r="B2" s="51" t="s">
        <v>698</v>
      </c>
      <c r="C2" s="51">
        <v>13</v>
      </c>
      <c r="E2" s="51" t="s">
        <v>699</v>
      </c>
      <c r="F2" s="51">
        <v>6</v>
      </c>
    </row>
    <row r="3" spans="2:6">
      <c r="B3" s="51" t="s">
        <v>700</v>
      </c>
      <c r="C3" s="51">
        <v>13</v>
      </c>
      <c r="E3" s="51" t="s">
        <v>701</v>
      </c>
      <c r="F3" s="51">
        <v>13</v>
      </c>
    </row>
    <row r="4" spans="2:6">
      <c r="B4" s="51" t="s">
        <v>702</v>
      </c>
      <c r="C4" s="51">
        <v>12</v>
      </c>
      <c r="E4" s="51" t="s">
        <v>568</v>
      </c>
      <c r="F4" s="51">
        <v>4</v>
      </c>
    </row>
    <row r="5" spans="2:6">
      <c r="B5" s="51" t="s">
        <v>703</v>
      </c>
      <c r="C5" s="51">
        <v>2</v>
      </c>
      <c r="E5" s="51" t="s">
        <v>704</v>
      </c>
      <c r="F5" s="51">
        <v>6</v>
      </c>
    </row>
    <row r="6" spans="2:6">
      <c r="B6" s="51" t="s">
        <v>705</v>
      </c>
      <c r="C6" s="51">
        <v>2</v>
      </c>
      <c r="E6" s="51" t="s">
        <v>706</v>
      </c>
      <c r="F6" s="51">
        <v>4</v>
      </c>
    </row>
    <row r="7" spans="2:6">
      <c r="B7" s="51" t="s">
        <v>707</v>
      </c>
      <c r="C7" s="51">
        <v>1</v>
      </c>
      <c r="E7" s="51" t="s">
        <v>708</v>
      </c>
      <c r="F7" s="51">
        <v>1</v>
      </c>
    </row>
    <row r="8" spans="2:6">
      <c r="B8" s="51" t="s">
        <v>709</v>
      </c>
      <c r="C8" s="51">
        <v>4</v>
      </c>
      <c r="E8" s="51" t="s">
        <v>710</v>
      </c>
      <c r="F8" s="51">
        <v>3</v>
      </c>
    </row>
    <row r="9" spans="2:6">
      <c r="E9" s="51" t="s">
        <v>711</v>
      </c>
      <c r="F9" s="51">
        <v>1</v>
      </c>
    </row>
    <row r="10" spans="2:6">
      <c r="E10" s="51" t="s">
        <v>712</v>
      </c>
      <c r="F10" s="51">
        <v>5</v>
      </c>
    </row>
    <row r="11" spans="2:6">
      <c r="E11" s="51" t="s">
        <v>713</v>
      </c>
      <c r="F11" s="51">
        <v>1</v>
      </c>
    </row>
    <row r="12" spans="2:6">
      <c r="E12" s="51" t="s">
        <v>709</v>
      </c>
      <c r="F12" s="5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tabSelected="1" workbookViewId="0">
      <pane xSplit="3" ySplit="1" topLeftCell="AZ77" activePane="bottomRight" state="frozen"/>
      <selection/>
      <selection pane="topRight"/>
      <selection pane="bottomLeft"/>
      <selection pane="bottomRight" activeCell="BQ6" sqref="BQ6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714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715</v>
      </c>
      <c r="BD1" s="12" t="s">
        <v>716</v>
      </c>
      <c r="BF1" s="13">
        <v>1</v>
      </c>
      <c r="BG1" s="13">
        <v>2</v>
      </c>
      <c r="BH1" s="13">
        <v>3</v>
      </c>
      <c r="BI1" s="13">
        <v>4</v>
      </c>
      <c r="BJ1" s="14" t="s">
        <v>717</v>
      </c>
      <c r="BK1" s="13">
        <v>5</v>
      </c>
      <c r="BL1" s="13">
        <v>6</v>
      </c>
      <c r="BM1" s="13">
        <v>7</v>
      </c>
      <c r="BN1" s="13">
        <v>8</v>
      </c>
      <c r="BO1" s="15" t="s">
        <v>716</v>
      </c>
    </row>
    <row r="2" customHeight="1" spans="1:67">
      <c r="A2" s="16">
        <v>25</v>
      </c>
      <c r="B2" s="17">
        <v>12</v>
      </c>
      <c r="C2" s="18">
        <v>5</v>
      </c>
      <c r="D2" s="19"/>
      <c r="E2" s="19">
        <v>1</v>
      </c>
      <c r="F2" s="19"/>
      <c r="G2" s="19"/>
      <c r="H2" s="19">
        <v>1</v>
      </c>
      <c r="I2" s="19">
        <v>1</v>
      </c>
      <c r="J2" s="19">
        <v>1</v>
      </c>
      <c r="K2" s="19"/>
      <c r="L2" s="19"/>
      <c r="M2" s="19"/>
      <c r="N2" s="19"/>
      <c r="O2" s="19"/>
      <c r="P2" s="19"/>
      <c r="Q2" s="19"/>
      <c r="R2" s="19"/>
      <c r="S2" s="19"/>
      <c r="T2" s="19">
        <v>1</v>
      </c>
      <c r="U2" s="19"/>
      <c r="V2" s="19"/>
      <c r="W2" s="19"/>
      <c r="X2" s="19"/>
      <c r="Y2" s="19"/>
      <c r="Z2" s="19"/>
      <c r="AA2" s="19"/>
      <c r="AB2" s="19"/>
      <c r="AC2" s="19"/>
      <c r="AD2" s="19"/>
      <c r="AE2" s="19">
        <v>1</v>
      </c>
      <c r="AF2" s="19">
        <v>1</v>
      </c>
      <c r="AG2" s="19"/>
      <c r="AH2" s="19">
        <v>1</v>
      </c>
      <c r="AI2" s="19"/>
      <c r="AJ2" s="20"/>
      <c r="AK2" s="19"/>
      <c r="AL2" s="19"/>
      <c r="AM2" s="19"/>
      <c r="AN2" s="20"/>
      <c r="AO2" s="19"/>
      <c r="AP2" s="19">
        <v>1</v>
      </c>
      <c r="AQ2" s="19"/>
      <c r="AR2" s="19"/>
      <c r="AS2" s="19">
        <v>1</v>
      </c>
      <c r="AT2" s="19"/>
      <c r="AU2" s="19">
        <v>1</v>
      </c>
      <c r="AV2" s="19"/>
      <c r="AW2" s="19"/>
      <c r="AX2" s="19"/>
      <c r="AY2" s="19"/>
      <c r="AZ2" s="19"/>
      <c r="BA2" s="19"/>
      <c r="BB2" s="19"/>
      <c r="BC2" s="21" cm="1">
        <f t="array" ref="BC2">SUMPRODUCT(--(D2:BB2=INT(D2:BB2)),--(D2:BB2&gt;0))</f>
        <v>11</v>
      </c>
      <c r="BD2" s="21">
        <f t="shared" ref="BD2:BD65" si="0">SUM(D2:BB2)</f>
        <v>11</v>
      </c>
      <c r="BF2" s="22"/>
      <c r="BG2" s="22"/>
      <c r="BH2" s="22"/>
      <c r="BI2" s="22"/>
      <c r="BJ2" s="22"/>
      <c r="BK2" s="22"/>
      <c r="BL2" s="22"/>
      <c r="BM2" s="22"/>
      <c r="BN2" s="22"/>
    </row>
    <row r="3" customHeight="1" spans="1:67">
      <c r="A3" s="16"/>
      <c r="B3" s="17"/>
      <c r="C3" s="18">
        <v>6</v>
      </c>
      <c r="D3" s="19"/>
      <c r="E3" s="19">
        <v>1</v>
      </c>
      <c r="F3" s="19"/>
      <c r="G3" s="19"/>
      <c r="H3" s="19"/>
      <c r="I3" s="19">
        <v>1</v>
      </c>
      <c r="J3" s="19"/>
      <c r="K3" s="19"/>
      <c r="L3" s="19"/>
      <c r="M3" s="19"/>
      <c r="N3" s="19"/>
      <c r="O3" s="19"/>
      <c r="P3" s="19">
        <v>1</v>
      </c>
      <c r="Q3" s="19"/>
      <c r="R3" s="19"/>
      <c r="S3" s="19"/>
      <c r="T3" s="19"/>
      <c r="U3" s="19"/>
      <c r="V3" s="19"/>
      <c r="W3" s="19"/>
      <c r="X3" s="19"/>
      <c r="Y3" s="19">
        <v>1</v>
      </c>
      <c r="Z3" s="19"/>
      <c r="AA3" s="19"/>
      <c r="AB3" s="19"/>
      <c r="AC3" s="19">
        <v>1</v>
      </c>
      <c r="AD3" s="19"/>
      <c r="AE3" s="19"/>
      <c r="AF3" s="19"/>
      <c r="AG3" s="19">
        <v>1</v>
      </c>
      <c r="AH3" s="19"/>
      <c r="AI3" s="19"/>
      <c r="AJ3" s="20"/>
      <c r="AK3" s="19"/>
      <c r="AL3" s="19"/>
      <c r="AM3" s="19"/>
      <c r="AN3" s="20"/>
      <c r="AO3" s="19">
        <v>1</v>
      </c>
      <c r="AP3" s="19"/>
      <c r="AQ3" s="19"/>
      <c r="AR3" s="19"/>
      <c r="AS3" s="19">
        <v>1</v>
      </c>
      <c r="AT3" s="19"/>
      <c r="AU3" s="19">
        <v>1</v>
      </c>
      <c r="AV3" s="19"/>
      <c r="AW3" s="19"/>
      <c r="AX3" s="19"/>
      <c r="AY3" s="19"/>
      <c r="AZ3" s="19"/>
      <c r="BA3" s="19"/>
      <c r="BB3" s="19"/>
      <c r="BC3" s="21" cm="1">
        <f t="array" ref="BC3">SUMPRODUCT(--(D3:BB3=INT(D3:BB3)),--(D3:BB3&gt;0))</f>
        <v>9</v>
      </c>
      <c r="BD3" s="21">
        <f t="shared" si="0"/>
        <v>9</v>
      </c>
      <c r="BG3" s="22"/>
      <c r="BH3" s="22"/>
      <c r="BI3" s="22"/>
      <c r="BJ3" s="22"/>
      <c r="BK3" s="22"/>
      <c r="BL3" s="22"/>
      <c r="BM3" s="22"/>
      <c r="BN3" s="22"/>
    </row>
    <row r="4" customHeight="1" spans="1:67">
      <c r="A4" s="16"/>
      <c r="B4" s="17"/>
      <c r="C4" s="18">
        <v>9</v>
      </c>
      <c r="D4" s="19"/>
      <c r="E4" s="19">
        <v>1</v>
      </c>
      <c r="F4" s="19"/>
      <c r="G4" s="19"/>
      <c r="H4" s="19">
        <v>2</v>
      </c>
      <c r="I4" s="19">
        <v>1</v>
      </c>
      <c r="J4" s="19"/>
      <c r="K4" s="19"/>
      <c r="L4" s="19"/>
      <c r="M4" s="19">
        <v>1</v>
      </c>
      <c r="N4" s="19">
        <v>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>
        <v>1</v>
      </c>
      <c r="Z4" s="19"/>
      <c r="AA4" s="19"/>
      <c r="AB4" s="19"/>
      <c r="AC4" s="19"/>
      <c r="AD4" s="19">
        <v>1</v>
      </c>
      <c r="AE4" s="19"/>
      <c r="AF4" s="19"/>
      <c r="AG4" s="19"/>
      <c r="AH4" s="19"/>
      <c r="AI4" s="19"/>
      <c r="AJ4" s="20"/>
      <c r="AK4" s="19"/>
      <c r="AL4" s="19"/>
      <c r="AM4" s="19"/>
      <c r="AN4" s="20"/>
      <c r="AO4" s="19">
        <v>1</v>
      </c>
      <c r="AP4" s="19"/>
      <c r="AQ4" s="19"/>
      <c r="AR4" s="19"/>
      <c r="AS4" s="19">
        <v>2</v>
      </c>
      <c r="AT4" s="19"/>
      <c r="AU4" s="19">
        <v>1</v>
      </c>
      <c r="AV4" s="19"/>
      <c r="AW4" s="19"/>
      <c r="AX4" s="19"/>
      <c r="AY4" s="19"/>
      <c r="AZ4" s="19"/>
      <c r="BA4" s="19"/>
      <c r="BB4" s="19"/>
      <c r="BC4" s="21" cm="1">
        <f t="array" ref="BC4">SUMPRODUCT(--(D4:BB4=INT(D4:BB4)),--(D4:BB4&gt;0))</f>
        <v>10</v>
      </c>
      <c r="BD4" s="21">
        <f t="shared" si="0"/>
        <v>12</v>
      </c>
      <c r="BG4" s="22"/>
      <c r="BH4" s="22"/>
      <c r="BI4" s="22"/>
      <c r="BJ4" s="22"/>
      <c r="BK4" s="22"/>
      <c r="BL4" s="22"/>
      <c r="BM4" s="22"/>
      <c r="BN4" s="22"/>
    </row>
    <row r="5" customHeight="1" spans="1:67">
      <c r="A5" s="16"/>
      <c r="B5" s="17"/>
      <c r="C5" s="18">
        <v>10</v>
      </c>
      <c r="D5" s="19"/>
      <c r="E5" s="19"/>
      <c r="F5" s="19"/>
      <c r="G5" s="19"/>
      <c r="H5" s="19"/>
      <c r="I5" s="19">
        <v>1</v>
      </c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>
        <v>1</v>
      </c>
      <c r="Z5" s="19"/>
      <c r="AA5" s="19"/>
      <c r="AB5" s="19"/>
      <c r="AC5" s="19"/>
      <c r="AD5" s="19"/>
      <c r="AE5" s="19"/>
      <c r="AF5" s="19"/>
      <c r="AG5" s="19">
        <v>1</v>
      </c>
      <c r="AH5" s="19"/>
      <c r="AI5" s="19"/>
      <c r="AJ5" s="20"/>
      <c r="AK5" s="19"/>
      <c r="AL5" s="19"/>
      <c r="AM5" s="19"/>
      <c r="AN5" s="20"/>
      <c r="AO5" s="19"/>
      <c r="AP5" s="19"/>
      <c r="AQ5" s="19"/>
      <c r="AR5" s="19"/>
      <c r="AS5" s="19">
        <v>1</v>
      </c>
      <c r="AT5" s="19"/>
      <c r="AU5" s="19">
        <v>1</v>
      </c>
      <c r="AV5" s="19"/>
      <c r="AW5" s="19"/>
      <c r="AX5" s="19"/>
      <c r="AY5" s="19">
        <v>1</v>
      </c>
      <c r="AZ5" s="19"/>
      <c r="BA5" s="19"/>
      <c r="BB5" s="19"/>
      <c r="BC5" s="21" cm="1">
        <f t="array" ref="BC5">SUMPRODUCT(--(D5:BB5=INT(D5:BB5)),--(D5:BB5&gt;0))</f>
        <v>6</v>
      </c>
      <c r="BD5" s="21">
        <f t="shared" si="0"/>
        <v>6</v>
      </c>
      <c r="BG5" s="22"/>
      <c r="BH5" s="22"/>
      <c r="BI5" s="22"/>
      <c r="BJ5" s="22"/>
      <c r="BK5" s="22"/>
      <c r="BL5" s="22"/>
      <c r="BM5" s="22"/>
      <c r="BN5" s="22"/>
    </row>
    <row r="6" customHeight="1" spans="1:67">
      <c r="A6" s="16"/>
      <c r="B6" s="17"/>
      <c r="C6" s="18">
        <v>11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20"/>
      <c r="AK6" s="19"/>
      <c r="AL6" s="19"/>
      <c r="AM6" s="19"/>
      <c r="AN6" s="20"/>
      <c r="AO6" s="19">
        <v>1</v>
      </c>
      <c r="AP6" s="19"/>
      <c r="AQ6" s="19"/>
      <c r="AR6" s="19"/>
      <c r="AS6" s="19">
        <v>1</v>
      </c>
      <c r="AT6" s="19"/>
      <c r="AU6" s="19"/>
      <c r="AV6" s="19"/>
      <c r="AW6" s="19"/>
      <c r="AX6" s="19"/>
      <c r="AY6" s="19"/>
      <c r="AZ6" s="19"/>
      <c r="BA6" s="19"/>
      <c r="BB6" s="19"/>
      <c r="BC6" s="21" cm="1">
        <f t="array" ref="BC6">SUMPRODUCT(--(D6:BB6=INT(D6:BB6)),--(D6:BB6&gt;0))</f>
        <v>2</v>
      </c>
      <c r="BD6" s="21">
        <f t="shared" si="0"/>
        <v>2</v>
      </c>
      <c r="BG6" s="22"/>
      <c r="BH6" s="22"/>
      <c r="BI6" s="22"/>
      <c r="BJ6" s="22"/>
      <c r="BK6" s="22"/>
      <c r="BL6" s="22"/>
      <c r="BM6" s="22"/>
      <c r="BN6" s="22"/>
    </row>
    <row r="7" customHeight="1" spans="1:67">
      <c r="A7" s="16"/>
      <c r="B7" s="17"/>
      <c r="C7" s="18">
        <v>12</v>
      </c>
      <c r="D7" s="19"/>
      <c r="E7" s="19"/>
      <c r="F7" s="19"/>
      <c r="G7" s="19"/>
      <c r="H7" s="19">
        <v>1</v>
      </c>
      <c r="I7" s="19"/>
      <c r="J7" s="19"/>
      <c r="K7" s="19"/>
      <c r="L7" s="19"/>
      <c r="M7" s="19"/>
      <c r="N7" s="19"/>
      <c r="O7" s="19"/>
      <c r="P7" s="19"/>
      <c r="Q7" s="19">
        <v>1</v>
      </c>
      <c r="R7" s="19"/>
      <c r="S7" s="19"/>
      <c r="T7" s="19"/>
      <c r="U7" s="19"/>
      <c r="V7" s="19"/>
      <c r="W7" s="19"/>
      <c r="X7" s="19"/>
      <c r="Y7" s="19">
        <v>1</v>
      </c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20"/>
      <c r="AK7" s="19"/>
      <c r="AL7" s="19"/>
      <c r="AM7" s="19"/>
      <c r="AN7" s="20"/>
      <c r="AO7" s="19"/>
      <c r="AP7" s="19"/>
      <c r="AQ7" s="19"/>
      <c r="AR7" s="19"/>
      <c r="AS7" s="19"/>
      <c r="AT7" s="19"/>
      <c r="AU7" s="19">
        <v>3</v>
      </c>
      <c r="AV7" s="19"/>
      <c r="AW7" s="19">
        <v>1</v>
      </c>
      <c r="AX7" s="19"/>
      <c r="AY7" s="19"/>
      <c r="AZ7" s="19"/>
      <c r="BA7" s="19"/>
      <c r="BB7" s="19"/>
      <c r="BC7" s="21" cm="1">
        <f t="array" ref="BC7">SUMPRODUCT(--(D7:BB7=INT(D7:BB7)),--(D7:BB7&gt;0))</f>
        <v>5</v>
      </c>
      <c r="BD7" s="21">
        <f t="shared" si="0"/>
        <v>7</v>
      </c>
      <c r="BG7" s="22"/>
      <c r="BH7" s="22"/>
      <c r="BI7" s="22"/>
      <c r="BJ7" s="22"/>
      <c r="BK7" s="22"/>
      <c r="BL7" s="22"/>
      <c r="BM7" s="22"/>
      <c r="BN7" s="22"/>
    </row>
    <row r="8" customHeight="1" spans="1:67">
      <c r="A8" s="16"/>
      <c r="B8" s="17"/>
      <c r="C8" s="18">
        <v>15</v>
      </c>
      <c r="D8" s="19"/>
      <c r="E8" s="19"/>
      <c r="F8" s="19"/>
      <c r="G8" s="19"/>
      <c r="H8" s="19"/>
      <c r="I8" s="19">
        <v>1</v>
      </c>
      <c r="J8" s="19">
        <v>1</v>
      </c>
      <c r="K8" s="19"/>
      <c r="L8" s="19"/>
      <c r="M8" s="19"/>
      <c r="N8" s="19">
        <v>1</v>
      </c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>
        <v>1</v>
      </c>
      <c r="AD8" s="19"/>
      <c r="AE8" s="19">
        <v>1</v>
      </c>
      <c r="AF8" s="19">
        <v>1</v>
      </c>
      <c r="AG8" s="19"/>
      <c r="AH8" s="19"/>
      <c r="AI8" s="19"/>
      <c r="AJ8" s="20"/>
      <c r="AK8" s="19"/>
      <c r="AL8" s="19">
        <v>1</v>
      </c>
      <c r="AM8" s="19"/>
      <c r="AN8" s="20"/>
      <c r="AO8" s="19">
        <v>1</v>
      </c>
      <c r="AP8" s="19"/>
      <c r="AQ8" s="19">
        <v>1</v>
      </c>
      <c r="AR8" s="19"/>
      <c r="AS8" s="19">
        <v>1</v>
      </c>
      <c r="AT8" s="19"/>
      <c r="AU8" s="19">
        <v>1</v>
      </c>
      <c r="AV8" s="19"/>
      <c r="AW8" s="19"/>
      <c r="AX8" s="19">
        <v>1</v>
      </c>
      <c r="AY8" s="19"/>
      <c r="AZ8" s="19"/>
      <c r="BA8" s="19"/>
      <c r="BB8" s="19"/>
      <c r="BC8" s="21" cm="1">
        <f t="array" ref="BC8">SUMPRODUCT(--(D8:BB8=INT(D8:BB8)),--(D8:BB8&gt;0))</f>
        <v>12</v>
      </c>
      <c r="BD8" s="21">
        <f t="shared" si="0"/>
        <v>12</v>
      </c>
      <c r="BG8" s="22"/>
      <c r="BH8" s="22"/>
      <c r="BI8" s="22"/>
      <c r="BJ8" s="22"/>
      <c r="BK8" s="22"/>
      <c r="BL8" s="22"/>
      <c r="BM8" s="22"/>
      <c r="BN8" s="22"/>
    </row>
    <row r="9" customHeight="1" spans="1:67">
      <c r="A9" s="16"/>
      <c r="B9" s="17"/>
      <c r="C9" s="18">
        <v>16</v>
      </c>
      <c r="D9" s="19"/>
      <c r="E9" s="19">
        <v>1</v>
      </c>
      <c r="F9" s="19"/>
      <c r="G9" s="19"/>
      <c r="H9" s="19"/>
      <c r="I9" s="19">
        <v>1</v>
      </c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19"/>
      <c r="U9" s="19"/>
      <c r="V9" s="19"/>
      <c r="W9" s="19">
        <v>1</v>
      </c>
      <c r="X9" s="19"/>
      <c r="Y9" s="19">
        <v>1</v>
      </c>
      <c r="Z9" s="19"/>
      <c r="AA9" s="19"/>
      <c r="AB9" s="19"/>
      <c r="AC9" s="19"/>
      <c r="AD9" s="19"/>
      <c r="AE9" s="19"/>
      <c r="AF9" s="19">
        <v>2</v>
      </c>
      <c r="AG9" s="19">
        <v>2</v>
      </c>
      <c r="AH9" s="19"/>
      <c r="AI9" s="19"/>
      <c r="AJ9" s="20"/>
      <c r="AK9" s="19"/>
      <c r="AL9" s="19">
        <v>1</v>
      </c>
      <c r="AM9" s="19">
        <v>2</v>
      </c>
      <c r="AN9" s="20"/>
      <c r="AO9" s="19">
        <v>1</v>
      </c>
      <c r="AP9" s="19"/>
      <c r="AQ9" s="19"/>
      <c r="AR9" s="19"/>
      <c r="AS9" s="19">
        <v>1</v>
      </c>
      <c r="AT9" s="19"/>
      <c r="AU9" s="19">
        <v>1</v>
      </c>
      <c r="AV9" s="19"/>
      <c r="AW9" s="19"/>
      <c r="AX9" s="19"/>
      <c r="AY9" s="19"/>
      <c r="AZ9" s="19"/>
      <c r="BA9" s="19"/>
      <c r="BB9" s="19"/>
      <c r="BC9" s="21" cm="1">
        <f t="array" ref="BC9">SUMPRODUCT(--(D9:BB9=INT(D9:BB9)),--(D9:BB9&gt;0))</f>
        <v>13</v>
      </c>
      <c r="BD9" s="21">
        <f t="shared" si="0"/>
        <v>16</v>
      </c>
      <c r="BG9" s="22"/>
      <c r="BH9" s="22"/>
      <c r="BI9" s="22"/>
      <c r="BJ9" s="22"/>
      <c r="BK9" s="22"/>
      <c r="BL9" s="22"/>
      <c r="BM9" s="22"/>
      <c r="BN9" s="22"/>
    </row>
    <row r="10" customHeight="1" spans="1:67">
      <c r="A10" s="16"/>
      <c r="B10" s="17"/>
      <c r="C10" s="18">
        <v>17</v>
      </c>
      <c r="D10" s="19"/>
      <c r="E10" s="19">
        <v>1</v>
      </c>
      <c r="F10" s="19"/>
      <c r="G10" s="19"/>
      <c r="H10" s="19"/>
      <c r="I10" s="19">
        <v>1</v>
      </c>
      <c r="J10" s="19">
        <v>1</v>
      </c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>
        <v>1</v>
      </c>
      <c r="W10" s="19">
        <v>1</v>
      </c>
      <c r="X10" s="19"/>
      <c r="Y10" s="19"/>
      <c r="Z10" s="19"/>
      <c r="AA10" s="19"/>
      <c r="AB10" s="19"/>
      <c r="AC10" s="19"/>
      <c r="AD10" s="19"/>
      <c r="AE10" s="19"/>
      <c r="AF10" s="19"/>
      <c r="AG10" s="19">
        <v>1</v>
      </c>
      <c r="AH10" s="19"/>
      <c r="AI10" s="19"/>
      <c r="AJ10" s="20"/>
      <c r="AK10" s="19"/>
      <c r="AL10" s="19">
        <v>1</v>
      </c>
      <c r="AM10" s="19"/>
      <c r="AN10" s="20"/>
      <c r="AO10" s="19">
        <v>2</v>
      </c>
      <c r="AP10" s="19">
        <v>1</v>
      </c>
      <c r="AQ10" s="19">
        <v>1</v>
      </c>
      <c r="AR10" s="19"/>
      <c r="AS10" s="19">
        <v>1</v>
      </c>
      <c r="AT10" s="19"/>
      <c r="AU10" s="19">
        <v>2</v>
      </c>
      <c r="AV10" s="19"/>
      <c r="AW10" s="19"/>
      <c r="AX10" s="19"/>
      <c r="AY10" s="19"/>
      <c r="AZ10" s="19"/>
      <c r="BA10" s="19"/>
      <c r="BB10" s="19"/>
      <c r="BC10" s="21" cm="1">
        <f t="array" ref="BC10">SUMPRODUCT(--(D10:BB10=INT(D10:BB10)),--(D10:BB10&gt;0))</f>
        <v>12</v>
      </c>
      <c r="BD10" s="21">
        <f t="shared" si="0"/>
        <v>14</v>
      </c>
      <c r="BG10" s="22"/>
      <c r="BH10" s="22"/>
      <c r="BI10" s="22"/>
      <c r="BJ10" s="22"/>
      <c r="BK10" s="22"/>
      <c r="BL10" s="22"/>
      <c r="BM10" s="22"/>
      <c r="BN10" s="22"/>
    </row>
    <row r="11" customHeight="1" spans="1:67">
      <c r="A11" s="16"/>
      <c r="B11" s="17"/>
      <c r="C11" s="18">
        <v>18</v>
      </c>
      <c r="D11" s="19"/>
      <c r="E11" s="19">
        <v>1</v>
      </c>
      <c r="F11" s="19">
        <v>1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>
        <v>1</v>
      </c>
      <c r="AD11" s="19"/>
      <c r="AE11" s="19"/>
      <c r="AF11" s="19"/>
      <c r="AG11" s="19"/>
      <c r="AH11" s="19"/>
      <c r="AI11" s="19"/>
      <c r="AJ11" s="20"/>
      <c r="AK11" s="19"/>
      <c r="AL11" s="19"/>
      <c r="AM11" s="19"/>
      <c r="AN11" s="20"/>
      <c r="AO11" s="19"/>
      <c r="AP11" s="19"/>
      <c r="AQ11" s="19">
        <v>1</v>
      </c>
      <c r="AR11" s="19"/>
      <c r="AS11" s="19"/>
      <c r="AT11" s="19"/>
      <c r="AU11" s="19">
        <v>2</v>
      </c>
      <c r="AV11" s="19"/>
      <c r="AW11" s="19"/>
      <c r="AX11" s="19"/>
      <c r="AY11" s="19"/>
      <c r="AZ11" s="19"/>
      <c r="BA11" s="19"/>
      <c r="BB11" s="19"/>
      <c r="BC11" s="21" cm="1">
        <f t="array" ref="BC11">SUMPRODUCT(--(D11:BB11=INT(D11:BB11)),--(D11:BB11&gt;0))</f>
        <v>5</v>
      </c>
      <c r="BD11" s="21">
        <f t="shared" si="0"/>
        <v>6</v>
      </c>
      <c r="BF11" s="22"/>
      <c r="BG11" s="22"/>
      <c r="BH11" s="22"/>
      <c r="BI11" s="22"/>
      <c r="BJ11" s="22"/>
      <c r="BK11" s="22"/>
      <c r="BL11" s="22"/>
      <c r="BM11" s="22"/>
      <c r="BN11" s="22"/>
    </row>
    <row r="12" customHeight="1" spans="1:67">
      <c r="A12" s="16"/>
      <c r="B12" s="17"/>
      <c r="C12" s="18">
        <v>19</v>
      </c>
      <c r="D12" s="19"/>
      <c r="E12" s="19"/>
      <c r="F12" s="19"/>
      <c r="G12" s="19">
        <v>1</v>
      </c>
      <c r="H12" s="19"/>
      <c r="I12" s="19">
        <v>1</v>
      </c>
      <c r="J12" s="19"/>
      <c r="K12" s="19"/>
      <c r="L12" s="19">
        <v>1</v>
      </c>
      <c r="M12" s="19"/>
      <c r="N12" s="19">
        <v>1</v>
      </c>
      <c r="O12" s="19">
        <v>1</v>
      </c>
      <c r="P12" s="19">
        <v>1</v>
      </c>
      <c r="Q12" s="19"/>
      <c r="R12" s="19"/>
      <c r="S12" s="19"/>
      <c r="T12" s="19"/>
      <c r="U12" s="19">
        <v>1</v>
      </c>
      <c r="V12" s="19">
        <v>1</v>
      </c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20"/>
      <c r="AK12" s="19"/>
      <c r="AL12" s="19"/>
      <c r="AM12" s="19"/>
      <c r="AN12" s="20"/>
      <c r="AO12" s="19">
        <v>1</v>
      </c>
      <c r="AP12" s="19"/>
      <c r="AQ12" s="19">
        <v>1</v>
      </c>
      <c r="AR12" s="19"/>
      <c r="AS12" s="19">
        <v>1</v>
      </c>
      <c r="AT12" s="19"/>
      <c r="AU12" s="19">
        <v>1</v>
      </c>
      <c r="AV12" s="19"/>
      <c r="AW12" s="19"/>
      <c r="AX12" s="19"/>
      <c r="AY12" s="19"/>
      <c r="AZ12" s="19"/>
      <c r="BA12" s="19"/>
      <c r="BB12" s="19"/>
      <c r="BC12" s="21" cm="1">
        <f t="array" ref="BC12">SUMPRODUCT(--(D12:BB12=INT(D12:BB12)),--(D12:BB12&gt;0))</f>
        <v>12</v>
      </c>
      <c r="BD12" s="21">
        <f t="shared" si="0"/>
        <v>12</v>
      </c>
      <c r="BF12" s="22"/>
      <c r="BG12" s="22"/>
      <c r="BH12" s="22"/>
      <c r="BI12" s="22"/>
      <c r="BJ12" s="22"/>
      <c r="BK12" s="22"/>
      <c r="BL12" s="22"/>
      <c r="BM12" s="22"/>
      <c r="BN12" s="22"/>
    </row>
    <row r="13" customHeight="1" spans="1:67">
      <c r="A13" s="16"/>
      <c r="B13" s="17"/>
      <c r="C13" s="18">
        <v>22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>
        <v>1</v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>
        <v>1</v>
      </c>
      <c r="AE13" s="19"/>
      <c r="AF13" s="19"/>
      <c r="AG13" s="19"/>
      <c r="AH13" s="19"/>
      <c r="AI13" s="19"/>
      <c r="AJ13" s="20"/>
      <c r="AK13" s="19"/>
      <c r="AL13" s="19"/>
      <c r="AM13" s="19"/>
      <c r="AN13" s="20"/>
      <c r="AO13" s="19"/>
      <c r="AP13" s="19"/>
      <c r="AQ13" s="19">
        <v>1</v>
      </c>
      <c r="AR13" s="19"/>
      <c r="AS13" s="19"/>
      <c r="AT13" s="19"/>
      <c r="AU13" s="19">
        <v>2</v>
      </c>
      <c r="AV13" s="19"/>
      <c r="AW13" s="19"/>
      <c r="AX13" s="19">
        <v>1</v>
      </c>
      <c r="AY13" s="19"/>
      <c r="AZ13" s="19"/>
      <c r="BA13" s="19"/>
      <c r="BB13" s="19"/>
      <c r="BC13" s="21" cm="1">
        <f t="array" ref="BC13">SUMPRODUCT(--(D13:BB13=INT(D13:BB13)),--(D13:BB13&gt;0))</f>
        <v>6</v>
      </c>
      <c r="BD13" s="21">
        <f t="shared" si="0"/>
        <v>7</v>
      </c>
      <c r="BF13" s="22"/>
      <c r="BG13" s="22"/>
      <c r="BH13" s="22"/>
      <c r="BI13" s="22"/>
      <c r="BJ13" s="22"/>
      <c r="BK13" s="22"/>
      <c r="BL13" s="22"/>
      <c r="BM13" s="22"/>
      <c r="BN13" s="22"/>
    </row>
    <row r="14" customHeight="1" spans="1:67">
      <c r="A14" s="16"/>
      <c r="B14" s="17"/>
      <c r="C14" s="18">
        <v>23</v>
      </c>
      <c r="D14" s="19"/>
      <c r="E14" s="19"/>
      <c r="F14" s="19"/>
      <c r="G14" s="19"/>
      <c r="H14" s="19"/>
      <c r="I14" s="19">
        <v>1</v>
      </c>
      <c r="J14" s="19"/>
      <c r="K14" s="19"/>
      <c r="L14" s="19">
        <v>1</v>
      </c>
      <c r="M14" s="19"/>
      <c r="N14" s="19">
        <v>1</v>
      </c>
      <c r="O14" s="19"/>
      <c r="P14" s="19"/>
      <c r="Q14" s="19"/>
      <c r="R14" s="19"/>
      <c r="S14" s="19"/>
      <c r="T14" s="19">
        <v>1</v>
      </c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>
        <v>1</v>
      </c>
      <c r="AH14" s="19"/>
      <c r="AI14" s="19"/>
      <c r="AJ14" s="20"/>
      <c r="AK14" s="19"/>
      <c r="AL14" s="19">
        <v>1</v>
      </c>
      <c r="AM14" s="19"/>
      <c r="AN14" s="20"/>
      <c r="AO14" s="19"/>
      <c r="AP14" s="19"/>
      <c r="AQ14" s="19">
        <v>1</v>
      </c>
      <c r="AR14" s="19"/>
      <c r="AS14" s="19"/>
      <c r="AT14" s="19"/>
      <c r="AU14" s="19">
        <v>2</v>
      </c>
      <c r="AV14" s="19"/>
      <c r="AW14" s="19">
        <v>1</v>
      </c>
      <c r="AX14" s="19"/>
      <c r="AY14" s="19"/>
      <c r="AZ14" s="19"/>
      <c r="BA14" s="19"/>
      <c r="BB14" s="19"/>
      <c r="BC14" s="21" cm="1">
        <f t="array" ref="BC14">SUMPRODUCT(--(D14:BB14=INT(D14:BB14)),--(D14:BB14&gt;0))</f>
        <v>9</v>
      </c>
      <c r="BD14" s="21">
        <f t="shared" si="0"/>
        <v>10</v>
      </c>
      <c r="BF14" s="22"/>
      <c r="BG14" s="22"/>
      <c r="BH14" s="22"/>
      <c r="BI14" s="22"/>
      <c r="BJ14" s="22"/>
      <c r="BK14" s="22"/>
      <c r="BL14" s="22"/>
      <c r="BM14" s="22"/>
      <c r="BN14" s="22"/>
    </row>
    <row r="15" customHeight="1" spans="1:67">
      <c r="A15" s="16"/>
      <c r="B15" s="17"/>
      <c r="C15" s="18">
        <v>25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20"/>
      <c r="AK15" s="19"/>
      <c r="AL15" s="19"/>
      <c r="AM15" s="19"/>
      <c r="AN15" s="20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21" cm="1">
        <f t="array" ref="BC15">SUMPRODUCT(--(D15:BB15=INT(D15:BB15)),--(D15:BB15&gt;0))</f>
        <v>0</v>
      </c>
      <c r="BD15" s="21">
        <f t="shared" si="0"/>
        <v>0</v>
      </c>
      <c r="BF15" s="22"/>
      <c r="BG15" s="22"/>
      <c r="BH15" s="22"/>
      <c r="BI15" s="22"/>
      <c r="BJ15" s="22"/>
      <c r="BK15" s="22"/>
      <c r="BL15" s="22"/>
      <c r="BM15" s="22"/>
      <c r="BN15" s="22"/>
    </row>
    <row r="16" customHeight="1" spans="1:67">
      <c r="A16" s="16"/>
      <c r="B16" s="17"/>
      <c r="C16" s="18">
        <v>26</v>
      </c>
      <c r="D16" s="19"/>
      <c r="E16" s="19"/>
      <c r="F16" s="19"/>
      <c r="G16" s="19"/>
      <c r="H16" s="19"/>
      <c r="I16" s="19">
        <v>1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20"/>
      <c r="AK16" s="19"/>
      <c r="AL16" s="19"/>
      <c r="AM16" s="19"/>
      <c r="AN16" s="20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21" cm="1">
        <f t="array" ref="BC16">SUMPRODUCT(--(D16:BB16=INT(D16:BB16)),--(D16:BB16&gt;0))</f>
        <v>1</v>
      </c>
      <c r="BD16" s="21">
        <f t="shared" si="0"/>
        <v>1</v>
      </c>
      <c r="BE16" s="23" t="s">
        <v>373</v>
      </c>
      <c r="BF16" s="24" cm="1">
        <f t="array" ref="BF16">SUMPRODUCT(LEN(BF24:BF96)-LEN(SUBSTITUTE(BF24:BF96,"语","")))</f>
        <v>0</v>
      </c>
      <c r="BG16" s="24" cm="1">
        <f t="array" ref="BG16">SUMPRODUCT(LEN(BG24:BG96)-LEN(SUBSTITUTE(BG24:BG96,"语","")))</f>
        <v>0</v>
      </c>
      <c r="BH16" s="24" cm="1">
        <f t="array" ref="BH16">SUMPRODUCT(LEN(BH24:BH96)-LEN(SUBSTITUTE(BH24:BH96,"语","")))</f>
        <v>0</v>
      </c>
      <c r="BI16" s="24" cm="1">
        <f t="array" ref="BI16">SUMPRODUCT(LEN(BI24:BI96)-LEN(SUBSTITUTE(BI24:BI96,"语","")))</f>
        <v>1</v>
      </c>
      <c r="BJ16" s="24" cm="1">
        <f t="array" ref="BJ16">SUMPRODUCT(LEN(BJ24:BJ96)-LEN(SUBSTITUTE(BJ24:BJ96,"语","")))</f>
        <v>1</v>
      </c>
      <c r="BK16" s="24" cm="1">
        <f t="array" ref="BK16">SUMPRODUCT(LEN(BK24:BK96)-LEN(SUBSTITUTE(BK24:BK96,"语","")))</f>
        <v>2</v>
      </c>
      <c r="BL16" s="24" cm="1">
        <f t="array" ref="BL16">SUMPRODUCT(LEN(BL24:BL96)-LEN(SUBSTITUTE(BL24:BL96,"语","")))</f>
        <v>5</v>
      </c>
      <c r="BM16" s="24" cm="1">
        <f t="array" ref="BM16">SUMPRODUCT(LEN(BM24:BM96)-LEN(SUBSTITUTE(BM24:BM96,"语","")))</f>
        <v>0</v>
      </c>
      <c r="BN16" s="24" cm="1">
        <f t="array" ref="BN16">SUMPRODUCT(LEN(BN24:BN96)-LEN(SUBSTITUTE(BN24:BN96,"语","")))</f>
        <v>0</v>
      </c>
      <c r="BO16" s="25">
        <f>SUM(BF16:BN16)</f>
        <v>9</v>
      </c>
    </row>
    <row r="17" customHeight="1" spans="1:67">
      <c r="A17" s="16"/>
      <c r="B17" s="17"/>
      <c r="C17" s="18">
        <v>29</v>
      </c>
      <c r="D17" s="19"/>
      <c r="E17" s="19">
        <v>1</v>
      </c>
      <c r="F17" s="19"/>
      <c r="G17" s="19">
        <v>1</v>
      </c>
      <c r="H17" s="19"/>
      <c r="I17" s="19">
        <v>1</v>
      </c>
      <c r="J17" s="19"/>
      <c r="K17" s="19"/>
      <c r="L17" s="19">
        <v>1</v>
      </c>
      <c r="M17" s="19"/>
      <c r="N17" s="19">
        <v>1</v>
      </c>
      <c r="O17" s="19"/>
      <c r="P17" s="19">
        <v>1</v>
      </c>
      <c r="Q17" s="19"/>
      <c r="R17" s="19"/>
      <c r="S17" s="19"/>
      <c r="T17" s="19"/>
      <c r="U17" s="19"/>
      <c r="V17" s="19"/>
      <c r="W17" s="19">
        <v>1</v>
      </c>
      <c r="X17" s="19"/>
      <c r="Y17" s="19"/>
      <c r="Z17" s="19"/>
      <c r="AA17" s="19"/>
      <c r="AB17" s="19"/>
      <c r="AC17" s="19">
        <v>1</v>
      </c>
      <c r="AD17" s="19"/>
      <c r="AE17" s="19"/>
      <c r="AF17" s="19">
        <v>1</v>
      </c>
      <c r="AG17" s="19"/>
      <c r="AH17" s="19"/>
      <c r="AI17" s="19"/>
      <c r="AJ17" s="20"/>
      <c r="AK17" s="19"/>
      <c r="AL17" s="19"/>
      <c r="AM17" s="19"/>
      <c r="AN17" s="20"/>
      <c r="AO17" s="19">
        <v>1</v>
      </c>
      <c r="AP17" s="19">
        <v>1</v>
      </c>
      <c r="AQ17" s="19">
        <v>1</v>
      </c>
      <c r="AR17" s="19"/>
      <c r="AS17" s="19"/>
      <c r="AT17" s="19"/>
      <c r="AU17" s="19"/>
      <c r="AV17" s="19"/>
      <c r="AW17" s="19">
        <v>1</v>
      </c>
      <c r="AX17" s="19"/>
      <c r="AY17" s="19"/>
      <c r="AZ17" s="19"/>
      <c r="BA17" s="19"/>
      <c r="BB17" s="19"/>
      <c r="BC17" s="21" cm="1">
        <f t="array" ref="BC17">SUMPRODUCT(--(D17:BB17=INT(D17:BB17)),--(D17:BB17&gt;0))</f>
        <v>13</v>
      </c>
      <c r="BD17" s="21">
        <f t="shared" si="0"/>
        <v>13</v>
      </c>
      <c r="BE17" s="23" t="s">
        <v>377</v>
      </c>
      <c r="BF17" s="24" cm="1">
        <f t="array" ref="BF17">SUMPRODUCT(LEN(BF25:BF97)-LEN(SUBSTITUTE(BF25:BF97,"数","")))</f>
        <v>1</v>
      </c>
      <c r="BG17" s="24" cm="1">
        <f t="array" ref="BG17">SUMPRODUCT(LEN(BG25:BG97)-LEN(SUBSTITUTE(BG25:BG97,"数","")))</f>
        <v>2</v>
      </c>
      <c r="BH17" s="24" cm="1">
        <f t="array" ref="BH17">SUMPRODUCT(LEN(BH25:BH97)-LEN(SUBSTITUTE(BH25:BH97,"数","")))</f>
        <v>1</v>
      </c>
      <c r="BI17" s="24" cm="1">
        <f t="array" ref="BI17">SUMPRODUCT(LEN(BI25:BI97)-LEN(SUBSTITUTE(BI25:BI97,"数","")))</f>
        <v>2</v>
      </c>
      <c r="BJ17" s="24" cm="1">
        <f t="array" ref="BJ17">SUMPRODUCT(LEN(BJ25:BJ97)-LEN(SUBSTITUTE(BJ25:BJ97,"数","")))</f>
        <v>0</v>
      </c>
      <c r="BK17" s="24" cm="1">
        <f t="array" ref="BK17">SUMPRODUCT(LEN(BK25:BK97)-LEN(SUBSTITUTE(BK25:BK97,"数","")))</f>
        <v>1</v>
      </c>
      <c r="BL17" s="24" cm="1">
        <f t="array" ref="BL17">SUMPRODUCT(LEN(BL25:BL97)-LEN(SUBSTITUTE(BL25:BL97,"数","")))</f>
        <v>0</v>
      </c>
      <c r="BM17" s="24" cm="1">
        <f t="array" ref="BM17">SUMPRODUCT(LEN(BM25:BM97)-LEN(SUBSTITUTE(BM25:BM97,"数","")))</f>
        <v>0</v>
      </c>
      <c r="BN17" s="24" cm="1">
        <f t="array" ref="BN17">SUMPRODUCT(LEN(BN25:BN97)-LEN(SUBSTITUTE(BN25:BN97,"数","")))</f>
        <v>0</v>
      </c>
      <c r="BO17" s="25">
        <f t="shared" ref="BO17:BO23" si="1">SUM(BF17:BN17)</f>
        <v>7</v>
      </c>
    </row>
    <row r="18" customHeight="1" spans="1:67">
      <c r="A18" s="16"/>
      <c r="B18" s="17"/>
      <c r="C18" s="18">
        <v>30</v>
      </c>
      <c r="D18" s="19"/>
      <c r="E18" s="19"/>
      <c r="F18" s="19"/>
      <c r="G18" s="19"/>
      <c r="H18" s="19"/>
      <c r="I18" s="19">
        <v>1</v>
      </c>
      <c r="J18" s="19">
        <v>1</v>
      </c>
      <c r="K18" s="19"/>
      <c r="L18" s="19"/>
      <c r="M18" s="19"/>
      <c r="N18" s="19"/>
      <c r="O18" s="19"/>
      <c r="P18" s="19"/>
      <c r="Q18" s="19"/>
      <c r="R18" s="19">
        <v>1</v>
      </c>
      <c r="S18" s="19"/>
      <c r="T18" s="19"/>
      <c r="U18" s="19"/>
      <c r="V18" s="19"/>
      <c r="W18" s="19">
        <v>1</v>
      </c>
      <c r="X18" s="19"/>
      <c r="Y18" s="19"/>
      <c r="Z18" s="19"/>
      <c r="AA18" s="19"/>
      <c r="AB18" s="19"/>
      <c r="AC18" s="19"/>
      <c r="AD18" s="19"/>
      <c r="AE18" s="19"/>
      <c r="AF18" s="19"/>
      <c r="AG18" s="19">
        <v>1</v>
      </c>
      <c r="AH18" s="19"/>
      <c r="AI18" s="19"/>
      <c r="AJ18" s="20"/>
      <c r="AK18" s="19"/>
      <c r="AL18" s="19"/>
      <c r="AM18" s="19"/>
      <c r="AN18" s="20"/>
      <c r="AO18" s="19">
        <v>1</v>
      </c>
      <c r="AP18" s="19"/>
      <c r="AQ18" s="19">
        <v>2</v>
      </c>
      <c r="AR18" s="19"/>
      <c r="AS18" s="19">
        <v>2</v>
      </c>
      <c r="AT18" s="19"/>
      <c r="AU18" s="19">
        <v>1</v>
      </c>
      <c r="AV18" s="19"/>
      <c r="AW18" s="19">
        <v>1</v>
      </c>
      <c r="AX18" s="19"/>
      <c r="AY18" s="19">
        <v>1</v>
      </c>
      <c r="AZ18" s="19"/>
      <c r="BA18" s="19"/>
      <c r="BB18" s="19"/>
      <c r="BC18" s="21" cm="1">
        <f t="array" ref="BC18">SUMPRODUCT(--(D18:BB18=INT(D18:BB18)),--(D18:BB18&gt;0))</f>
        <v>11</v>
      </c>
      <c r="BD18" s="21">
        <f t="shared" si="0"/>
        <v>13</v>
      </c>
      <c r="BE18" s="23" t="s">
        <v>380</v>
      </c>
      <c r="BF18" s="24" cm="1">
        <f t="array" ref="BF18">SUMPRODUCT(LEN(BF26:BF98)-LEN(SUBSTITUTE(BF26:BF98,"政","")))</f>
        <v>0</v>
      </c>
      <c r="BG18" s="24" cm="1">
        <f t="array" ref="BG18">SUMPRODUCT(LEN(BG26:BG98)-LEN(SUBSTITUTE(BG26:BG98,"政","")))</f>
        <v>0</v>
      </c>
      <c r="BH18" s="24" cm="1">
        <f t="array" ref="BH18">SUMPRODUCT(LEN(BH26:BH98)-LEN(SUBSTITUTE(BH26:BH98,"政","")))</f>
        <v>7</v>
      </c>
      <c r="BI18" s="24" cm="1">
        <f t="array" ref="BI18">SUMPRODUCT(LEN(BI26:BI98)-LEN(SUBSTITUTE(BI26:BI98,"政","")))</f>
        <v>4</v>
      </c>
      <c r="BJ18" s="24" cm="1">
        <f t="array" ref="BJ18">SUMPRODUCT(LEN(BJ26:BJ98)-LEN(SUBSTITUTE(BJ26:BJ98,"政","")))</f>
        <v>0</v>
      </c>
      <c r="BK18" s="24" cm="1">
        <f t="array" ref="BK18">SUMPRODUCT(LEN(BK26:BK98)-LEN(SUBSTITUTE(BK26:BK98,"政","")))</f>
        <v>0</v>
      </c>
      <c r="BL18" s="24" cm="1">
        <f t="array" ref="BL18">SUMPRODUCT(LEN(BL26:BL98)-LEN(SUBSTITUTE(BL26:BL98,"政","")))</f>
        <v>0</v>
      </c>
      <c r="BM18" s="24" cm="1">
        <f t="array" ref="BM18">SUMPRODUCT(LEN(BM26:BM98)-LEN(SUBSTITUTE(BM26:BM98,"政","")))</f>
        <v>0</v>
      </c>
      <c r="BN18" s="24" cm="1">
        <f t="array" ref="BN18">SUMPRODUCT(LEN(BN26:BN98)-LEN(SUBSTITUTE(BN26:BN98,"政","")))</f>
        <v>0</v>
      </c>
      <c r="BO18" s="25">
        <f t="shared" si="1"/>
        <v>11</v>
      </c>
    </row>
    <row r="19" customHeight="1" spans="1:67">
      <c r="A19" s="16"/>
      <c r="B19" s="17"/>
      <c r="C19" s="18">
        <v>31</v>
      </c>
      <c r="D19" s="19"/>
      <c r="E19" s="19">
        <v>2</v>
      </c>
      <c r="F19" s="19"/>
      <c r="G19" s="19"/>
      <c r="H19" s="19"/>
      <c r="I19" s="19">
        <v>1</v>
      </c>
      <c r="J19" s="19">
        <v>1</v>
      </c>
      <c r="K19" s="19"/>
      <c r="L19" s="19"/>
      <c r="M19" s="19"/>
      <c r="N19" s="19"/>
      <c r="O19" s="19"/>
      <c r="P19" s="19"/>
      <c r="Q19" s="19"/>
      <c r="R19" s="19"/>
      <c r="S19" s="19"/>
      <c r="T19" s="19">
        <v>1</v>
      </c>
      <c r="U19" s="19"/>
      <c r="V19" s="19"/>
      <c r="W19" s="19">
        <v>3</v>
      </c>
      <c r="X19" s="19"/>
      <c r="Y19" s="19"/>
      <c r="Z19" s="19"/>
      <c r="AA19" s="19"/>
      <c r="AB19" s="19"/>
      <c r="AC19" s="19">
        <v>1</v>
      </c>
      <c r="AD19" s="19"/>
      <c r="AE19" s="19">
        <v>2</v>
      </c>
      <c r="AF19" s="19">
        <v>1</v>
      </c>
      <c r="AG19" s="19">
        <v>1</v>
      </c>
      <c r="AH19" s="19"/>
      <c r="AI19" s="19"/>
      <c r="AJ19" s="20"/>
      <c r="AK19" s="19"/>
      <c r="AL19" s="19"/>
      <c r="AM19" s="19"/>
      <c r="AN19" s="20"/>
      <c r="AO19" s="19">
        <v>1</v>
      </c>
      <c r="AP19" s="19"/>
      <c r="AQ19" s="19"/>
      <c r="AR19" s="19"/>
      <c r="AS19" s="19"/>
      <c r="AT19" s="19"/>
      <c r="AU19" s="19">
        <v>1</v>
      </c>
      <c r="AV19" s="19"/>
      <c r="AW19" s="19"/>
      <c r="AX19" s="19"/>
      <c r="AY19" s="19"/>
      <c r="AZ19" s="19"/>
      <c r="BA19" s="19"/>
      <c r="BB19" s="19"/>
      <c r="BC19" s="21" cm="1">
        <f t="array" ref="BC19">SUMPRODUCT(--(D19:BB19=INT(D19:BB19)),--(D19:BB19&gt;0))</f>
        <v>11</v>
      </c>
      <c r="BD19" s="21">
        <f t="shared" si="0"/>
        <v>15</v>
      </c>
      <c r="BE19" s="23" t="s">
        <v>382</v>
      </c>
      <c r="BF19" s="24" cm="1">
        <f t="array" ref="BF19">SUMPRODUCT(LEN(BF27:BF99)-LEN(SUBSTITUTE(BF27:BF99,"史","")))</f>
        <v>0</v>
      </c>
      <c r="BG19" s="24" cm="1">
        <f t="array" ref="BG19">SUMPRODUCT(LEN(BG27:BG99)-LEN(SUBSTITUTE(BG27:BG99,"史","")))</f>
        <v>0</v>
      </c>
      <c r="BH19" s="24" cm="1">
        <f t="array" ref="BH19">SUMPRODUCT(LEN(BH27:BH99)-LEN(SUBSTITUTE(BH27:BH99,"史","")))</f>
        <v>0</v>
      </c>
      <c r="BI19" s="24" cm="1">
        <f t="array" ref="BI19">SUMPRODUCT(LEN(BI27:BI99)-LEN(SUBSTITUTE(BI27:BI99,"史","")))</f>
        <v>0</v>
      </c>
      <c r="BJ19" s="24" cm="1">
        <f t="array" ref="BJ19">SUMPRODUCT(LEN(BJ27:BJ99)-LEN(SUBSTITUTE(BJ27:BJ99,"史","")))</f>
        <v>0</v>
      </c>
      <c r="BK19" s="24" cm="1">
        <f t="array" ref="BK19">SUMPRODUCT(LEN(BK27:BK99)-LEN(SUBSTITUTE(BK27:BK99,"史","")))</f>
        <v>0</v>
      </c>
      <c r="BL19" s="24" cm="1">
        <f t="array" ref="BL19">SUMPRODUCT(LEN(BL27:BL99)-LEN(SUBSTITUTE(BL27:BL99,"史","")))</f>
        <v>0</v>
      </c>
      <c r="BM19" s="24" cm="1">
        <f t="array" ref="BM19">SUMPRODUCT(LEN(BM27:BM99)-LEN(SUBSTITUTE(BM27:BM99,"史","")))</f>
        <v>0</v>
      </c>
      <c r="BN19" s="24" cm="1">
        <f t="array" ref="BN19">SUMPRODUCT(LEN(BN27:BN99)-LEN(SUBSTITUTE(BN27:BN99,"史","")))</f>
        <v>0</v>
      </c>
      <c r="BO19" s="25">
        <f t="shared" si="1"/>
        <v>0</v>
      </c>
    </row>
    <row r="20" customHeight="1" spans="1:67">
      <c r="A20" s="26">
        <v>26</v>
      </c>
      <c r="B20" s="17">
        <v>1</v>
      </c>
      <c r="C20" s="18">
        <v>4</v>
      </c>
      <c r="D20" s="19"/>
      <c r="E20" s="19">
        <v>1</v>
      </c>
      <c r="F20" s="19">
        <v>1</v>
      </c>
      <c r="G20" s="19"/>
      <c r="H20" s="19"/>
      <c r="I20" s="19">
        <v>1</v>
      </c>
      <c r="J20" s="19">
        <v>1</v>
      </c>
      <c r="K20" s="19"/>
      <c r="L20" s="19"/>
      <c r="M20" s="19"/>
      <c r="N20" s="19">
        <v>1</v>
      </c>
      <c r="O20" s="19"/>
      <c r="P20" s="19">
        <v>2</v>
      </c>
      <c r="Q20" s="19">
        <v>1</v>
      </c>
      <c r="R20" s="19"/>
      <c r="S20" s="19"/>
      <c r="T20" s="19">
        <v>1</v>
      </c>
      <c r="U20" s="19"/>
      <c r="V20" s="19"/>
      <c r="W20" s="19">
        <v>1</v>
      </c>
      <c r="X20" s="19"/>
      <c r="Y20" s="19">
        <v>1</v>
      </c>
      <c r="Z20" s="19"/>
      <c r="AA20" s="19"/>
      <c r="AB20" s="19"/>
      <c r="AC20" s="19">
        <v>1</v>
      </c>
      <c r="AD20" s="19"/>
      <c r="AE20" s="19">
        <v>1</v>
      </c>
      <c r="AF20" s="19">
        <v>1</v>
      </c>
      <c r="AG20" s="19">
        <v>1</v>
      </c>
      <c r="AH20" s="19">
        <v>1</v>
      </c>
      <c r="AI20" s="19"/>
      <c r="AJ20" s="20"/>
      <c r="AK20" s="19"/>
      <c r="AL20" s="19">
        <v>1</v>
      </c>
      <c r="AM20" s="19"/>
      <c r="AN20" s="20"/>
      <c r="AO20" s="19">
        <v>1</v>
      </c>
      <c r="AP20" s="19">
        <v>2</v>
      </c>
      <c r="AQ20" s="19">
        <v>2</v>
      </c>
      <c r="AR20" s="19"/>
      <c r="AS20" s="19">
        <v>1</v>
      </c>
      <c r="AT20" s="19"/>
      <c r="AU20" s="19">
        <v>3</v>
      </c>
      <c r="AV20" s="19"/>
      <c r="AW20" s="19">
        <v>1</v>
      </c>
      <c r="AX20" s="19"/>
      <c r="AY20" s="19">
        <v>1</v>
      </c>
      <c r="AZ20" s="19"/>
      <c r="BA20" s="19"/>
      <c r="BB20" s="19"/>
      <c r="BC20" s="21" cm="1">
        <f t="array" ref="BC20">SUMPRODUCT(--(D20:BB20=INT(D20:BB20)),--(D20:BB20&gt;0))</f>
        <v>23</v>
      </c>
      <c r="BD20" s="21">
        <f t="shared" si="0"/>
        <v>28</v>
      </c>
      <c r="BE20" s="23" t="s">
        <v>384</v>
      </c>
      <c r="BF20" s="24" cm="1">
        <f t="array" ref="BF20">SUMPRODUCT(LEN(BF28:BF100)-LEN(SUBSTITUTE(BF28:BF100,"地","")))</f>
        <v>0</v>
      </c>
      <c r="BG20" s="24" cm="1">
        <f t="array" ref="BG20">SUMPRODUCT(LEN(BG28:BG100)-LEN(SUBSTITUTE(BG28:BG100,"地","")))</f>
        <v>0</v>
      </c>
      <c r="BH20" s="24" cm="1">
        <f t="array" ref="BH20">SUMPRODUCT(LEN(BH28:BH100)-LEN(SUBSTITUTE(BH28:BH100,"地","")))</f>
        <v>0</v>
      </c>
      <c r="BI20" s="24" cm="1">
        <f t="array" ref="BI20">SUMPRODUCT(LEN(BI28:BI100)-LEN(SUBSTITUTE(BI28:BI100,"地","")))</f>
        <v>0</v>
      </c>
      <c r="BJ20" s="24" cm="1">
        <f t="array" ref="BJ20">SUMPRODUCT(LEN(BJ28:BJ100)-LEN(SUBSTITUTE(BJ28:BJ100,"地","")))</f>
        <v>0</v>
      </c>
      <c r="BK20" s="24" cm="1">
        <f t="array" ref="BK20">SUMPRODUCT(LEN(BK28:BK100)-LEN(SUBSTITUTE(BK28:BK100,"地","")))</f>
        <v>1</v>
      </c>
      <c r="BL20" s="24" cm="1">
        <f t="array" ref="BL20">SUMPRODUCT(LEN(BL28:BL100)-LEN(SUBSTITUTE(BL28:BL100,"地","")))</f>
        <v>2</v>
      </c>
      <c r="BM20" s="24" cm="1">
        <f t="array" ref="BM20">SUMPRODUCT(LEN(BM28:BM100)-LEN(SUBSTITUTE(BM28:BM100,"地","")))</f>
        <v>0</v>
      </c>
      <c r="BN20" s="24" cm="1">
        <f t="array" ref="BN20">SUMPRODUCT(LEN(BN28:BN100)-LEN(SUBSTITUTE(BN28:BN100,"地","")))</f>
        <v>0</v>
      </c>
      <c r="BO20" s="25">
        <f t="shared" si="1"/>
        <v>3</v>
      </c>
    </row>
    <row r="21" customHeight="1" spans="1:67">
      <c r="A21" s="27"/>
      <c r="B21" s="17"/>
      <c r="C21" s="18">
        <v>5</v>
      </c>
      <c r="D21" s="19"/>
      <c r="E21" s="19"/>
      <c r="F21" s="19"/>
      <c r="G21" s="19"/>
      <c r="H21" s="19"/>
      <c r="I21" s="19"/>
      <c r="J21" s="19"/>
      <c r="K21" s="19"/>
      <c r="L21" s="19">
        <v>1</v>
      </c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>
        <v>1</v>
      </c>
      <c r="AF21" s="19"/>
      <c r="AG21" s="19"/>
      <c r="AH21" s="19"/>
      <c r="AI21" s="19"/>
      <c r="AJ21" s="20"/>
      <c r="AK21" s="19"/>
      <c r="AL21" s="19"/>
      <c r="AM21" s="19"/>
      <c r="AN21" s="20"/>
      <c r="AO21" s="19">
        <v>2</v>
      </c>
      <c r="AP21" s="19"/>
      <c r="AQ21" s="19"/>
      <c r="AR21" s="19"/>
      <c r="AS21" s="19"/>
      <c r="AT21" s="19"/>
      <c r="AU21" s="19">
        <v>1</v>
      </c>
      <c r="AV21" s="19"/>
      <c r="AW21" s="19"/>
      <c r="AX21" s="19"/>
      <c r="AY21" s="19"/>
      <c r="AZ21" s="19"/>
      <c r="BA21" s="19"/>
      <c r="BB21" s="19"/>
      <c r="BC21" s="21" cm="1">
        <f t="array" ref="BC21">SUMPRODUCT(--(D21:BB21=INT(D21:BB21)),--(D21:BB21&gt;0))</f>
        <v>4</v>
      </c>
      <c r="BD21" s="21">
        <f t="shared" si="0"/>
        <v>5</v>
      </c>
      <c r="BE21" s="23" t="s">
        <v>387</v>
      </c>
      <c r="BF21" s="24" cm="1">
        <f t="array" ref="BF21">SUMPRODUCT(LEN(BF29:BF101)-LEN(SUBSTITUTE(BF29:BF101,"生","")))</f>
        <v>0</v>
      </c>
      <c r="BG21" s="24" cm="1">
        <f t="array" ref="BG21">SUMPRODUCT(LEN(BG29:BG101)-LEN(SUBSTITUTE(BG29:BG101,"生","")))</f>
        <v>0</v>
      </c>
      <c r="BH21" s="24" cm="1">
        <f t="array" ref="BH21">SUMPRODUCT(LEN(BH29:BH101)-LEN(SUBSTITUTE(BH29:BH101,"生","")))</f>
        <v>1</v>
      </c>
      <c r="BI21" s="24" cm="1">
        <f t="array" ref="BI21">SUMPRODUCT(LEN(BI29:BI101)-LEN(SUBSTITUTE(BI29:BI101,"生","")))</f>
        <v>2</v>
      </c>
      <c r="BJ21" s="24" cm="1">
        <f t="array" ref="BJ21">SUMPRODUCT(LEN(BJ29:BJ101)-LEN(SUBSTITUTE(BJ29:BJ101,"生","")))</f>
        <v>0</v>
      </c>
      <c r="BK21" s="24" cm="1">
        <f t="array" ref="BK21">SUMPRODUCT(LEN(BK29:BK101)-LEN(SUBSTITUTE(BK29:BK101,"生","")))</f>
        <v>0</v>
      </c>
      <c r="BL21" s="24" cm="1">
        <f t="array" ref="BL21">SUMPRODUCT(LEN(BL29:BL101)-LEN(SUBSTITUTE(BL29:BL101,"生","")))</f>
        <v>1</v>
      </c>
      <c r="BM21" s="24" cm="1">
        <f t="array" ref="BM21">SUMPRODUCT(LEN(BM29:BM101)-LEN(SUBSTITUTE(BM29:BM101,"生","")))</f>
        <v>1</v>
      </c>
      <c r="BN21" s="24" cm="1">
        <f t="array" ref="BN21">SUMPRODUCT(LEN(BN29:BN101)-LEN(SUBSTITUTE(BN29:BN101,"生","")))</f>
        <v>0</v>
      </c>
      <c r="BO21" s="25">
        <f t="shared" si="1"/>
        <v>5</v>
      </c>
    </row>
    <row r="22" customHeight="1" spans="1:67">
      <c r="A22" s="27"/>
      <c r="B22" s="17"/>
      <c r="C22" s="18">
        <v>6</v>
      </c>
      <c r="D22" s="19"/>
      <c r="E22" s="19"/>
      <c r="F22" s="19"/>
      <c r="G22" s="19"/>
      <c r="H22" s="19"/>
      <c r="I22" s="19">
        <v>1</v>
      </c>
      <c r="J22" s="19"/>
      <c r="K22" s="19"/>
      <c r="L22" s="19"/>
      <c r="M22" s="19"/>
      <c r="N22" s="19"/>
      <c r="O22" s="19"/>
      <c r="P22" s="19"/>
      <c r="Q22" s="19"/>
      <c r="R22" s="19">
        <v>1</v>
      </c>
      <c r="S22" s="19"/>
      <c r="T22" s="19">
        <v>1</v>
      </c>
      <c r="U22" s="19"/>
      <c r="V22" s="19"/>
      <c r="W22" s="19">
        <v>1</v>
      </c>
      <c r="X22" s="19"/>
      <c r="Y22" s="19">
        <v>1</v>
      </c>
      <c r="Z22" s="19"/>
      <c r="AA22" s="19"/>
      <c r="AB22" s="19"/>
      <c r="AC22" s="19">
        <v>1</v>
      </c>
      <c r="AD22" s="19">
        <v>1</v>
      </c>
      <c r="AE22" s="19">
        <v>1</v>
      </c>
      <c r="AF22" s="19"/>
      <c r="AG22" s="19"/>
      <c r="AH22" s="19"/>
      <c r="AI22" s="19"/>
      <c r="AJ22" s="20"/>
      <c r="AK22" s="19"/>
      <c r="AL22" s="19">
        <v>2</v>
      </c>
      <c r="AM22" s="19"/>
      <c r="AN22" s="20"/>
      <c r="AO22" s="19">
        <v>1</v>
      </c>
      <c r="AP22" s="19"/>
      <c r="AQ22" s="19">
        <v>1</v>
      </c>
      <c r="AR22" s="19"/>
      <c r="AS22" s="19"/>
      <c r="AT22" s="19"/>
      <c r="AU22" s="19">
        <v>1</v>
      </c>
      <c r="AV22" s="19"/>
      <c r="AW22" s="19"/>
      <c r="AX22" s="19"/>
      <c r="AY22" s="19"/>
      <c r="AZ22" s="19"/>
      <c r="BA22" s="19"/>
      <c r="BB22" s="19"/>
      <c r="BC22" s="21" cm="1">
        <f t="array" ref="BC22">SUMPRODUCT(--(D22:BB22=INT(D22:BB22)),--(D22:BB22&gt;0))</f>
        <v>12</v>
      </c>
      <c r="BD22" s="21">
        <f t="shared" si="0"/>
        <v>13</v>
      </c>
      <c r="BE22" s="23" t="s">
        <v>390</v>
      </c>
      <c r="BF22" s="24" cm="1">
        <f t="array" ref="BF22">SUMPRODUCT(LEN(BF30:BF102)-LEN(SUBSTITUTE(BF30:BF102,"物","")))</f>
        <v>0</v>
      </c>
      <c r="BG22" s="24" cm="1">
        <f t="array" ref="BG22">SUMPRODUCT(LEN(BG30:BG102)-LEN(SUBSTITUTE(BG30:BG102,"物","")))</f>
        <v>0</v>
      </c>
      <c r="BH22" s="24" cm="1">
        <f t="array" ref="BH22">SUMPRODUCT(LEN(BH30:BH102)-LEN(SUBSTITUTE(BH30:BH102,"物","")))</f>
        <v>0</v>
      </c>
      <c r="BI22" s="24" cm="1">
        <f t="array" ref="BI22">SUMPRODUCT(LEN(BI30:BI102)-LEN(SUBSTITUTE(BI30:BI102,"物","")))</f>
        <v>0</v>
      </c>
      <c r="BJ22" s="24" cm="1">
        <f t="array" ref="BJ22">SUMPRODUCT(LEN(BJ30:BJ102)-LEN(SUBSTITUTE(BJ30:BJ102,"物","")))</f>
        <v>1</v>
      </c>
      <c r="BK22" s="24" cm="1">
        <f t="array" ref="BK22">SUMPRODUCT(LEN(BK30:BK102)-LEN(SUBSTITUTE(BK30:BK102,"物","")))</f>
        <v>1</v>
      </c>
      <c r="BL22" s="24" cm="1">
        <f t="array" ref="BL22">SUMPRODUCT(LEN(BL30:BL102)-LEN(SUBSTITUTE(BL30:BL102,"物","")))</f>
        <v>0</v>
      </c>
      <c r="BM22" s="24" cm="1">
        <f t="array" ref="BM22">SUMPRODUCT(LEN(BM30:BM102)-LEN(SUBSTITUTE(BM30:BM102,"物","")))</f>
        <v>0</v>
      </c>
      <c r="BN22" s="24" cm="1">
        <f t="array" ref="BN22">SUMPRODUCT(LEN(BN30:BN102)-LEN(SUBSTITUTE(BN30:BN102,"物","")))</f>
        <v>0</v>
      </c>
      <c r="BO22" s="25">
        <f t="shared" si="1"/>
        <v>2</v>
      </c>
    </row>
    <row r="23" customHeight="1" spans="1:67">
      <c r="A23" s="27"/>
      <c r="B23" s="17"/>
      <c r="C23" s="18">
        <v>7</v>
      </c>
      <c r="D23" s="19"/>
      <c r="E23" s="19"/>
      <c r="F23" s="19"/>
      <c r="G23" s="19"/>
      <c r="H23" s="19"/>
      <c r="I23" s="19">
        <v>1</v>
      </c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20"/>
      <c r="AK23" s="19"/>
      <c r="AL23" s="19"/>
      <c r="AM23" s="19"/>
      <c r="AN23" s="20"/>
      <c r="AO23" s="19">
        <v>1</v>
      </c>
      <c r="AP23" s="19">
        <v>1</v>
      </c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21" cm="1">
        <f t="array" ref="BC23">SUMPRODUCT(--(D23:BB23=INT(D23:BB23)),--(D23:BB23&gt;0))</f>
        <v>3</v>
      </c>
      <c r="BD23" s="21">
        <f t="shared" si="0"/>
        <v>3</v>
      </c>
      <c r="BE23" s="23" t="s">
        <v>393</v>
      </c>
      <c r="BF23" s="24" cm="1">
        <f t="array" ref="BF23">SUMPRODUCT(LEN(BF31:BF103)-LEN(SUBSTITUTE(BF31:BF103,"化","")))</f>
        <v>0</v>
      </c>
      <c r="BG23" s="24" cm="1">
        <f t="array" ref="BG23">SUMPRODUCT(LEN(BG31:BG103)-LEN(SUBSTITUTE(BG31:BG103,"化","")))</f>
        <v>0</v>
      </c>
      <c r="BH23" s="24" cm="1">
        <f t="array" ref="BH23">SUMPRODUCT(LEN(BH31:BH103)-LEN(SUBSTITUTE(BH31:BH103,"化","")))</f>
        <v>0</v>
      </c>
      <c r="BI23" s="24" cm="1">
        <f t="array" ref="BI23">SUMPRODUCT(LEN(BI31:BI103)-LEN(SUBSTITUTE(BI31:BI103,"化","")))</f>
        <v>0</v>
      </c>
      <c r="BJ23" s="24" cm="1">
        <f t="array" ref="BJ23">SUMPRODUCT(LEN(BJ31:BJ103)-LEN(SUBSTITUTE(BJ31:BJ103,"化","")))</f>
        <v>0</v>
      </c>
      <c r="BK23" s="24" cm="1">
        <f t="array" ref="BK23">SUMPRODUCT(LEN(BK31:BK103)-LEN(SUBSTITUTE(BK31:BK103,"化","")))</f>
        <v>0</v>
      </c>
      <c r="BL23" s="24" cm="1">
        <f t="array" ref="BL23">SUMPRODUCT(LEN(BL31:BL103)-LEN(SUBSTITUTE(BL31:BL103,"化","")))</f>
        <v>0</v>
      </c>
      <c r="BM23" s="24" cm="1">
        <f t="array" ref="BM23">SUMPRODUCT(LEN(BM31:BM103)-LEN(SUBSTITUTE(BM31:BM103,"化","")))</f>
        <v>0</v>
      </c>
      <c r="BN23" s="24" cm="1">
        <f t="array" ref="BN23">SUMPRODUCT(LEN(BN31:BN103)-LEN(SUBSTITUTE(BN31:BN103,"化","")))</f>
        <v>0</v>
      </c>
      <c r="BO23" s="25">
        <f t="shared" si="1"/>
        <v>0</v>
      </c>
    </row>
    <row r="24" customHeight="1" spans="1:67">
      <c r="A24" s="27"/>
      <c r="B24" s="17"/>
      <c r="C24" s="18">
        <v>8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20"/>
      <c r="AK24" s="19"/>
      <c r="AL24" s="19"/>
      <c r="AM24" s="19"/>
      <c r="AN24" s="20"/>
      <c r="AO24" s="19">
        <v>1</v>
      </c>
      <c r="AP24" s="19"/>
      <c r="AQ24" s="19"/>
      <c r="AR24" s="19"/>
      <c r="AS24" s="19">
        <v>1</v>
      </c>
      <c r="AT24" s="19"/>
      <c r="AU24" s="19"/>
      <c r="AV24" s="19"/>
      <c r="AW24" s="19"/>
      <c r="AX24" s="19"/>
      <c r="AY24" s="19"/>
      <c r="AZ24" s="19"/>
      <c r="BA24" s="19"/>
      <c r="BB24" s="19"/>
      <c r="BC24" s="21" cm="1">
        <f t="array" ref="BC24">SUMPRODUCT(--(D24:BB24=INT(D24:BB24)),--(D24:BB24&gt;0))</f>
        <v>2</v>
      </c>
      <c r="BD24" s="21">
        <f t="shared" si="0"/>
        <v>2</v>
      </c>
      <c r="BF24" s="28"/>
      <c r="BG24" s="28"/>
      <c r="BH24" s="28"/>
      <c r="BI24" s="28"/>
      <c r="BJ24" s="28"/>
      <c r="BK24" s="28"/>
      <c r="BL24" s="28"/>
      <c r="BM24" s="28" t="s">
        <v>718</v>
      </c>
      <c r="BN24" s="29"/>
      <c r="BO24" s="25">
        <f t="shared" ref="BO17:BO48" si="2">COUNTA(BF24:BN24)</f>
        <v>1</v>
      </c>
    </row>
    <row r="25" customHeight="1" spans="1:67">
      <c r="A25" s="27"/>
      <c r="B25" s="17"/>
      <c r="C25" s="18">
        <v>11</v>
      </c>
      <c r="D25" s="19">
        <v>1</v>
      </c>
      <c r="E25" s="19">
        <v>1</v>
      </c>
      <c r="F25" s="19"/>
      <c r="G25" s="19"/>
      <c r="H25" s="19"/>
      <c r="I25" s="19"/>
      <c r="J25" s="19">
        <v>1</v>
      </c>
      <c r="K25" s="19">
        <v>1</v>
      </c>
      <c r="L25" s="19"/>
      <c r="M25" s="19">
        <v>1</v>
      </c>
      <c r="N25" s="19">
        <v>1</v>
      </c>
      <c r="O25" s="19">
        <v>1</v>
      </c>
      <c r="P25" s="19">
        <v>1</v>
      </c>
      <c r="Q25" s="19"/>
      <c r="R25" s="19">
        <v>1</v>
      </c>
      <c r="S25" s="19">
        <v>1</v>
      </c>
      <c r="T25" s="19"/>
      <c r="U25" s="19"/>
      <c r="V25" s="19"/>
      <c r="W25" s="19">
        <v>1</v>
      </c>
      <c r="X25" s="19"/>
      <c r="Y25" s="19">
        <v>1</v>
      </c>
      <c r="Z25" s="19">
        <v>1</v>
      </c>
      <c r="AA25" s="19"/>
      <c r="AB25" s="19"/>
      <c r="AC25" s="19">
        <v>1</v>
      </c>
      <c r="AD25" s="19">
        <v>1</v>
      </c>
      <c r="AE25" s="19">
        <v>1</v>
      </c>
      <c r="AF25" s="19">
        <v>1</v>
      </c>
      <c r="AG25" s="19">
        <v>1</v>
      </c>
      <c r="AH25" s="19">
        <v>1</v>
      </c>
      <c r="AI25" s="19"/>
      <c r="AJ25" s="20"/>
      <c r="AK25" s="19">
        <v>1</v>
      </c>
      <c r="AL25" s="19"/>
      <c r="AM25" s="19">
        <v>1</v>
      </c>
      <c r="AN25" s="20"/>
      <c r="AO25" s="19">
        <v>1</v>
      </c>
      <c r="AP25" s="19">
        <v>2</v>
      </c>
      <c r="AQ25" s="19">
        <v>1</v>
      </c>
      <c r="AR25" s="19"/>
      <c r="AS25" s="19">
        <v>2</v>
      </c>
      <c r="AT25" s="19"/>
      <c r="AU25" s="19">
        <v>2</v>
      </c>
      <c r="AV25" s="19"/>
      <c r="AW25" s="19">
        <v>1</v>
      </c>
      <c r="AX25" s="19">
        <v>1</v>
      </c>
      <c r="AY25" s="19"/>
      <c r="AZ25" s="19"/>
      <c r="BA25" s="19"/>
      <c r="BB25" s="19"/>
      <c r="BC25" s="21" cm="1">
        <f t="array" ref="BC25">SUMPRODUCT(--(D25:BB25=INT(D25:BB25)),--(D25:BB25&gt;0))</f>
        <v>28</v>
      </c>
      <c r="BD25" s="21">
        <f t="shared" si="0"/>
        <v>31</v>
      </c>
      <c r="BF25" s="25"/>
      <c r="BG25" s="25"/>
      <c r="BH25" s="25"/>
      <c r="BI25" s="25"/>
      <c r="BJ25" s="25"/>
      <c r="BK25" s="25"/>
      <c r="BL25" s="25"/>
      <c r="BM25" s="25"/>
      <c r="BN25" s="30"/>
      <c r="BO25" s="25">
        <f t="shared" si="2"/>
        <v>0</v>
      </c>
    </row>
    <row r="26" customHeight="1" spans="1:67">
      <c r="A26" s="27"/>
      <c r="B26" s="17"/>
      <c r="C26" s="18">
        <v>12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>
        <v>1</v>
      </c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20"/>
      <c r="AK26" s="19"/>
      <c r="AL26" s="19"/>
      <c r="AM26" s="19"/>
      <c r="AN26" s="20"/>
      <c r="AO26" s="19">
        <v>1</v>
      </c>
      <c r="AP26" s="19"/>
      <c r="AQ26" s="19"/>
      <c r="AR26" s="19"/>
      <c r="AS26" s="19"/>
      <c r="AT26" s="19"/>
      <c r="AU26" s="19">
        <v>1</v>
      </c>
      <c r="AV26" s="19"/>
      <c r="AW26" s="19"/>
      <c r="AX26" s="19"/>
      <c r="AY26" s="19"/>
      <c r="AZ26" s="19"/>
      <c r="BA26" s="19"/>
      <c r="BB26" s="19"/>
      <c r="BC26" s="21" cm="1">
        <f t="array" ref="BC26">SUMPRODUCT(--(D26:BB26=INT(D26:BB26)),--(D26:BB26&gt;0))</f>
        <v>3</v>
      </c>
      <c r="BD26" s="21">
        <f t="shared" si="0"/>
        <v>3</v>
      </c>
      <c r="BF26" s="25"/>
      <c r="BG26" s="25"/>
      <c r="BH26" s="25"/>
      <c r="BI26" s="25"/>
      <c r="BJ26" s="25"/>
      <c r="BK26" s="25"/>
      <c r="BL26" s="25"/>
      <c r="BM26" s="25"/>
      <c r="BN26" s="30"/>
      <c r="BO26" s="25">
        <f t="shared" si="2"/>
        <v>0</v>
      </c>
    </row>
    <row r="27" customHeight="1" spans="1:67">
      <c r="A27" s="27"/>
      <c r="B27" s="17"/>
      <c r="C27" s="18">
        <v>13</v>
      </c>
      <c r="D27" s="19"/>
      <c r="E27" s="19"/>
      <c r="F27" s="19"/>
      <c r="G27" s="19"/>
      <c r="H27" s="19"/>
      <c r="I27" s="19"/>
      <c r="J27" s="19"/>
      <c r="K27" s="19"/>
      <c r="L27" s="19">
        <v>1</v>
      </c>
      <c r="M27" s="19"/>
      <c r="N27" s="19">
        <v>1</v>
      </c>
      <c r="O27" s="19"/>
      <c r="P27" s="19">
        <v>1</v>
      </c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20"/>
      <c r="AK27" s="19"/>
      <c r="AL27" s="19"/>
      <c r="AM27" s="19"/>
      <c r="AN27" s="20"/>
      <c r="AO27" s="19">
        <v>1</v>
      </c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21" cm="1">
        <f t="array" ref="BC27">SUMPRODUCT(--(D27:BB27=INT(D27:BB27)),--(D27:BB27&gt;0))</f>
        <v>4</v>
      </c>
      <c r="BD27" s="21">
        <f t="shared" si="0"/>
        <v>4</v>
      </c>
      <c r="BF27" s="25"/>
      <c r="BG27" s="25"/>
      <c r="BH27" s="25"/>
      <c r="BI27" s="25"/>
      <c r="BJ27" s="25"/>
      <c r="BK27" s="25" t="s">
        <v>719</v>
      </c>
      <c r="BL27" s="25"/>
      <c r="BM27" s="25"/>
      <c r="BN27" s="30"/>
      <c r="BO27" s="25">
        <f t="shared" si="2"/>
        <v>1</v>
      </c>
    </row>
    <row r="28" customHeight="1" spans="1:67">
      <c r="A28" s="27"/>
      <c r="B28" s="17"/>
      <c r="C28" s="18">
        <v>14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20"/>
      <c r="AK28" s="19"/>
      <c r="AL28" s="19"/>
      <c r="AM28" s="19"/>
      <c r="AN28" s="20"/>
      <c r="AO28" s="19">
        <v>1</v>
      </c>
      <c r="AP28" s="19"/>
      <c r="AQ28" s="19"/>
      <c r="AR28" s="19"/>
      <c r="AS28" s="19"/>
      <c r="AT28" s="19"/>
      <c r="AU28" s="19">
        <v>1</v>
      </c>
      <c r="AV28" s="19"/>
      <c r="AW28" s="19"/>
      <c r="AX28" s="19"/>
      <c r="AY28" s="19"/>
      <c r="AZ28" s="19"/>
      <c r="BA28" s="19"/>
      <c r="BB28" s="19"/>
      <c r="BC28" s="21" cm="1">
        <f t="array" ref="BC28">SUMPRODUCT(--(D28:BB28=INT(D28:BB28)),--(D28:BB28&gt;0))</f>
        <v>2</v>
      </c>
      <c r="BD28" s="21">
        <f t="shared" si="0"/>
        <v>2</v>
      </c>
      <c r="BF28" s="25"/>
      <c r="BG28" s="25"/>
      <c r="BH28" s="25"/>
      <c r="BI28" s="25"/>
      <c r="BJ28" s="25"/>
      <c r="BK28" s="25"/>
      <c r="BL28" s="25"/>
      <c r="BM28" s="25"/>
      <c r="BN28" s="30"/>
      <c r="BO28" s="25">
        <f t="shared" si="2"/>
        <v>0</v>
      </c>
    </row>
    <row r="29" customHeight="1" spans="1:67">
      <c r="A29" s="27"/>
      <c r="B29" s="17"/>
      <c r="C29" s="18">
        <v>15</v>
      </c>
      <c r="D29" s="19"/>
      <c r="E29" s="19"/>
      <c r="F29" s="19"/>
      <c r="G29" s="19"/>
      <c r="H29" s="19"/>
      <c r="I29" s="19"/>
      <c r="J29" s="19">
        <v>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20"/>
      <c r="AK29" s="19"/>
      <c r="AL29" s="19"/>
      <c r="AM29" s="19">
        <v>1</v>
      </c>
      <c r="AN29" s="20"/>
      <c r="AO29" s="19"/>
      <c r="AP29" s="19"/>
      <c r="AQ29" s="19"/>
      <c r="AR29" s="19"/>
      <c r="AS29" s="19"/>
      <c r="AT29" s="19"/>
      <c r="AU29" s="19"/>
      <c r="AV29" s="19"/>
      <c r="AW29" s="19">
        <v>1</v>
      </c>
      <c r="AX29" s="19"/>
      <c r="AY29" s="19"/>
      <c r="AZ29" s="19"/>
      <c r="BA29" s="19"/>
      <c r="BB29" s="19"/>
      <c r="BC29" s="21" cm="1">
        <f t="array" ref="BC29">SUMPRODUCT(--(D29:BB29=INT(D29:BB29)),--(D29:BB29&gt;0))</f>
        <v>3</v>
      </c>
      <c r="BD29" s="21">
        <f t="shared" si="0"/>
        <v>3</v>
      </c>
      <c r="BF29" s="25"/>
      <c r="BG29" s="25"/>
      <c r="BH29" s="25"/>
      <c r="BI29" s="25"/>
      <c r="BJ29" s="25"/>
      <c r="BK29" s="25"/>
      <c r="BL29" s="25"/>
      <c r="BM29" s="25"/>
      <c r="BN29" s="30"/>
      <c r="BO29" s="25">
        <f t="shared" si="2"/>
        <v>0</v>
      </c>
    </row>
    <row r="30" customHeight="1" spans="1:67">
      <c r="A30" s="27"/>
      <c r="B30" s="17"/>
      <c r="C30" s="18">
        <v>16</v>
      </c>
      <c r="D30" s="19"/>
      <c r="E30" s="19"/>
      <c r="F30" s="19"/>
      <c r="G30" s="19"/>
      <c r="H30" s="19"/>
      <c r="I30" s="19"/>
      <c r="J30" s="19"/>
      <c r="K30" s="19"/>
      <c r="L30" s="19">
        <v>1</v>
      </c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20"/>
      <c r="AK30" s="19"/>
      <c r="AL30" s="19"/>
      <c r="AM30" s="19"/>
      <c r="AN30" s="20"/>
      <c r="AO30" s="19"/>
      <c r="AP30" s="19"/>
      <c r="AQ30" s="19"/>
      <c r="AR30" s="19"/>
      <c r="AS30" s="19"/>
      <c r="AT30" s="19"/>
      <c r="AU30" s="19"/>
      <c r="AV30" s="19"/>
      <c r="AW30" s="19">
        <v>1</v>
      </c>
      <c r="AX30" s="19"/>
      <c r="AY30" s="19"/>
      <c r="AZ30" s="19"/>
      <c r="BA30" s="19"/>
      <c r="BB30" s="19"/>
      <c r="BC30" s="21" cm="1">
        <f t="array" ref="BC30">SUMPRODUCT(--(D30:BB30=INT(D30:BB30)),--(D30:BB30&gt;0))</f>
        <v>2</v>
      </c>
      <c r="BD30" s="21">
        <f t="shared" si="0"/>
        <v>2</v>
      </c>
      <c r="BF30" s="25" t="s">
        <v>719</v>
      </c>
      <c r="BG30" s="25"/>
      <c r="BH30" s="25"/>
      <c r="BI30" s="25"/>
      <c r="BJ30" s="25"/>
      <c r="BK30" s="25"/>
      <c r="BL30" s="25"/>
      <c r="BM30" s="25"/>
      <c r="BN30" s="30"/>
      <c r="BO30" s="25">
        <f t="shared" si="2"/>
        <v>1</v>
      </c>
    </row>
    <row r="31" customHeight="1" spans="1:67">
      <c r="A31" s="27"/>
      <c r="B31" s="17"/>
      <c r="C31" s="18">
        <v>19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>
        <v>1</v>
      </c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20"/>
      <c r="AK31" s="19"/>
      <c r="AL31" s="19"/>
      <c r="AM31" s="19"/>
      <c r="AN31" s="20"/>
      <c r="AO31" s="19">
        <v>1</v>
      </c>
      <c r="AP31" s="19"/>
      <c r="AQ31" s="19"/>
      <c r="AR31" s="19"/>
      <c r="AS31" s="19">
        <v>1</v>
      </c>
      <c r="AT31" s="19"/>
      <c r="AU31" s="19">
        <v>1</v>
      </c>
      <c r="AV31" s="19"/>
      <c r="AW31" s="19"/>
      <c r="AX31" s="19"/>
      <c r="AY31" s="19">
        <v>1</v>
      </c>
      <c r="AZ31" s="19"/>
      <c r="BA31" s="19"/>
      <c r="BB31" s="19"/>
      <c r="BC31" s="21" cm="1">
        <f t="array" ref="BC31">SUMPRODUCT(--(D31:BB31=INT(D31:BB31)),--(D31:BB31&gt;0))</f>
        <v>5</v>
      </c>
      <c r="BD31" s="21">
        <f t="shared" si="0"/>
        <v>5</v>
      </c>
      <c r="BF31" s="25"/>
      <c r="BG31" s="25"/>
      <c r="BH31" s="25"/>
      <c r="BI31" s="25"/>
      <c r="BJ31" s="25"/>
      <c r="BK31" s="25"/>
      <c r="BL31" s="25"/>
      <c r="BM31" s="25"/>
      <c r="BN31" s="30"/>
      <c r="BO31" s="25">
        <f t="shared" si="2"/>
        <v>0</v>
      </c>
    </row>
    <row r="32" customHeight="1" spans="1:67">
      <c r="A32" s="27"/>
      <c r="B32" s="17"/>
      <c r="C32" s="18">
        <v>20</v>
      </c>
      <c r="D32" s="19"/>
      <c r="E32" s="19">
        <v>1</v>
      </c>
      <c r="F32" s="19"/>
      <c r="G32" s="19"/>
      <c r="H32" s="19"/>
      <c r="I32" s="19"/>
      <c r="J32" s="19"/>
      <c r="K32" s="19"/>
      <c r="L32" s="19">
        <v>1</v>
      </c>
      <c r="M32" s="19"/>
      <c r="N32" s="19"/>
      <c r="O32" s="19"/>
      <c r="P32" s="19">
        <v>1</v>
      </c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20"/>
      <c r="AK32" s="19"/>
      <c r="AL32" s="19"/>
      <c r="AM32" s="19"/>
      <c r="AN32" s="20"/>
      <c r="AO32" s="19">
        <v>1</v>
      </c>
      <c r="AP32" s="19">
        <v>2</v>
      </c>
      <c r="AQ32" s="19">
        <v>2</v>
      </c>
      <c r="AR32" s="19"/>
      <c r="AS32" s="19"/>
      <c r="AT32" s="19"/>
      <c r="AU32" s="19"/>
      <c r="AV32" s="19"/>
      <c r="AW32" s="19">
        <v>1</v>
      </c>
      <c r="AX32" s="19"/>
      <c r="AY32" s="19"/>
      <c r="AZ32" s="19"/>
      <c r="BA32" s="19"/>
      <c r="BB32" s="19"/>
      <c r="BC32" s="21" cm="1">
        <f t="array" ref="BC32">SUMPRODUCT(--(D32:BB32=INT(D32:BB32)),--(D32:BB32&gt;0))</f>
        <v>7</v>
      </c>
      <c r="BD32" s="21">
        <f t="shared" si="0"/>
        <v>9</v>
      </c>
      <c r="BF32" s="25"/>
      <c r="BG32" s="25"/>
      <c r="BH32" s="25"/>
      <c r="BI32" s="25"/>
      <c r="BJ32" s="25"/>
      <c r="BK32" s="25"/>
      <c r="BL32" s="25"/>
      <c r="BM32" s="25"/>
      <c r="BN32" s="30"/>
      <c r="BO32" s="25">
        <f t="shared" si="2"/>
        <v>0</v>
      </c>
    </row>
    <row r="33" customHeight="1" spans="1:67">
      <c r="A33" s="27"/>
      <c r="B33" s="17"/>
      <c r="C33" s="18">
        <v>21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20"/>
      <c r="AK33" s="19"/>
      <c r="AL33" s="19"/>
      <c r="AM33" s="19"/>
      <c r="AN33" s="20"/>
      <c r="AO33" s="19"/>
      <c r="AP33" s="19">
        <v>1</v>
      </c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21" cm="1">
        <f t="array" ref="BC33">SUMPRODUCT(--(D33:BB33=INT(D33:BB33)),--(D33:BB33&gt;0))</f>
        <v>1</v>
      </c>
      <c r="BD33" s="21">
        <f t="shared" si="0"/>
        <v>1</v>
      </c>
      <c r="BF33" s="25"/>
      <c r="BG33" s="25"/>
      <c r="BH33" s="25"/>
      <c r="BI33" s="25"/>
      <c r="BJ33" s="25"/>
      <c r="BK33" s="25"/>
      <c r="BL33" s="25"/>
      <c r="BM33" s="25"/>
      <c r="BN33" s="30"/>
      <c r="BO33" s="25">
        <f t="shared" si="2"/>
        <v>0</v>
      </c>
    </row>
    <row r="34" customHeight="1" spans="1:67">
      <c r="A34" s="27"/>
      <c r="B34" s="17"/>
      <c r="C34" s="18">
        <v>22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  <c r="AK34" s="19"/>
      <c r="AL34" s="19"/>
      <c r="AM34" s="19"/>
      <c r="AN34" s="20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21" cm="1">
        <f t="array" ref="BC34">SUMPRODUCT(--(D34:BB34=INT(D34:BB34)),--(D34:BB34&gt;0))</f>
        <v>0</v>
      </c>
      <c r="BD34" s="21">
        <f t="shared" si="0"/>
        <v>0</v>
      </c>
      <c r="BF34" s="25"/>
      <c r="BG34" s="25"/>
      <c r="BH34" s="25"/>
      <c r="BI34" s="25"/>
      <c r="BJ34" s="25"/>
      <c r="BK34" s="25"/>
      <c r="BL34" s="25"/>
      <c r="BM34" s="25"/>
      <c r="BN34" s="30"/>
      <c r="BO34" s="25">
        <f t="shared" si="2"/>
        <v>0</v>
      </c>
    </row>
    <row r="35" customHeight="1" spans="1:67">
      <c r="A35" s="27"/>
      <c r="B35" s="17"/>
      <c r="C35" s="18">
        <v>23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20"/>
      <c r="AK35" s="19"/>
      <c r="AL35" s="19"/>
      <c r="AM35" s="19"/>
      <c r="AN35" s="20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21" cm="1">
        <f t="array" ref="BC35">SUMPRODUCT(--(D35:BB35=INT(D35:BB35)),--(D35:BB35&gt;0))</f>
        <v>0</v>
      </c>
      <c r="BD35" s="21">
        <f t="shared" si="0"/>
        <v>0</v>
      </c>
      <c r="BF35" s="25"/>
      <c r="BG35" s="25"/>
      <c r="BH35" s="25" t="s">
        <v>720</v>
      </c>
      <c r="BI35" s="25"/>
      <c r="BJ35" s="25"/>
      <c r="BK35" s="25" t="s">
        <v>721</v>
      </c>
      <c r="BL35" s="25"/>
      <c r="BM35" s="25"/>
      <c r="BN35" s="30"/>
      <c r="BO35" s="25">
        <f t="shared" si="2"/>
        <v>2</v>
      </c>
    </row>
    <row r="36" customHeight="1" spans="1:67">
      <c r="A36" s="27"/>
      <c r="B36" s="17">
        <v>2</v>
      </c>
      <c r="C36" s="18">
        <v>26</v>
      </c>
      <c r="D36" s="19"/>
      <c r="E36" s="19"/>
      <c r="F36" s="19"/>
      <c r="G36" s="19">
        <v>1</v>
      </c>
      <c r="H36" s="19"/>
      <c r="I36" s="19">
        <v>1</v>
      </c>
      <c r="J36" s="19">
        <v>1</v>
      </c>
      <c r="K36" s="19"/>
      <c r="L36" s="19"/>
      <c r="M36" s="19"/>
      <c r="N36" s="19">
        <v>1</v>
      </c>
      <c r="O36" s="19"/>
      <c r="P36" s="19"/>
      <c r="Q36" s="19"/>
      <c r="R36" s="19">
        <v>1</v>
      </c>
      <c r="S36" s="19"/>
      <c r="T36" s="19"/>
      <c r="U36" s="19"/>
      <c r="V36" s="19"/>
      <c r="W36" s="19">
        <v>2</v>
      </c>
      <c r="X36" s="19"/>
      <c r="Y36" s="19"/>
      <c r="Z36" s="19"/>
      <c r="AA36" s="19"/>
      <c r="AB36" s="19"/>
      <c r="AC36" s="19">
        <v>1</v>
      </c>
      <c r="AD36" s="19">
        <v>1</v>
      </c>
      <c r="AE36" s="19"/>
      <c r="AF36" s="19">
        <v>1</v>
      </c>
      <c r="AG36" s="19">
        <v>1</v>
      </c>
      <c r="AH36" s="19">
        <v>1</v>
      </c>
      <c r="AI36" s="19"/>
      <c r="AJ36" s="20"/>
      <c r="AK36" s="19"/>
      <c r="AL36" s="19"/>
      <c r="AM36" s="19"/>
      <c r="AN36" s="20"/>
      <c r="AO36" s="19">
        <v>2</v>
      </c>
      <c r="AP36" s="19">
        <v>1</v>
      </c>
      <c r="AQ36" s="19">
        <v>1</v>
      </c>
      <c r="AR36" s="19"/>
      <c r="AS36" s="19"/>
      <c r="AT36" s="19"/>
      <c r="AU36" s="19">
        <v>1</v>
      </c>
      <c r="AV36" s="19"/>
      <c r="AW36" s="19"/>
      <c r="AX36" s="19">
        <v>1</v>
      </c>
      <c r="AY36" s="19">
        <v>1</v>
      </c>
      <c r="AZ36" s="19"/>
      <c r="BA36" s="19"/>
      <c r="BB36" s="19">
        <v>1</v>
      </c>
      <c r="BC36" s="21" cm="1">
        <f t="array" ref="BC36">SUMPRODUCT(--(D36:BB36=INT(D36:BB36)),--(D36:BB36&gt;0))</f>
        <v>18</v>
      </c>
      <c r="BD36" s="21">
        <f t="shared" si="0"/>
        <v>20</v>
      </c>
      <c r="BF36" s="25"/>
      <c r="BG36" s="25"/>
      <c r="BH36" s="25"/>
      <c r="BI36" s="25"/>
      <c r="BJ36" s="25"/>
      <c r="BK36" s="25"/>
      <c r="BL36" s="25"/>
      <c r="BM36" s="25"/>
      <c r="BN36" s="30"/>
      <c r="BO36" s="25">
        <f t="shared" si="2"/>
        <v>0</v>
      </c>
    </row>
    <row r="37" customHeight="1" spans="1:67">
      <c r="A37" s="27"/>
      <c r="B37" s="17"/>
      <c r="C37" s="18">
        <v>27</v>
      </c>
      <c r="D37" s="19"/>
      <c r="E37" s="19"/>
      <c r="F37" s="19"/>
      <c r="G37" s="19"/>
      <c r="H37" s="19"/>
      <c r="I37" s="19">
        <v>1</v>
      </c>
      <c r="J37" s="19">
        <v>1</v>
      </c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>
        <v>1</v>
      </c>
      <c r="AG37" s="19"/>
      <c r="AH37" s="19"/>
      <c r="AI37" s="19"/>
      <c r="AJ37" s="20"/>
      <c r="AK37" s="19"/>
      <c r="AL37" s="19"/>
      <c r="AM37" s="19"/>
      <c r="AN37" s="20"/>
      <c r="AO37" s="19">
        <v>2</v>
      </c>
      <c r="AP37" s="19"/>
      <c r="AQ37" s="19">
        <v>1</v>
      </c>
      <c r="AR37" s="19"/>
      <c r="AS37" s="19"/>
      <c r="AT37" s="19"/>
      <c r="AU37" s="19"/>
      <c r="AV37" s="19"/>
      <c r="AW37" s="19">
        <v>1</v>
      </c>
      <c r="AX37" s="19"/>
      <c r="AY37" s="19"/>
      <c r="AZ37" s="19"/>
      <c r="BA37" s="19"/>
      <c r="BB37" s="19"/>
      <c r="BC37" s="21" cm="1">
        <f t="array" ref="BC37">SUMPRODUCT(--(D37:BB37=INT(D37:BB37)),--(D37:BB37&gt;0))</f>
        <v>6</v>
      </c>
      <c r="BD37" s="21">
        <f t="shared" si="0"/>
        <v>7</v>
      </c>
      <c r="BF37" s="25"/>
      <c r="BG37" s="25"/>
      <c r="BH37" s="25"/>
      <c r="BI37" s="25"/>
      <c r="BJ37" s="25"/>
      <c r="BK37" s="25"/>
      <c r="BL37" s="25"/>
      <c r="BM37" s="25"/>
      <c r="BN37" s="30"/>
      <c r="BO37" s="25">
        <f t="shared" si="2"/>
        <v>0</v>
      </c>
    </row>
    <row r="38" customHeight="1" spans="1:67">
      <c r="A38" s="27"/>
      <c r="B38" s="17"/>
      <c r="C38" s="18">
        <v>28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20"/>
      <c r="AK38" s="19"/>
      <c r="AL38" s="19">
        <v>1</v>
      </c>
      <c r="AM38" s="19"/>
      <c r="AN38" s="20"/>
      <c r="AO38" s="19"/>
      <c r="AP38" s="19">
        <v>1</v>
      </c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21" cm="1">
        <f t="array" ref="BC38">SUMPRODUCT(--(D38:BB38=INT(D38:BB38)),--(D38:BB38&gt;0))</f>
        <v>2</v>
      </c>
      <c r="BD38" s="21">
        <f t="shared" si="0"/>
        <v>2</v>
      </c>
      <c r="BF38" s="25"/>
      <c r="BG38" s="25"/>
      <c r="BH38" s="25"/>
      <c r="BI38" s="25"/>
      <c r="BJ38" s="25"/>
      <c r="BK38" s="25"/>
      <c r="BL38" s="25"/>
      <c r="BM38" s="25"/>
      <c r="BN38" s="30"/>
      <c r="BO38" s="25">
        <f t="shared" si="2"/>
        <v>0</v>
      </c>
    </row>
    <row r="39" customHeight="1" spans="1:67">
      <c r="A39" s="27"/>
      <c r="B39" s="17">
        <v>3</v>
      </c>
      <c r="C39" s="18">
        <v>2</v>
      </c>
      <c r="D39" s="19"/>
      <c r="E39" s="19"/>
      <c r="F39" s="19"/>
      <c r="G39" s="19"/>
      <c r="H39" s="19"/>
      <c r="I39" s="19">
        <v>1</v>
      </c>
      <c r="J39" s="19"/>
      <c r="K39" s="19"/>
      <c r="L39" s="19"/>
      <c r="M39" s="19"/>
      <c r="N39" s="19"/>
      <c r="O39" s="19"/>
      <c r="P39" s="19">
        <v>1</v>
      </c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20"/>
      <c r="AK39" s="19"/>
      <c r="AL39" s="19"/>
      <c r="AM39" s="19"/>
      <c r="AN39" s="20"/>
      <c r="AO39" s="19"/>
      <c r="AP39" s="19"/>
      <c r="AQ39" s="19"/>
      <c r="AR39" s="19"/>
      <c r="AS39" s="19"/>
      <c r="AT39" s="19"/>
      <c r="AU39" s="19">
        <v>1</v>
      </c>
      <c r="AV39" s="19"/>
      <c r="AW39" s="19"/>
      <c r="AX39" s="19"/>
      <c r="AY39" s="19"/>
      <c r="AZ39" s="19"/>
      <c r="BA39" s="19"/>
      <c r="BB39" s="19"/>
      <c r="BC39" s="21" cm="1">
        <f t="array" ref="BC39">SUMPRODUCT(--(D39:BB39=INT(D39:BB39)),--(D39:BB39&gt;0))</f>
        <v>3</v>
      </c>
      <c r="BD39" s="21">
        <f t="shared" si="0"/>
        <v>3</v>
      </c>
      <c r="BF39" s="25"/>
      <c r="BG39" s="25"/>
      <c r="BH39" s="25"/>
      <c r="BI39" s="25"/>
      <c r="BJ39" s="25"/>
      <c r="BK39" s="25"/>
      <c r="BL39" s="25"/>
      <c r="BM39" s="25"/>
      <c r="BN39" s="30"/>
      <c r="BO39" s="25">
        <f t="shared" si="2"/>
        <v>0</v>
      </c>
    </row>
    <row r="40" customHeight="1" spans="1:67">
      <c r="A40" s="27"/>
      <c r="B40" s="17"/>
      <c r="C40" s="18">
        <v>3</v>
      </c>
      <c r="D40" s="19"/>
      <c r="E40" s="19">
        <v>1</v>
      </c>
      <c r="F40" s="19"/>
      <c r="G40" s="19"/>
      <c r="H40" s="19"/>
      <c r="I40" s="19">
        <v>1</v>
      </c>
      <c r="J40" s="19"/>
      <c r="K40" s="19"/>
      <c r="L40" s="19"/>
      <c r="M40" s="19"/>
      <c r="N40" s="19">
        <v>1</v>
      </c>
      <c r="O40" s="19"/>
      <c r="P40" s="19">
        <v>2</v>
      </c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>
        <v>1</v>
      </c>
      <c r="AG40" s="19"/>
      <c r="AH40" s="19"/>
      <c r="AI40" s="19"/>
      <c r="AJ40" s="20"/>
      <c r="AK40" s="19"/>
      <c r="AL40" s="19"/>
      <c r="AM40" s="19"/>
      <c r="AN40" s="20"/>
      <c r="AO40" s="19">
        <v>1</v>
      </c>
      <c r="AP40" s="19">
        <v>1</v>
      </c>
      <c r="AQ40" s="19"/>
      <c r="AR40" s="19"/>
      <c r="AS40" s="19"/>
      <c r="AT40" s="19"/>
      <c r="AU40" s="19">
        <v>1</v>
      </c>
      <c r="AV40" s="19"/>
      <c r="AW40" s="19">
        <v>2</v>
      </c>
      <c r="AX40" s="19"/>
      <c r="AY40" s="19"/>
      <c r="AZ40" s="19"/>
      <c r="BA40" s="19"/>
      <c r="BB40" s="19"/>
      <c r="BC40" s="21" cm="1">
        <f t="array" ref="BC40">SUMPRODUCT(--(D40:BB40=INT(D40:BB40)),--(D40:BB40&gt;0))</f>
        <v>9</v>
      </c>
      <c r="BD40" s="21">
        <f t="shared" si="0"/>
        <v>11</v>
      </c>
      <c r="BF40" s="25"/>
      <c r="BG40" s="25"/>
      <c r="BH40" s="25"/>
      <c r="BI40" s="25"/>
      <c r="BJ40" s="25"/>
      <c r="BK40" s="25"/>
      <c r="BL40" s="25"/>
      <c r="BM40" s="25"/>
      <c r="BN40" s="30"/>
      <c r="BO40" s="25">
        <f t="shared" si="2"/>
        <v>0</v>
      </c>
    </row>
    <row r="41" customHeight="1" spans="1:67">
      <c r="A41" s="27"/>
      <c r="B41" s="17"/>
      <c r="C41" s="18">
        <v>4</v>
      </c>
      <c r="D41" s="19"/>
      <c r="E41" s="19"/>
      <c r="F41" s="19"/>
      <c r="G41" s="19">
        <v>1</v>
      </c>
      <c r="H41" s="19"/>
      <c r="I41" s="19"/>
      <c r="J41" s="19">
        <v>1</v>
      </c>
      <c r="K41" s="19"/>
      <c r="L41" s="19"/>
      <c r="M41" s="19"/>
      <c r="N41" s="19"/>
      <c r="O41" s="19"/>
      <c r="P41" s="19">
        <v>1</v>
      </c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>
        <v>1</v>
      </c>
      <c r="AE41" s="19"/>
      <c r="AF41" s="19"/>
      <c r="AG41" s="19"/>
      <c r="AH41" s="19"/>
      <c r="AI41" s="19"/>
      <c r="AJ41" s="20"/>
      <c r="AK41" s="19"/>
      <c r="AL41" s="19"/>
      <c r="AM41" s="19"/>
      <c r="AN41" s="20"/>
      <c r="AO41" s="19"/>
      <c r="AP41" s="19">
        <v>2</v>
      </c>
      <c r="AQ41" s="19">
        <v>1</v>
      </c>
      <c r="AR41" s="19"/>
      <c r="AS41" s="19">
        <v>1</v>
      </c>
      <c r="AT41" s="19"/>
      <c r="AU41" s="19"/>
      <c r="AV41" s="19"/>
      <c r="AW41" s="19">
        <v>1</v>
      </c>
      <c r="AX41" s="19"/>
      <c r="AY41" s="19"/>
      <c r="AZ41" s="19"/>
      <c r="BA41" s="19"/>
      <c r="BB41" s="19"/>
      <c r="BC41" s="21" cm="1">
        <f t="array" ref="BC41">SUMPRODUCT(--(D41:BB41=INT(D41:BB41)),--(D41:BB41&gt;0))</f>
        <v>8</v>
      </c>
      <c r="BD41" s="21">
        <f t="shared" si="0"/>
        <v>9</v>
      </c>
      <c r="BF41" s="25"/>
      <c r="BG41" s="25"/>
      <c r="BH41" s="25"/>
      <c r="BI41" s="25"/>
      <c r="BJ41" s="25"/>
      <c r="BK41" s="25"/>
      <c r="BL41" s="25"/>
      <c r="BM41" s="25"/>
      <c r="BN41" s="30"/>
      <c r="BO41" s="25">
        <f t="shared" si="2"/>
        <v>0</v>
      </c>
    </row>
    <row r="42" customHeight="1" spans="1:67">
      <c r="A42" s="27"/>
      <c r="B42" s="17"/>
      <c r="C42" s="18">
        <v>5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>
        <v>1</v>
      </c>
      <c r="W42" s="19"/>
      <c r="X42" s="19"/>
      <c r="Y42" s="19"/>
      <c r="Z42" s="19"/>
      <c r="AA42" s="19"/>
      <c r="AB42" s="19"/>
      <c r="AC42" s="19"/>
      <c r="AD42" s="19"/>
      <c r="AE42" s="19"/>
      <c r="AF42" s="19">
        <v>1</v>
      </c>
      <c r="AG42" s="19"/>
      <c r="AH42" s="19"/>
      <c r="AI42" s="19"/>
      <c r="AJ42" s="20"/>
      <c r="AK42" s="19"/>
      <c r="AL42" s="19"/>
      <c r="AM42" s="19"/>
      <c r="AN42" s="20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21" cm="1">
        <f t="array" ref="BC42">SUMPRODUCT(--(D42:BB42=INT(D42:BB42)),--(D42:BB42&gt;0))</f>
        <v>2</v>
      </c>
      <c r="BD42" s="21">
        <f t="shared" si="0"/>
        <v>2</v>
      </c>
      <c r="BF42" s="25"/>
      <c r="BG42" s="25"/>
      <c r="BH42" s="25"/>
      <c r="BI42" s="25"/>
      <c r="BJ42" s="25"/>
      <c r="BK42" s="25"/>
      <c r="BL42" s="25"/>
      <c r="BM42" s="25"/>
      <c r="BN42" s="30"/>
      <c r="BO42" s="25">
        <f t="shared" si="2"/>
        <v>0</v>
      </c>
    </row>
    <row r="43" customHeight="1" spans="1:67">
      <c r="A43" s="27"/>
      <c r="B43" s="17"/>
      <c r="C43" s="18">
        <v>6</v>
      </c>
      <c r="D43" s="19"/>
      <c r="E43" s="19"/>
      <c r="F43" s="19"/>
      <c r="G43" s="19"/>
      <c r="H43" s="19"/>
      <c r="I43" s="19"/>
      <c r="J43" s="19"/>
      <c r="K43" s="19"/>
      <c r="L43" s="19">
        <v>1</v>
      </c>
      <c r="M43" s="19"/>
      <c r="N43" s="19">
        <v>1</v>
      </c>
      <c r="O43" s="19">
        <v>1</v>
      </c>
      <c r="P43" s="19">
        <v>1</v>
      </c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>
        <v>1</v>
      </c>
      <c r="AE43" s="19"/>
      <c r="AF43" s="19"/>
      <c r="AG43" s="19"/>
      <c r="AH43" s="19"/>
      <c r="AI43" s="19"/>
      <c r="AJ43" s="20"/>
      <c r="AK43" s="19"/>
      <c r="AL43" s="19"/>
      <c r="AM43" s="19"/>
      <c r="AN43" s="20"/>
      <c r="AO43" s="19"/>
      <c r="AP43" s="19"/>
      <c r="AQ43" s="19"/>
      <c r="AR43" s="19"/>
      <c r="AS43" s="19"/>
      <c r="AT43" s="19"/>
      <c r="AU43" s="19">
        <v>1</v>
      </c>
      <c r="AV43" s="19"/>
      <c r="AW43" s="19"/>
      <c r="AX43" s="19"/>
      <c r="AY43" s="19"/>
      <c r="AZ43" s="19"/>
      <c r="BA43" s="19"/>
      <c r="BB43" s="19"/>
      <c r="BC43" s="21" cm="1">
        <f t="array" ref="BC43">SUMPRODUCT(--(D43:BB43=INT(D43:BB43)),--(D43:BB43&gt;0))</f>
        <v>6</v>
      </c>
      <c r="BD43" s="21">
        <f t="shared" si="0"/>
        <v>6</v>
      </c>
      <c r="BF43" s="25"/>
      <c r="BG43" s="25"/>
      <c r="BH43" s="25"/>
      <c r="BI43" s="25"/>
      <c r="BJ43" s="25"/>
      <c r="BK43" s="25"/>
      <c r="BL43" s="25"/>
      <c r="BM43" s="25"/>
      <c r="BN43" s="30"/>
      <c r="BO43" s="25">
        <f t="shared" si="2"/>
        <v>0</v>
      </c>
    </row>
    <row r="44" customHeight="1" spans="1:67">
      <c r="A44" s="27"/>
      <c r="B44" s="17"/>
      <c r="C44" s="18">
        <v>9</v>
      </c>
      <c r="D44" s="19"/>
      <c r="E44" s="19">
        <v>1</v>
      </c>
      <c r="F44" s="19"/>
      <c r="G44" s="19">
        <v>1</v>
      </c>
      <c r="H44" s="19"/>
      <c r="I44" s="19">
        <v>1</v>
      </c>
      <c r="J44" s="19">
        <v>1</v>
      </c>
      <c r="K44" s="19"/>
      <c r="L44" s="19"/>
      <c r="M44" s="19"/>
      <c r="N44" s="19"/>
      <c r="O44" s="19"/>
      <c r="P44" s="19">
        <v>1</v>
      </c>
      <c r="Q44" s="19"/>
      <c r="R44" s="19"/>
      <c r="S44" s="19"/>
      <c r="T44" s="19"/>
      <c r="U44" s="19"/>
      <c r="V44" s="19"/>
      <c r="W44" s="19">
        <v>1</v>
      </c>
      <c r="X44" s="19"/>
      <c r="Y44" s="19"/>
      <c r="Z44" s="19"/>
      <c r="AA44" s="19"/>
      <c r="AB44" s="19"/>
      <c r="AC44" s="19">
        <v>1</v>
      </c>
      <c r="AD44" s="19">
        <v>1</v>
      </c>
      <c r="AE44" s="19"/>
      <c r="AF44" s="19"/>
      <c r="AG44" s="19">
        <v>1</v>
      </c>
      <c r="AH44" s="19"/>
      <c r="AI44" s="19"/>
      <c r="AJ44" s="20"/>
      <c r="AK44" s="19"/>
      <c r="AL44" s="19">
        <v>1</v>
      </c>
      <c r="AM44" s="19"/>
      <c r="AN44" s="20"/>
      <c r="AO44" s="19"/>
      <c r="AP44" s="19">
        <v>1</v>
      </c>
      <c r="AQ44" s="19">
        <v>2</v>
      </c>
      <c r="AR44" s="19"/>
      <c r="AS44" s="19">
        <v>1</v>
      </c>
      <c r="AT44" s="19"/>
      <c r="AU44" s="19">
        <v>2</v>
      </c>
      <c r="AV44" s="19"/>
      <c r="AW44" s="19">
        <v>2</v>
      </c>
      <c r="AX44" s="19"/>
      <c r="AY44" s="19"/>
      <c r="AZ44" s="19"/>
      <c r="BA44" s="19"/>
      <c r="BB44" s="19"/>
      <c r="BC44" s="21" cm="1">
        <f t="array" ref="BC44">SUMPRODUCT(--(D44:BB44=INT(D44:BB44)),--(D44:BB44&gt;0))</f>
        <v>15</v>
      </c>
      <c r="BD44" s="21">
        <f t="shared" si="0"/>
        <v>18</v>
      </c>
      <c r="BF44" s="25"/>
      <c r="BG44" s="25"/>
      <c r="BH44" s="25"/>
      <c r="BI44" s="25"/>
      <c r="BJ44" s="25"/>
      <c r="BK44" s="25"/>
      <c r="BL44" s="25"/>
      <c r="BM44" s="25"/>
      <c r="BN44" s="30"/>
      <c r="BO44" s="25">
        <f t="shared" si="2"/>
        <v>0</v>
      </c>
    </row>
    <row r="45" customHeight="1" spans="1:67">
      <c r="A45" s="27"/>
      <c r="B45" s="17"/>
      <c r="C45" s="18">
        <v>10</v>
      </c>
      <c r="D45" s="19"/>
      <c r="E45" s="19">
        <v>1</v>
      </c>
      <c r="F45" s="19"/>
      <c r="G45" s="19">
        <v>1</v>
      </c>
      <c r="H45" s="19"/>
      <c r="I45" s="19">
        <v>1</v>
      </c>
      <c r="J45" s="19">
        <v>1</v>
      </c>
      <c r="K45" s="19"/>
      <c r="L45" s="19">
        <v>1</v>
      </c>
      <c r="M45" s="19"/>
      <c r="N45" s="19"/>
      <c r="O45" s="19"/>
      <c r="P45" s="19">
        <v>1</v>
      </c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>
        <v>1</v>
      </c>
      <c r="AE45" s="19"/>
      <c r="AF45" s="19"/>
      <c r="AG45" s="19"/>
      <c r="AH45" s="19">
        <v>1</v>
      </c>
      <c r="AI45" s="19"/>
      <c r="AJ45" s="20"/>
      <c r="AK45" s="19"/>
      <c r="AL45" s="19"/>
      <c r="AM45" s="19"/>
      <c r="AN45" s="20"/>
      <c r="AO45" s="19"/>
      <c r="AP45" s="19">
        <v>1</v>
      </c>
      <c r="AQ45" s="19"/>
      <c r="AR45" s="19"/>
      <c r="AS45" s="19"/>
      <c r="AT45" s="19"/>
      <c r="AU45" s="19">
        <v>1</v>
      </c>
      <c r="AV45" s="19"/>
      <c r="AW45" s="19"/>
      <c r="AX45" s="19"/>
      <c r="AY45" s="19"/>
      <c r="AZ45" s="19"/>
      <c r="BA45" s="19"/>
      <c r="BB45" s="19"/>
      <c r="BC45" s="21" cm="1">
        <f t="array" ref="BC45">SUMPRODUCT(--(D45:BB45=INT(D45:BB45)),--(D45:BB45&gt;0))</f>
        <v>10</v>
      </c>
      <c r="BD45" s="21">
        <f t="shared" si="0"/>
        <v>10</v>
      </c>
      <c r="BF45" s="25"/>
      <c r="BG45" s="25"/>
      <c r="BH45" s="25"/>
      <c r="BI45" s="25"/>
      <c r="BJ45" s="25"/>
      <c r="BK45" s="25"/>
      <c r="BL45" s="25"/>
      <c r="BM45" s="25"/>
      <c r="BN45" s="30"/>
      <c r="BO45" s="25">
        <f t="shared" si="2"/>
        <v>0</v>
      </c>
    </row>
    <row r="46" customHeight="1" spans="1:67">
      <c r="A46" s="27"/>
      <c r="B46" s="17"/>
      <c r="C46" s="18">
        <v>11</v>
      </c>
      <c r="D46" s="19"/>
      <c r="E46" s="19">
        <v>1</v>
      </c>
      <c r="F46" s="19"/>
      <c r="G46" s="19">
        <v>1</v>
      </c>
      <c r="H46" s="19"/>
      <c r="I46" s="19">
        <v>1</v>
      </c>
      <c r="J46" s="19"/>
      <c r="K46" s="19"/>
      <c r="L46" s="19">
        <v>1</v>
      </c>
      <c r="M46" s="19"/>
      <c r="N46" s="19"/>
      <c r="O46" s="19">
        <v>1</v>
      </c>
      <c r="P46" s="19"/>
      <c r="Q46" s="19"/>
      <c r="R46" s="19"/>
      <c r="S46" s="19"/>
      <c r="T46" s="19"/>
      <c r="U46" s="19"/>
      <c r="V46" s="19"/>
      <c r="W46" s="19"/>
      <c r="X46" s="19">
        <v>1</v>
      </c>
      <c r="Y46" s="19"/>
      <c r="Z46" s="19"/>
      <c r="AA46" s="19"/>
      <c r="AB46" s="19"/>
      <c r="AC46" s="19"/>
      <c r="AD46" s="19">
        <v>1</v>
      </c>
      <c r="AE46" s="19"/>
      <c r="AF46" s="19"/>
      <c r="AG46" s="19"/>
      <c r="AH46" s="19"/>
      <c r="AI46" s="19"/>
      <c r="AJ46" s="20"/>
      <c r="AK46" s="19"/>
      <c r="AL46" s="19"/>
      <c r="AM46" s="19"/>
      <c r="AN46" s="20"/>
      <c r="AO46" s="19"/>
      <c r="AP46" s="19"/>
      <c r="AQ46" s="19">
        <v>1</v>
      </c>
      <c r="AR46" s="19"/>
      <c r="AS46" s="19"/>
      <c r="AT46" s="19"/>
      <c r="AU46" s="19">
        <v>1</v>
      </c>
      <c r="AV46" s="19"/>
      <c r="AW46" s="19"/>
      <c r="AX46" s="19"/>
      <c r="AY46" s="19"/>
      <c r="AZ46" s="19"/>
      <c r="BA46" s="19"/>
      <c r="BB46" s="19"/>
      <c r="BC46" s="21" cm="1">
        <f t="array" ref="BC46">SUMPRODUCT(--(D46:BB46=INT(D46:BB46)),--(D46:BB46&gt;0))</f>
        <v>9</v>
      </c>
      <c r="BD46" s="21">
        <f t="shared" si="0"/>
        <v>9</v>
      </c>
      <c r="BF46" s="25"/>
      <c r="BG46" s="25"/>
      <c r="BH46" s="25"/>
      <c r="BI46" s="25"/>
      <c r="BJ46" s="25"/>
      <c r="BK46" s="25"/>
      <c r="BL46" s="25"/>
      <c r="BM46" s="25"/>
      <c r="BN46" s="30"/>
      <c r="BO46" s="25">
        <f t="shared" si="2"/>
        <v>0</v>
      </c>
    </row>
    <row r="47" customHeight="1" spans="1:67">
      <c r="A47" s="27"/>
      <c r="B47" s="17"/>
      <c r="C47" s="18">
        <v>12</v>
      </c>
      <c r="D47" s="19"/>
      <c r="E47" s="19">
        <v>2</v>
      </c>
      <c r="F47" s="19"/>
      <c r="G47" s="19"/>
      <c r="H47" s="19"/>
      <c r="I47" s="19">
        <v>1</v>
      </c>
      <c r="J47" s="19">
        <v>1</v>
      </c>
      <c r="K47" s="19"/>
      <c r="L47" s="19"/>
      <c r="M47" s="19"/>
      <c r="N47" s="19"/>
      <c r="O47" s="19"/>
      <c r="P47" s="19">
        <v>1</v>
      </c>
      <c r="Q47" s="19"/>
      <c r="R47" s="19"/>
      <c r="S47" s="19"/>
      <c r="T47" s="19">
        <v>2</v>
      </c>
      <c r="U47" s="19"/>
      <c r="V47" s="19">
        <v>2</v>
      </c>
      <c r="W47" s="19">
        <v>1</v>
      </c>
      <c r="X47" s="19"/>
      <c r="Y47" s="19"/>
      <c r="Z47" s="19"/>
      <c r="AA47" s="19"/>
      <c r="AB47" s="19"/>
      <c r="AC47" s="19">
        <v>1</v>
      </c>
      <c r="AD47" s="19">
        <v>1</v>
      </c>
      <c r="AE47" s="19"/>
      <c r="AF47" s="19"/>
      <c r="AG47" s="19"/>
      <c r="AH47" s="19"/>
      <c r="AI47" s="19"/>
      <c r="AJ47" s="20"/>
      <c r="AK47" s="19"/>
      <c r="AL47" s="19"/>
      <c r="AM47" s="19"/>
      <c r="AN47" s="20"/>
      <c r="AO47" s="19">
        <v>1</v>
      </c>
      <c r="AP47" s="19">
        <v>1</v>
      </c>
      <c r="AQ47" s="19">
        <v>3</v>
      </c>
      <c r="AR47" s="19"/>
      <c r="AS47" s="19">
        <v>2</v>
      </c>
      <c r="AT47" s="19"/>
      <c r="AU47" s="19">
        <v>2</v>
      </c>
      <c r="AV47" s="19"/>
      <c r="AW47" s="19">
        <v>2</v>
      </c>
      <c r="AX47" s="19"/>
      <c r="AY47" s="19"/>
      <c r="AZ47" s="19"/>
      <c r="BA47" s="19"/>
      <c r="BB47" s="19"/>
      <c r="BC47" s="21" cm="1">
        <f t="array" ref="BC47">SUMPRODUCT(--(D47:BB47=INT(D47:BB47)),--(D47:BB47&gt;0))</f>
        <v>15</v>
      </c>
      <c r="BD47" s="21">
        <f t="shared" si="0"/>
        <v>23</v>
      </c>
      <c r="BF47" s="25"/>
      <c r="BG47" s="25"/>
      <c r="BH47" s="25"/>
      <c r="BI47" s="25"/>
      <c r="BJ47" s="25"/>
      <c r="BK47" s="25"/>
      <c r="BL47" s="25"/>
      <c r="BM47" s="25"/>
      <c r="BN47" s="30"/>
      <c r="BO47" s="25">
        <f t="shared" si="2"/>
        <v>0</v>
      </c>
    </row>
    <row r="48" customHeight="1" spans="1:67">
      <c r="A48" s="27"/>
      <c r="B48" s="17"/>
      <c r="C48" s="18">
        <v>13</v>
      </c>
      <c r="D48" s="19"/>
      <c r="E48" s="19">
        <v>1</v>
      </c>
      <c r="F48" s="19"/>
      <c r="G48" s="19"/>
      <c r="H48" s="19"/>
      <c r="I48" s="19">
        <v>1</v>
      </c>
      <c r="J48" s="19">
        <v>1</v>
      </c>
      <c r="K48" s="19"/>
      <c r="L48" s="19"/>
      <c r="M48" s="19"/>
      <c r="N48" s="19"/>
      <c r="O48" s="19"/>
      <c r="P48" s="19"/>
      <c r="Q48" s="19"/>
      <c r="R48" s="19"/>
      <c r="S48" s="19"/>
      <c r="T48" s="19">
        <v>1</v>
      </c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20"/>
      <c r="AK48" s="19"/>
      <c r="AL48" s="19"/>
      <c r="AM48" s="19"/>
      <c r="AN48" s="20"/>
      <c r="AO48" s="19"/>
      <c r="AP48" s="19">
        <v>1</v>
      </c>
      <c r="AQ48" s="19">
        <v>1</v>
      </c>
      <c r="AR48" s="19"/>
      <c r="AS48" s="19">
        <v>1</v>
      </c>
      <c r="AT48" s="19"/>
      <c r="AU48" s="19">
        <v>1</v>
      </c>
      <c r="AV48" s="19"/>
      <c r="AW48" s="19"/>
      <c r="AX48" s="19"/>
      <c r="AY48" s="19"/>
      <c r="AZ48" s="19"/>
      <c r="BA48" s="19"/>
      <c r="BB48" s="19"/>
      <c r="BC48" s="21" cm="1">
        <f t="array" ref="BC48">SUMPRODUCT(--(D48:BB48=INT(D48:BB48)),--(D48:BB48&gt;0))</f>
        <v>8</v>
      </c>
      <c r="BD48" s="21">
        <f t="shared" si="0"/>
        <v>8</v>
      </c>
      <c r="BF48" s="25"/>
      <c r="BG48" s="25"/>
      <c r="BH48" s="25"/>
      <c r="BI48" s="25"/>
      <c r="BJ48" s="25"/>
      <c r="BK48" s="25"/>
      <c r="BL48" s="25" t="s">
        <v>721</v>
      </c>
      <c r="BM48" s="25"/>
      <c r="BN48" s="30"/>
      <c r="BO48" s="25">
        <f t="shared" si="2"/>
        <v>1</v>
      </c>
    </row>
    <row r="49" customHeight="1" spans="1:67">
      <c r="A49" s="27"/>
      <c r="B49" s="17"/>
      <c r="C49" s="18">
        <v>16</v>
      </c>
      <c r="D49" s="19"/>
      <c r="E49" s="19">
        <v>1</v>
      </c>
      <c r="F49" s="19"/>
      <c r="G49" s="19"/>
      <c r="H49" s="19"/>
      <c r="I49" s="19"/>
      <c r="J49" s="19">
        <v>1</v>
      </c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>
        <v>1</v>
      </c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20"/>
      <c r="AK49" s="19"/>
      <c r="AL49" s="19"/>
      <c r="AM49" s="19"/>
      <c r="AN49" s="20"/>
      <c r="AO49" s="19"/>
      <c r="AP49" s="19"/>
      <c r="AQ49" s="19"/>
      <c r="AR49" s="19"/>
      <c r="AS49" s="19"/>
      <c r="AT49" s="19"/>
      <c r="AU49" s="19">
        <v>1</v>
      </c>
      <c r="AV49" s="19"/>
      <c r="AW49" s="19"/>
      <c r="AX49" s="19"/>
      <c r="AY49" s="19"/>
      <c r="AZ49" s="19"/>
      <c r="BA49" s="19"/>
      <c r="BB49" s="19"/>
      <c r="BC49" s="21" cm="1">
        <f t="array" ref="BC49">SUMPRODUCT(--(D49:BB49=INT(D49:BB49)),--(D49:BB49&gt;0))</f>
        <v>4</v>
      </c>
      <c r="BD49" s="21">
        <f t="shared" si="0"/>
        <v>4</v>
      </c>
      <c r="BF49" s="25"/>
      <c r="BG49" s="25"/>
      <c r="BH49" s="25"/>
      <c r="BI49" s="25"/>
      <c r="BJ49" s="25"/>
      <c r="BK49" s="25"/>
      <c r="BL49" s="25"/>
      <c r="BM49" s="25"/>
      <c r="BN49" s="30"/>
      <c r="BO49" s="25">
        <f t="shared" ref="BO49:BO80" si="3">COUNTA(BF49:BN49)</f>
        <v>0</v>
      </c>
    </row>
    <row r="50" customHeight="1" spans="1:67">
      <c r="A50" s="27"/>
      <c r="B50" s="17"/>
      <c r="C50" s="18">
        <v>17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>
        <v>2</v>
      </c>
      <c r="Q50" s="19"/>
      <c r="R50" s="19"/>
      <c r="S50" s="19"/>
      <c r="T50" s="19"/>
      <c r="U50" s="19"/>
      <c r="V50" s="19"/>
      <c r="W50" s="19">
        <v>1</v>
      </c>
      <c r="X50" s="19"/>
      <c r="Y50" s="19">
        <v>1</v>
      </c>
      <c r="Z50" s="19"/>
      <c r="AA50" s="19"/>
      <c r="AB50" s="19"/>
      <c r="AC50" s="19">
        <v>2</v>
      </c>
      <c r="AD50" s="19"/>
      <c r="AE50" s="19"/>
      <c r="AF50" s="19"/>
      <c r="AG50" s="19">
        <v>1</v>
      </c>
      <c r="AH50" s="19"/>
      <c r="AI50" s="19"/>
      <c r="AJ50" s="20"/>
      <c r="AK50" s="19"/>
      <c r="AL50" s="19">
        <v>1</v>
      </c>
      <c r="AM50" s="19"/>
      <c r="AN50" s="20"/>
      <c r="AO50" s="19">
        <v>2</v>
      </c>
      <c r="AP50" s="19"/>
      <c r="AQ50" s="19">
        <v>2</v>
      </c>
      <c r="AR50" s="19"/>
      <c r="AS50" s="19"/>
      <c r="AT50" s="19"/>
      <c r="AU50" s="19">
        <v>1</v>
      </c>
      <c r="AV50" s="19"/>
      <c r="AW50" s="19">
        <v>1</v>
      </c>
      <c r="AX50" s="19"/>
      <c r="AY50" s="19"/>
      <c r="AZ50" s="19"/>
      <c r="BA50" s="19"/>
      <c r="BB50" s="19"/>
      <c r="BC50" s="21" cm="1">
        <f t="array" ref="BC50">SUMPRODUCT(--(D50:BB50=INT(D50:BB50)),--(D50:BB50&gt;0))</f>
        <v>10</v>
      </c>
      <c r="BD50" s="21">
        <f t="shared" si="0"/>
        <v>14</v>
      </c>
      <c r="BF50" s="25"/>
      <c r="BG50" s="25"/>
      <c r="BH50" s="25"/>
      <c r="BI50" s="25"/>
      <c r="BJ50" s="25"/>
      <c r="BK50" s="25"/>
      <c r="BL50" s="25"/>
      <c r="BM50" s="25"/>
      <c r="BN50" s="30"/>
      <c r="BO50" s="25">
        <f t="shared" si="3"/>
        <v>0</v>
      </c>
    </row>
    <row r="51" customHeight="1" spans="1:67">
      <c r="A51" s="27"/>
      <c r="B51" s="17"/>
      <c r="C51" s="18">
        <v>18</v>
      </c>
      <c r="D51" s="19"/>
      <c r="E51" s="19">
        <v>1</v>
      </c>
      <c r="F51" s="19"/>
      <c r="G51" s="19">
        <v>1</v>
      </c>
      <c r="H51" s="19">
        <v>1</v>
      </c>
      <c r="I51" s="19">
        <v>1</v>
      </c>
      <c r="J51" s="19"/>
      <c r="K51" s="19"/>
      <c r="L51" s="19"/>
      <c r="M51" s="19"/>
      <c r="N51" s="19">
        <v>1</v>
      </c>
      <c r="O51" s="19">
        <v>1</v>
      </c>
      <c r="P51" s="19">
        <v>1</v>
      </c>
      <c r="Q51" s="19"/>
      <c r="R51" s="19"/>
      <c r="S51" s="19"/>
      <c r="T51" s="19">
        <v>1</v>
      </c>
      <c r="U51" s="19"/>
      <c r="V51" s="19"/>
      <c r="W51" s="19">
        <v>1</v>
      </c>
      <c r="X51" s="19"/>
      <c r="Y51" s="19"/>
      <c r="Z51" s="19"/>
      <c r="AA51" s="19"/>
      <c r="AB51" s="19"/>
      <c r="AC51" s="19">
        <v>1</v>
      </c>
      <c r="AD51" s="19"/>
      <c r="AE51" s="19"/>
      <c r="AF51" s="19"/>
      <c r="AG51" s="19">
        <v>1</v>
      </c>
      <c r="AH51" s="19"/>
      <c r="AI51" s="19"/>
      <c r="AJ51" s="20"/>
      <c r="AK51" s="19"/>
      <c r="AL51" s="19">
        <v>1</v>
      </c>
      <c r="AM51" s="19"/>
      <c r="AN51" s="20"/>
      <c r="AO51" s="19">
        <v>1</v>
      </c>
      <c r="AP51" s="19"/>
      <c r="AQ51" s="19">
        <v>1</v>
      </c>
      <c r="AR51" s="19"/>
      <c r="AS51" s="19">
        <v>1</v>
      </c>
      <c r="AT51" s="19"/>
      <c r="AU51" s="19">
        <v>1</v>
      </c>
      <c r="AV51" s="19"/>
      <c r="AW51" s="19">
        <v>1</v>
      </c>
      <c r="AX51" s="19"/>
      <c r="AY51" s="19"/>
      <c r="AZ51" s="19"/>
      <c r="BA51" s="19"/>
      <c r="BB51" s="19"/>
      <c r="BC51" s="21" cm="1">
        <f t="array" ref="BC51">SUMPRODUCT(--(D51:BB51=INT(D51:BB51)),--(D51:BB51&gt;0))</f>
        <v>17</v>
      </c>
      <c r="BD51" s="21">
        <f t="shared" si="0"/>
        <v>17</v>
      </c>
      <c r="BF51" s="25"/>
      <c r="BG51" s="25"/>
      <c r="BH51" s="25" t="s">
        <v>720</v>
      </c>
      <c r="BI51" s="25"/>
      <c r="BJ51" s="25"/>
      <c r="BK51" s="25"/>
      <c r="BL51" s="25"/>
      <c r="BM51" s="25"/>
      <c r="BN51" s="30"/>
      <c r="BO51" s="25">
        <f t="shared" si="3"/>
        <v>1</v>
      </c>
    </row>
    <row r="52" customHeight="1" spans="1:67">
      <c r="A52" s="27"/>
      <c r="B52" s="17"/>
      <c r="C52" s="18">
        <v>19</v>
      </c>
      <c r="D52" s="19"/>
      <c r="E52" s="19">
        <v>1</v>
      </c>
      <c r="F52" s="19"/>
      <c r="G52" s="19"/>
      <c r="H52" s="19"/>
      <c r="I52" s="19">
        <v>1</v>
      </c>
      <c r="J52" s="19">
        <v>1</v>
      </c>
      <c r="K52" s="19"/>
      <c r="L52" s="19">
        <v>1</v>
      </c>
      <c r="M52" s="19"/>
      <c r="N52" s="19"/>
      <c r="O52" s="19"/>
      <c r="P52" s="19">
        <v>1</v>
      </c>
      <c r="Q52" s="19"/>
      <c r="R52" s="19"/>
      <c r="S52" s="19"/>
      <c r="T52" s="19"/>
      <c r="U52" s="19"/>
      <c r="V52" s="19"/>
      <c r="W52" s="19">
        <v>1</v>
      </c>
      <c r="X52" s="19"/>
      <c r="Y52" s="19">
        <v>1</v>
      </c>
      <c r="Z52" s="19"/>
      <c r="AA52" s="19"/>
      <c r="AB52" s="19"/>
      <c r="AC52" s="19"/>
      <c r="AD52" s="19"/>
      <c r="AE52" s="19"/>
      <c r="AF52" s="19"/>
      <c r="AG52" s="19">
        <v>1</v>
      </c>
      <c r="AH52" s="19"/>
      <c r="AI52" s="19"/>
      <c r="AJ52" s="20"/>
      <c r="AK52" s="19"/>
      <c r="AL52" s="19">
        <v>1</v>
      </c>
      <c r="AM52" s="19"/>
      <c r="AN52" s="20"/>
      <c r="AO52" s="19">
        <v>1</v>
      </c>
      <c r="AP52" s="19">
        <v>2</v>
      </c>
      <c r="AQ52" s="19">
        <v>1</v>
      </c>
      <c r="AR52" s="19"/>
      <c r="AS52" s="19">
        <v>1</v>
      </c>
      <c r="AT52" s="19"/>
      <c r="AU52" s="19">
        <v>1</v>
      </c>
      <c r="AV52" s="19"/>
      <c r="AW52" s="19"/>
      <c r="AX52" s="19"/>
      <c r="AY52" s="19"/>
      <c r="AZ52" s="19"/>
      <c r="BA52" s="19"/>
      <c r="BB52" s="19"/>
      <c r="BC52" s="21" cm="1">
        <f t="array" ref="BC52">SUMPRODUCT(--(D52:BB52=INT(D52:BB52)),--(D52:BB52&gt;0))</f>
        <v>14</v>
      </c>
      <c r="BD52" s="21">
        <f t="shared" si="0"/>
        <v>15</v>
      </c>
      <c r="BF52" s="25"/>
      <c r="BG52" s="25"/>
      <c r="BH52" s="25"/>
      <c r="BI52" s="25"/>
      <c r="BJ52" s="25"/>
      <c r="BK52" s="25"/>
      <c r="BL52" s="25" t="s">
        <v>722</v>
      </c>
      <c r="BM52" s="25"/>
      <c r="BN52" s="30"/>
      <c r="BO52" s="25">
        <f t="shared" si="3"/>
        <v>1</v>
      </c>
    </row>
    <row r="53" customHeight="1" spans="1:67">
      <c r="A53" s="27"/>
      <c r="B53" s="17"/>
      <c r="C53" s="18">
        <v>20</v>
      </c>
      <c r="D53" s="19">
        <v>2</v>
      </c>
      <c r="E53" s="19">
        <v>1</v>
      </c>
      <c r="F53" s="19"/>
      <c r="G53" s="19">
        <v>1</v>
      </c>
      <c r="H53" s="19"/>
      <c r="I53" s="19"/>
      <c r="J53" s="19">
        <v>1</v>
      </c>
      <c r="K53" s="19"/>
      <c r="L53" s="19">
        <v>2</v>
      </c>
      <c r="M53" s="19"/>
      <c r="N53" s="19">
        <v>1</v>
      </c>
      <c r="O53" s="19"/>
      <c r="P53" s="19">
        <v>1</v>
      </c>
      <c r="Q53" s="19">
        <v>1</v>
      </c>
      <c r="R53" s="19"/>
      <c r="S53" s="19"/>
      <c r="T53" s="19"/>
      <c r="U53" s="19"/>
      <c r="V53" s="19"/>
      <c r="W53" s="19">
        <v>1</v>
      </c>
      <c r="X53" s="19"/>
      <c r="Y53" s="19">
        <v>1</v>
      </c>
      <c r="Z53" s="19"/>
      <c r="AA53" s="19"/>
      <c r="AB53" s="19"/>
      <c r="AC53" s="19">
        <v>1</v>
      </c>
      <c r="AD53" s="19"/>
      <c r="AE53" s="19"/>
      <c r="AF53" s="19">
        <v>1</v>
      </c>
      <c r="AG53" s="19"/>
      <c r="AH53" s="19"/>
      <c r="AI53" s="19"/>
      <c r="AJ53" s="20"/>
      <c r="AK53" s="19"/>
      <c r="AL53" s="19"/>
      <c r="AM53" s="19"/>
      <c r="AN53" s="20"/>
      <c r="AO53" s="19"/>
      <c r="AP53" s="19">
        <v>1</v>
      </c>
      <c r="AQ53" s="19">
        <v>1</v>
      </c>
      <c r="AR53" s="19"/>
      <c r="AS53" s="19">
        <v>1</v>
      </c>
      <c r="AT53" s="19"/>
      <c r="AU53" s="19">
        <v>1</v>
      </c>
      <c r="AV53" s="19"/>
      <c r="AW53" s="19">
        <v>2</v>
      </c>
      <c r="AX53" s="19"/>
      <c r="AY53" s="19"/>
      <c r="AZ53" s="19"/>
      <c r="BA53" s="19"/>
      <c r="BB53" s="19"/>
      <c r="BC53" s="21" cm="1">
        <f t="array" ref="BC53">SUMPRODUCT(--(D53:BB53=INT(D53:BB53)),--(D53:BB53&gt;0))</f>
        <v>17</v>
      </c>
      <c r="BD53" s="21">
        <f t="shared" si="0"/>
        <v>20</v>
      </c>
      <c r="BF53" s="25"/>
      <c r="BG53" s="25"/>
      <c r="BH53" s="25"/>
      <c r="BI53" s="25" t="s">
        <v>720</v>
      </c>
      <c r="BJ53" s="25"/>
      <c r="BK53" s="25" t="s">
        <v>721</v>
      </c>
      <c r="BL53" s="25" t="s">
        <v>721</v>
      </c>
      <c r="BM53" s="25"/>
      <c r="BN53" s="30"/>
      <c r="BO53" s="25">
        <f t="shared" si="3"/>
        <v>3</v>
      </c>
    </row>
    <row r="54" customHeight="1" spans="1:67">
      <c r="A54" s="27"/>
      <c r="B54" s="17"/>
      <c r="C54" s="18">
        <v>23</v>
      </c>
      <c r="D54" s="19"/>
      <c r="E54" s="19">
        <v>1</v>
      </c>
      <c r="F54" s="19"/>
      <c r="G54" s="19"/>
      <c r="H54" s="19">
        <v>1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>
        <v>1</v>
      </c>
      <c r="W54" s="19"/>
      <c r="X54" s="19"/>
      <c r="Y54" s="19">
        <v>1</v>
      </c>
      <c r="Z54" s="19"/>
      <c r="AA54" s="19"/>
      <c r="AB54" s="19"/>
      <c r="AC54" s="19"/>
      <c r="AD54" s="19"/>
      <c r="AE54" s="19">
        <v>1</v>
      </c>
      <c r="AF54" s="19"/>
      <c r="AG54" s="19"/>
      <c r="AH54" s="19">
        <v>1</v>
      </c>
      <c r="AI54" s="19"/>
      <c r="AJ54" s="20"/>
      <c r="AK54" s="19"/>
      <c r="AL54" s="19"/>
      <c r="AM54" s="19"/>
      <c r="AN54" s="20"/>
      <c r="AO54" s="19">
        <v>1</v>
      </c>
      <c r="AP54" s="19">
        <v>2</v>
      </c>
      <c r="AQ54" s="19"/>
      <c r="AR54" s="19"/>
      <c r="AS54" s="19"/>
      <c r="AT54" s="19"/>
      <c r="AU54" s="19">
        <v>2</v>
      </c>
      <c r="AV54" s="19"/>
      <c r="AW54" s="19"/>
      <c r="AX54" s="19"/>
      <c r="AY54" s="19"/>
      <c r="AZ54" s="19">
        <v>1</v>
      </c>
      <c r="BA54" s="19"/>
      <c r="BB54" s="19"/>
      <c r="BC54" s="21" cm="1">
        <f t="array" ref="BC54">SUMPRODUCT(--(D54:BB54=INT(D54:BB54)),--(D54:BB54&gt;0))</f>
        <v>10</v>
      </c>
      <c r="BD54" s="21">
        <f t="shared" si="0"/>
        <v>12</v>
      </c>
      <c r="BF54" s="25"/>
      <c r="BG54" s="25"/>
      <c r="BH54" s="25"/>
      <c r="BI54" s="25"/>
      <c r="BJ54" s="25"/>
      <c r="BK54" s="25" t="s">
        <v>718</v>
      </c>
      <c r="BL54" s="25"/>
      <c r="BM54" s="25"/>
      <c r="BN54" s="30"/>
      <c r="BO54" s="25">
        <f t="shared" si="3"/>
        <v>1</v>
      </c>
    </row>
    <row r="55" customHeight="1" spans="1:67">
      <c r="A55" s="27"/>
      <c r="B55" s="17"/>
      <c r="C55" s="18">
        <v>24</v>
      </c>
      <c r="D55" s="19"/>
      <c r="E55" s="19"/>
      <c r="F55" s="19"/>
      <c r="G55" s="19"/>
      <c r="H55" s="19">
        <v>1</v>
      </c>
      <c r="I55" s="19"/>
      <c r="J55" s="19">
        <v>2</v>
      </c>
      <c r="K55" s="19"/>
      <c r="L55" s="19">
        <v>2</v>
      </c>
      <c r="M55" s="19"/>
      <c r="N55" s="19">
        <v>2</v>
      </c>
      <c r="O55" s="19"/>
      <c r="P55" s="19">
        <v>2</v>
      </c>
      <c r="Q55" s="19"/>
      <c r="R55" s="19"/>
      <c r="S55" s="19"/>
      <c r="T55" s="19"/>
      <c r="U55" s="19"/>
      <c r="V55" s="19"/>
      <c r="W55" s="19">
        <v>2</v>
      </c>
      <c r="X55" s="19"/>
      <c r="Y55" s="19"/>
      <c r="Z55" s="19"/>
      <c r="AA55" s="19"/>
      <c r="AB55" s="19"/>
      <c r="AC55" s="19">
        <v>1</v>
      </c>
      <c r="AD55" s="19"/>
      <c r="AE55" s="19"/>
      <c r="AF55" s="19">
        <v>1</v>
      </c>
      <c r="AG55" s="19">
        <v>1</v>
      </c>
      <c r="AH55" s="19"/>
      <c r="AI55" s="19"/>
      <c r="AJ55" s="20"/>
      <c r="AK55" s="19"/>
      <c r="AL55" s="19"/>
      <c r="AM55" s="19"/>
      <c r="AN55" s="20"/>
      <c r="AO55" s="19">
        <v>2</v>
      </c>
      <c r="AP55" s="19">
        <v>1</v>
      </c>
      <c r="AQ55" s="19">
        <v>4</v>
      </c>
      <c r="AR55" s="19"/>
      <c r="AS55" s="19">
        <v>1</v>
      </c>
      <c r="AT55" s="19"/>
      <c r="AU55" s="19">
        <v>2</v>
      </c>
      <c r="AV55" s="19"/>
      <c r="AW55" s="19"/>
      <c r="AX55" s="19"/>
      <c r="AY55" s="19"/>
      <c r="AZ55" s="19"/>
      <c r="BA55" s="19"/>
      <c r="BB55" s="19">
        <v>1</v>
      </c>
      <c r="BC55" s="21" cm="1">
        <f t="array" ref="BC55">SUMPRODUCT(--(D55:BB55=INT(D55:BB55)),--(D55:BB55&gt;0))</f>
        <v>15</v>
      </c>
      <c r="BD55" s="21">
        <f t="shared" si="0"/>
        <v>25</v>
      </c>
      <c r="BF55" s="25"/>
      <c r="BG55" s="25"/>
      <c r="BH55" s="25"/>
      <c r="BI55" s="25"/>
      <c r="BJ55" s="25"/>
      <c r="BK55" s="25"/>
      <c r="BL55" s="25"/>
      <c r="BM55" s="25"/>
      <c r="BN55" s="30"/>
      <c r="BO55" s="25">
        <f t="shared" si="3"/>
        <v>0</v>
      </c>
    </row>
    <row r="56" customHeight="1" spans="1:67">
      <c r="A56" s="27"/>
      <c r="B56" s="17"/>
      <c r="C56" s="18">
        <v>25</v>
      </c>
      <c r="D56" s="19"/>
      <c r="E56" s="19">
        <v>1</v>
      </c>
      <c r="F56" s="19">
        <v>1</v>
      </c>
      <c r="G56" s="19"/>
      <c r="H56" s="19">
        <v>1</v>
      </c>
      <c r="I56" s="19"/>
      <c r="J56" s="19">
        <v>1</v>
      </c>
      <c r="K56" s="19"/>
      <c r="L56" s="19"/>
      <c r="M56" s="19"/>
      <c r="N56" s="19">
        <v>1</v>
      </c>
      <c r="O56" s="19"/>
      <c r="P56" s="19"/>
      <c r="Q56" s="19"/>
      <c r="R56" s="19"/>
      <c r="S56" s="19"/>
      <c r="T56" s="19"/>
      <c r="U56" s="19"/>
      <c r="V56" s="19"/>
      <c r="W56" s="19">
        <v>1</v>
      </c>
      <c r="X56" s="19"/>
      <c r="Y56" s="19">
        <v>1</v>
      </c>
      <c r="Z56" s="19"/>
      <c r="AA56" s="19"/>
      <c r="AB56" s="19"/>
      <c r="AC56" s="19">
        <v>1</v>
      </c>
      <c r="AD56" s="19"/>
      <c r="AE56" s="19"/>
      <c r="AF56" s="19"/>
      <c r="AG56" s="19"/>
      <c r="AH56" s="19">
        <v>1</v>
      </c>
      <c r="AI56" s="19"/>
      <c r="AJ56" s="20"/>
      <c r="AK56" s="19"/>
      <c r="AL56" s="19"/>
      <c r="AM56" s="19">
        <v>1</v>
      </c>
      <c r="AN56" s="20"/>
      <c r="AO56" s="19">
        <v>1</v>
      </c>
      <c r="AP56" s="19">
        <v>1</v>
      </c>
      <c r="AQ56" s="19">
        <v>1</v>
      </c>
      <c r="AR56" s="19"/>
      <c r="AS56" s="19"/>
      <c r="AT56" s="19"/>
      <c r="AU56" s="19">
        <v>1</v>
      </c>
      <c r="AV56" s="19"/>
      <c r="AW56" s="19"/>
      <c r="AX56" s="19"/>
      <c r="AY56" s="19"/>
      <c r="AZ56" s="19"/>
      <c r="BA56" s="19"/>
      <c r="BB56" s="19"/>
      <c r="BC56" s="21" cm="1">
        <f t="array" ref="BC56">SUMPRODUCT(--(D56:BB56=INT(D56:BB56)),--(D56:BB56&gt;0))</f>
        <v>14</v>
      </c>
      <c r="BD56" s="21">
        <f t="shared" si="0"/>
        <v>14</v>
      </c>
      <c r="BF56" s="25"/>
      <c r="BG56" s="25"/>
      <c r="BH56" s="25" t="s">
        <v>720</v>
      </c>
      <c r="BI56" s="25"/>
      <c r="BJ56" s="25"/>
      <c r="BK56" s="25"/>
      <c r="BL56" s="25"/>
      <c r="BM56" s="25"/>
      <c r="BN56" s="30"/>
      <c r="BO56" s="25">
        <f t="shared" si="3"/>
        <v>1</v>
      </c>
    </row>
    <row r="57" customHeight="1" spans="1:67">
      <c r="A57" s="27"/>
      <c r="B57" s="17"/>
      <c r="C57" s="18">
        <v>26</v>
      </c>
      <c r="D57" s="19"/>
      <c r="E57" s="19"/>
      <c r="F57" s="19">
        <v>1</v>
      </c>
      <c r="G57" s="19"/>
      <c r="H57" s="19">
        <v>1</v>
      </c>
      <c r="I57" s="19">
        <v>1</v>
      </c>
      <c r="J57" s="19">
        <v>1</v>
      </c>
      <c r="K57" s="19">
        <v>1</v>
      </c>
      <c r="L57" s="19">
        <v>2</v>
      </c>
      <c r="M57" s="19"/>
      <c r="N57" s="19"/>
      <c r="O57" s="19"/>
      <c r="P57" s="19">
        <v>1</v>
      </c>
      <c r="Q57" s="19"/>
      <c r="R57" s="19">
        <v>1</v>
      </c>
      <c r="S57" s="19"/>
      <c r="T57" s="19">
        <v>1</v>
      </c>
      <c r="U57" s="19"/>
      <c r="V57" s="19"/>
      <c r="W57" s="19">
        <v>1</v>
      </c>
      <c r="X57" s="19"/>
      <c r="Y57" s="19">
        <v>1</v>
      </c>
      <c r="Z57" s="19"/>
      <c r="AA57" s="19"/>
      <c r="AB57" s="19"/>
      <c r="AC57" s="19">
        <v>1</v>
      </c>
      <c r="AD57" s="19">
        <v>1</v>
      </c>
      <c r="AE57" s="19">
        <v>1</v>
      </c>
      <c r="AF57" s="19">
        <v>1</v>
      </c>
      <c r="AG57" s="19">
        <v>2</v>
      </c>
      <c r="AH57" s="19"/>
      <c r="AI57" s="19"/>
      <c r="AJ57" s="20"/>
      <c r="AK57" s="19">
        <v>1</v>
      </c>
      <c r="AL57" s="19">
        <v>1</v>
      </c>
      <c r="AM57" s="19">
        <v>1</v>
      </c>
      <c r="AN57" s="20"/>
      <c r="AO57" s="19">
        <v>2</v>
      </c>
      <c r="AP57" s="19">
        <v>1</v>
      </c>
      <c r="AQ57" s="19"/>
      <c r="AR57" s="19"/>
      <c r="AS57" s="19">
        <v>1</v>
      </c>
      <c r="AT57" s="19"/>
      <c r="AU57" s="19">
        <v>1</v>
      </c>
      <c r="AV57" s="19"/>
      <c r="AW57" s="19">
        <v>1</v>
      </c>
      <c r="AX57" s="19"/>
      <c r="AY57" s="19"/>
      <c r="AZ57" s="19"/>
      <c r="BA57" s="19"/>
      <c r="BB57" s="19"/>
      <c r="BC57" s="21" cm="1">
        <f t="array" ref="BC57">SUMPRODUCT(--(D57:BB57=INT(D57:BB57)),--(D57:BB57&gt;0))</f>
        <v>24</v>
      </c>
      <c r="BD57" s="21">
        <f t="shared" si="0"/>
        <v>27</v>
      </c>
      <c r="BF57" s="25"/>
      <c r="BG57" s="25"/>
      <c r="BH57" s="25"/>
      <c r="BI57" s="25" t="s">
        <v>721</v>
      </c>
      <c r="BJ57" s="25"/>
      <c r="BK57" s="25"/>
      <c r="BL57" s="25"/>
      <c r="BM57" s="25"/>
      <c r="BN57" s="30"/>
      <c r="BO57" s="25">
        <f t="shared" si="3"/>
        <v>1</v>
      </c>
    </row>
    <row r="58" customHeight="1" spans="1:67">
      <c r="A58" s="27"/>
      <c r="B58" s="17"/>
      <c r="C58" s="18">
        <v>27</v>
      </c>
      <c r="D58" s="19"/>
      <c r="E58" s="19">
        <v>1</v>
      </c>
      <c r="F58" s="19">
        <v>1</v>
      </c>
      <c r="G58" s="19"/>
      <c r="H58" s="19"/>
      <c r="I58" s="19"/>
      <c r="J58" s="19">
        <v>1</v>
      </c>
      <c r="K58" s="19">
        <v>1</v>
      </c>
      <c r="L58" s="19"/>
      <c r="M58" s="19"/>
      <c r="N58" s="19"/>
      <c r="O58" s="19"/>
      <c r="P58" s="19">
        <v>1</v>
      </c>
      <c r="Q58" s="19">
        <v>1</v>
      </c>
      <c r="R58" s="19"/>
      <c r="S58" s="19"/>
      <c r="T58" s="19"/>
      <c r="U58" s="19"/>
      <c r="V58" s="19"/>
      <c r="W58" s="19">
        <v>1</v>
      </c>
      <c r="X58" s="19"/>
      <c r="Y58" s="19">
        <v>1</v>
      </c>
      <c r="Z58" s="19"/>
      <c r="AA58" s="19"/>
      <c r="AB58" s="19"/>
      <c r="AC58" s="19">
        <v>2</v>
      </c>
      <c r="AD58" s="19"/>
      <c r="AE58" s="19"/>
      <c r="AF58" s="19"/>
      <c r="AG58" s="19">
        <v>1</v>
      </c>
      <c r="AH58" s="19"/>
      <c r="AI58" s="19"/>
      <c r="AJ58" s="20"/>
      <c r="AK58" s="19"/>
      <c r="AL58" s="19"/>
      <c r="AM58" s="19"/>
      <c r="AN58" s="20"/>
      <c r="AO58" s="19"/>
      <c r="AP58" s="19"/>
      <c r="AQ58" s="19">
        <v>2</v>
      </c>
      <c r="AR58" s="19"/>
      <c r="AS58" s="19">
        <v>2</v>
      </c>
      <c r="AT58" s="19"/>
      <c r="AU58" s="19">
        <v>2</v>
      </c>
      <c r="AV58" s="19"/>
      <c r="AW58" s="19">
        <v>1</v>
      </c>
      <c r="AX58" s="19"/>
      <c r="AY58" s="19"/>
      <c r="AZ58" s="19"/>
      <c r="BA58" s="19"/>
      <c r="BB58" s="19"/>
      <c r="BC58" s="21" cm="1">
        <f t="array" ref="BC58">SUMPRODUCT(--(D58:BB58=INT(D58:BB58)),--(D58:BB58&gt;0))</f>
        <v>14</v>
      </c>
      <c r="BD58" s="21">
        <f t="shared" si="0"/>
        <v>18</v>
      </c>
      <c r="BF58" s="25"/>
      <c r="BG58" s="25"/>
      <c r="BH58" s="25"/>
      <c r="BI58" s="25"/>
      <c r="BJ58" s="25"/>
      <c r="BK58" s="25"/>
      <c r="BL58" s="25" t="s">
        <v>721</v>
      </c>
      <c r="BM58" s="25"/>
      <c r="BN58" s="30"/>
      <c r="BO58" s="25">
        <f t="shared" si="3"/>
        <v>1</v>
      </c>
    </row>
    <row r="59" customHeight="1" spans="1:67">
      <c r="A59" s="27"/>
      <c r="B59" s="17"/>
      <c r="C59" s="18">
        <v>30</v>
      </c>
      <c r="D59" s="19"/>
      <c r="E59" s="19">
        <v>1</v>
      </c>
      <c r="F59" s="19"/>
      <c r="G59" s="19"/>
      <c r="H59" s="19">
        <v>1</v>
      </c>
      <c r="I59" s="19"/>
      <c r="J59" s="19">
        <v>1</v>
      </c>
      <c r="K59" s="19"/>
      <c r="L59" s="19"/>
      <c r="M59" s="19"/>
      <c r="N59" s="19">
        <v>1</v>
      </c>
      <c r="O59" s="19"/>
      <c r="P59" s="19">
        <v>1</v>
      </c>
      <c r="Q59" s="19"/>
      <c r="R59" s="19"/>
      <c r="S59" s="19"/>
      <c r="T59" s="19">
        <v>1</v>
      </c>
      <c r="U59" s="19">
        <v>1</v>
      </c>
      <c r="V59" s="19"/>
      <c r="W59" s="19"/>
      <c r="X59" s="19"/>
      <c r="Y59" s="19">
        <v>1</v>
      </c>
      <c r="Z59" s="19"/>
      <c r="AA59" s="19"/>
      <c r="AB59" s="19"/>
      <c r="AC59" s="19">
        <v>1</v>
      </c>
      <c r="AD59" s="19">
        <v>1</v>
      </c>
      <c r="AE59" s="19">
        <v>1</v>
      </c>
      <c r="AF59" s="19">
        <v>1</v>
      </c>
      <c r="AG59" s="19">
        <v>1</v>
      </c>
      <c r="AH59" s="19"/>
      <c r="AI59" s="19"/>
      <c r="AJ59" s="20"/>
      <c r="AK59" s="19"/>
      <c r="AL59" s="19"/>
      <c r="AM59" s="19">
        <v>1</v>
      </c>
      <c r="AN59" s="20"/>
      <c r="AO59" s="19">
        <v>1</v>
      </c>
      <c r="AP59" s="19">
        <v>1</v>
      </c>
      <c r="AQ59" s="19"/>
      <c r="AR59" s="19"/>
      <c r="AS59" s="19">
        <v>2</v>
      </c>
      <c r="AT59" s="19"/>
      <c r="AU59" s="19">
        <v>1</v>
      </c>
      <c r="AV59" s="19"/>
      <c r="AW59" s="19">
        <v>1</v>
      </c>
      <c r="AX59" s="19"/>
      <c r="AY59" s="19"/>
      <c r="AZ59" s="19"/>
      <c r="BA59" s="19"/>
      <c r="BB59" s="19"/>
      <c r="BC59" s="21" cm="1">
        <f t="array" ref="BC59">SUMPRODUCT(--(D59:BB59=INT(D59:BB59)),--(D59:BB59&gt;0))</f>
        <v>19</v>
      </c>
      <c r="BD59" s="21">
        <f t="shared" si="0"/>
        <v>20</v>
      </c>
      <c r="BF59" s="25"/>
      <c r="BG59" s="25"/>
      <c r="BH59" s="25" t="s">
        <v>720</v>
      </c>
      <c r="BI59" s="25"/>
      <c r="BJ59" s="25"/>
      <c r="BK59" s="25"/>
      <c r="BL59" s="25"/>
      <c r="BM59" s="25"/>
      <c r="BN59" s="30"/>
      <c r="BO59" s="25">
        <f t="shared" si="3"/>
        <v>1</v>
      </c>
    </row>
    <row r="60" customHeight="1" spans="1:67">
      <c r="A60" s="27"/>
      <c r="B60" s="17"/>
      <c r="C60" s="18">
        <v>31</v>
      </c>
      <c r="D60" s="19"/>
      <c r="E60" s="19">
        <v>1</v>
      </c>
      <c r="F60" s="19"/>
      <c r="G60" s="19"/>
      <c r="H60" s="19"/>
      <c r="I60" s="19">
        <v>2</v>
      </c>
      <c r="J60" s="19"/>
      <c r="K60" s="19"/>
      <c r="L60" s="19"/>
      <c r="M60" s="19"/>
      <c r="N60" s="19">
        <v>1</v>
      </c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>
        <v>1</v>
      </c>
      <c r="AH60" s="19"/>
      <c r="AI60" s="19"/>
      <c r="AJ60" s="20"/>
      <c r="AK60" s="19"/>
      <c r="AL60" s="19"/>
      <c r="AM60" s="19">
        <v>1</v>
      </c>
      <c r="AN60" s="20"/>
      <c r="AO60" s="19"/>
      <c r="AP60" s="19"/>
      <c r="AQ60" s="19"/>
      <c r="AR60" s="19"/>
      <c r="AS60" s="19">
        <v>2</v>
      </c>
      <c r="AT60" s="19"/>
      <c r="AU60" s="19"/>
      <c r="AV60" s="19"/>
      <c r="AW60" s="19"/>
      <c r="AX60" s="19"/>
      <c r="AY60" s="19"/>
      <c r="AZ60" s="19"/>
      <c r="BA60" s="19"/>
      <c r="BB60" s="19"/>
      <c r="BC60" s="21" cm="1">
        <f t="array" ref="BC60">SUMPRODUCT(--(D60:BB60=INT(D60:BB60)),--(D60:BB60&gt;0))</f>
        <v>6</v>
      </c>
      <c r="BD60" s="21">
        <f t="shared" si="0"/>
        <v>8</v>
      </c>
      <c r="BF60" s="25"/>
      <c r="BG60" s="25"/>
      <c r="BH60" s="25"/>
      <c r="BI60" s="25"/>
      <c r="BJ60" s="25"/>
      <c r="BK60" s="25" t="s">
        <v>722</v>
      </c>
      <c r="BL60" s="25"/>
      <c r="BM60" s="25"/>
      <c r="BN60" s="30"/>
      <c r="BO60" s="25">
        <f t="shared" si="3"/>
        <v>1</v>
      </c>
    </row>
    <row r="61" customHeight="1" spans="1:67">
      <c r="A61" s="27"/>
      <c r="B61" s="17">
        <v>4</v>
      </c>
      <c r="C61" s="18">
        <v>1</v>
      </c>
      <c r="D61" s="19"/>
      <c r="E61" s="19">
        <v>1</v>
      </c>
      <c r="F61" s="19">
        <v>1</v>
      </c>
      <c r="G61" s="19"/>
      <c r="H61" s="19">
        <v>1</v>
      </c>
      <c r="I61" s="19">
        <v>1</v>
      </c>
      <c r="J61" s="19">
        <v>1</v>
      </c>
      <c r="K61" s="19"/>
      <c r="L61" s="19"/>
      <c r="M61" s="19"/>
      <c r="N61" s="19">
        <v>1</v>
      </c>
      <c r="O61" s="19"/>
      <c r="P61" s="19">
        <v>1</v>
      </c>
      <c r="Q61" s="19"/>
      <c r="R61" s="19"/>
      <c r="S61" s="19"/>
      <c r="T61" s="19"/>
      <c r="U61" s="19"/>
      <c r="V61" s="19"/>
      <c r="W61" s="19">
        <v>1</v>
      </c>
      <c r="X61" s="19"/>
      <c r="Y61" s="19">
        <v>1</v>
      </c>
      <c r="Z61" s="19"/>
      <c r="AA61" s="19"/>
      <c r="AB61" s="19"/>
      <c r="AC61" s="19">
        <v>2</v>
      </c>
      <c r="AD61" s="19">
        <v>1</v>
      </c>
      <c r="AE61" s="19"/>
      <c r="AF61" s="19">
        <v>1</v>
      </c>
      <c r="AG61" s="19">
        <v>1</v>
      </c>
      <c r="AH61" s="19"/>
      <c r="AI61" s="19"/>
      <c r="AJ61" s="20"/>
      <c r="AK61" s="19"/>
      <c r="AL61" s="19">
        <v>1</v>
      </c>
      <c r="AM61" s="19">
        <v>1</v>
      </c>
      <c r="AN61" s="20"/>
      <c r="AO61" s="19">
        <v>1</v>
      </c>
      <c r="AP61" s="19">
        <v>2</v>
      </c>
      <c r="AQ61" s="19">
        <v>1</v>
      </c>
      <c r="AR61" s="19"/>
      <c r="AS61" s="19">
        <v>1</v>
      </c>
      <c r="AT61" s="19"/>
      <c r="AU61" s="19">
        <v>1</v>
      </c>
      <c r="AV61" s="19"/>
      <c r="AW61" s="19">
        <v>1</v>
      </c>
      <c r="AX61" s="19"/>
      <c r="AY61" s="19"/>
      <c r="AZ61" s="19"/>
      <c r="BA61" s="19"/>
      <c r="BB61" s="19"/>
      <c r="BC61" s="21" cm="1">
        <f t="array" ref="BC61">SUMPRODUCT(--(D61:BB61=INT(D61:BB61)),--(D61:BB61&gt;0))</f>
        <v>21</v>
      </c>
      <c r="BD61" s="21">
        <f t="shared" si="0"/>
        <v>23</v>
      </c>
      <c r="BF61" s="25"/>
      <c r="BG61" s="25"/>
      <c r="BH61" s="25"/>
      <c r="BI61" s="25"/>
      <c r="BJ61" s="25"/>
      <c r="BK61" s="25"/>
      <c r="BL61" s="25"/>
      <c r="BM61" s="25"/>
      <c r="BN61" s="30"/>
      <c r="BO61" s="25">
        <f t="shared" si="3"/>
        <v>0</v>
      </c>
    </row>
    <row r="62" customHeight="1" spans="1:67">
      <c r="A62" s="27"/>
      <c r="B62" s="17"/>
      <c r="C62" s="18">
        <v>2</v>
      </c>
      <c r="D62" s="19"/>
      <c r="E62" s="19"/>
      <c r="F62" s="19">
        <v>1</v>
      </c>
      <c r="G62" s="19"/>
      <c r="H62" s="19"/>
      <c r="I62" s="19">
        <v>1</v>
      </c>
      <c r="J62" s="19">
        <v>1</v>
      </c>
      <c r="K62" s="19"/>
      <c r="L62" s="19">
        <v>2</v>
      </c>
      <c r="M62" s="19"/>
      <c r="N62" s="19">
        <v>1</v>
      </c>
      <c r="O62" s="19"/>
      <c r="P62" s="19">
        <v>1</v>
      </c>
      <c r="Q62" s="19">
        <v>1</v>
      </c>
      <c r="R62" s="19"/>
      <c r="S62" s="19"/>
      <c r="T62" s="19">
        <v>1</v>
      </c>
      <c r="U62" s="19"/>
      <c r="V62" s="19"/>
      <c r="W62" s="19">
        <v>1</v>
      </c>
      <c r="X62" s="19"/>
      <c r="Y62" s="19">
        <v>1</v>
      </c>
      <c r="Z62" s="19"/>
      <c r="AA62" s="19"/>
      <c r="AB62" s="19"/>
      <c r="AC62" s="19"/>
      <c r="AD62" s="19"/>
      <c r="AE62" s="19">
        <v>1</v>
      </c>
      <c r="AF62" s="19">
        <v>2</v>
      </c>
      <c r="AG62" s="19">
        <v>1</v>
      </c>
      <c r="AH62" s="19">
        <v>1</v>
      </c>
      <c r="AI62" s="19"/>
      <c r="AJ62" s="20"/>
      <c r="AK62" s="19"/>
      <c r="AL62" s="19">
        <v>1</v>
      </c>
      <c r="AM62" s="19"/>
      <c r="AN62" s="20"/>
      <c r="AO62" s="19">
        <v>1</v>
      </c>
      <c r="AP62" s="19">
        <v>2</v>
      </c>
      <c r="AQ62" s="19">
        <v>1</v>
      </c>
      <c r="AR62" s="19"/>
      <c r="AS62" s="19">
        <v>1</v>
      </c>
      <c r="AT62" s="19"/>
      <c r="AU62" s="19">
        <v>2</v>
      </c>
      <c r="AV62" s="19"/>
      <c r="AW62" s="19"/>
      <c r="AX62" s="19"/>
      <c r="AY62" s="19"/>
      <c r="AZ62" s="19"/>
      <c r="BA62" s="19"/>
      <c r="BB62" s="19"/>
      <c r="BC62" s="21" cm="1">
        <f t="array" ref="BC62">SUMPRODUCT(--(D62:BB62=INT(D62:BB62)),--(D62:BB62&gt;0))</f>
        <v>20</v>
      </c>
      <c r="BD62" s="21">
        <f t="shared" si="0"/>
        <v>24</v>
      </c>
      <c r="BF62" s="25"/>
      <c r="BG62" s="25"/>
      <c r="BH62" s="25"/>
      <c r="BI62" s="25"/>
      <c r="BJ62" s="25" t="s">
        <v>718</v>
      </c>
      <c r="BK62" s="25"/>
      <c r="BL62" s="25"/>
      <c r="BM62" s="25" t="s">
        <v>723</v>
      </c>
      <c r="BN62" s="30"/>
      <c r="BO62" s="25">
        <f t="shared" si="3"/>
        <v>2</v>
      </c>
    </row>
    <row r="63" customHeight="1" spans="1:67">
      <c r="A63" s="27"/>
      <c r="B63" s="17"/>
      <c r="C63" s="18">
        <v>3</v>
      </c>
      <c r="D63" s="19"/>
      <c r="E63" s="19">
        <v>1</v>
      </c>
      <c r="F63" s="19"/>
      <c r="G63" s="19"/>
      <c r="H63" s="19"/>
      <c r="I63" s="19"/>
      <c r="J63" s="19">
        <v>1</v>
      </c>
      <c r="K63" s="19"/>
      <c r="L63" s="19"/>
      <c r="M63" s="19"/>
      <c r="N63" s="19"/>
      <c r="O63" s="19"/>
      <c r="P63" s="19"/>
      <c r="Q63" s="19"/>
      <c r="R63" s="19"/>
      <c r="S63" s="19"/>
      <c r="T63" s="19">
        <v>1</v>
      </c>
      <c r="U63" s="19"/>
      <c r="V63" s="19"/>
      <c r="W63" s="19">
        <v>1</v>
      </c>
      <c r="X63" s="19"/>
      <c r="Y63" s="19"/>
      <c r="Z63" s="19"/>
      <c r="AA63" s="19"/>
      <c r="AB63" s="19"/>
      <c r="AC63" s="19">
        <v>1</v>
      </c>
      <c r="AD63" s="19">
        <v>1</v>
      </c>
      <c r="AE63" s="19"/>
      <c r="AF63" s="19">
        <v>1</v>
      </c>
      <c r="AG63" s="19">
        <v>1</v>
      </c>
      <c r="AH63" s="19"/>
      <c r="AI63" s="19"/>
      <c r="AJ63" s="20"/>
      <c r="AK63" s="19"/>
      <c r="AL63" s="19"/>
      <c r="AM63" s="19"/>
      <c r="AN63" s="20"/>
      <c r="AO63" s="19">
        <v>1</v>
      </c>
      <c r="AP63" s="19">
        <v>2</v>
      </c>
      <c r="AQ63" s="19">
        <v>2</v>
      </c>
      <c r="AR63" s="19"/>
      <c r="AS63" s="19"/>
      <c r="AT63" s="19"/>
      <c r="AU63" s="19">
        <v>1</v>
      </c>
      <c r="AV63" s="19"/>
      <c r="AW63" s="19"/>
      <c r="AX63" s="19"/>
      <c r="AY63" s="19"/>
      <c r="AZ63" s="19"/>
      <c r="BA63" s="19"/>
      <c r="BB63" s="19"/>
      <c r="BC63" s="21" cm="1">
        <f t="array" ref="BC63">SUMPRODUCT(--(D63:BB63=INT(D63:BB63)),--(D63:BB63&gt;0))</f>
        <v>12</v>
      </c>
      <c r="BD63" s="21">
        <f t="shared" si="0"/>
        <v>14</v>
      </c>
      <c r="BF63" s="25"/>
      <c r="BG63" s="25"/>
      <c r="BH63" s="25"/>
      <c r="BI63" s="25"/>
      <c r="BJ63" s="25"/>
      <c r="BK63" s="25"/>
      <c r="BL63" s="25"/>
      <c r="BM63" s="25"/>
      <c r="BN63" s="30"/>
      <c r="BO63" s="25">
        <f t="shared" si="3"/>
        <v>0</v>
      </c>
    </row>
    <row r="64" customHeight="1" spans="1:67">
      <c r="A64" s="27"/>
      <c r="B64" s="17"/>
      <c r="C64" s="18">
        <v>7</v>
      </c>
      <c r="D64" s="19"/>
      <c r="E64" s="19"/>
      <c r="F64" s="19"/>
      <c r="G64" s="19"/>
      <c r="H64" s="19">
        <v>1</v>
      </c>
      <c r="I64" s="19">
        <v>1</v>
      </c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>
        <v>1</v>
      </c>
      <c r="AE64" s="19"/>
      <c r="AF64" s="19"/>
      <c r="AG64" s="19"/>
      <c r="AH64" s="19"/>
      <c r="AI64" s="19"/>
      <c r="AJ64" s="20"/>
      <c r="AK64" s="19"/>
      <c r="AL64" s="19"/>
      <c r="AM64" s="19"/>
      <c r="AN64" s="20"/>
      <c r="AO64" s="19">
        <v>2</v>
      </c>
      <c r="AP64" s="19">
        <v>1</v>
      </c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21" cm="1">
        <f t="array" ref="BC64">SUMPRODUCT(--(D64:BB64=INT(D64:BB64)),--(D64:BB64&gt;0))</f>
        <v>5</v>
      </c>
      <c r="BD64" s="21">
        <f t="shared" si="0"/>
        <v>6</v>
      </c>
      <c r="BF64" s="25"/>
      <c r="BG64" s="25"/>
      <c r="BH64" s="25"/>
      <c r="BI64" s="25"/>
      <c r="BJ64" s="25"/>
      <c r="BK64" s="25"/>
      <c r="BL64" s="25"/>
      <c r="BM64" s="25"/>
      <c r="BN64" s="30"/>
      <c r="BO64" s="25">
        <f t="shared" si="3"/>
        <v>0</v>
      </c>
    </row>
    <row r="65" customHeight="1" spans="1:67">
      <c r="A65" s="27"/>
      <c r="B65" s="17"/>
      <c r="C65" s="18">
        <v>8</v>
      </c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20"/>
      <c r="AK65" s="19"/>
      <c r="AL65" s="19"/>
      <c r="AM65" s="19"/>
      <c r="AN65" s="20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21" cm="1">
        <f t="array" ref="BC65">SUMPRODUCT(--(D65:BB65=INT(D65:BB65)),--(D65:BB65&gt;0))</f>
        <v>0</v>
      </c>
      <c r="BD65" s="21">
        <f t="shared" si="0"/>
        <v>0</v>
      </c>
      <c r="BF65" s="25"/>
      <c r="BG65" s="25"/>
      <c r="BH65" s="25" t="s">
        <v>720</v>
      </c>
      <c r="BI65" s="25"/>
      <c r="BJ65" s="25"/>
      <c r="BK65" s="25"/>
      <c r="BL65" s="25"/>
      <c r="BM65" s="25"/>
      <c r="BN65" s="30"/>
      <c r="BO65" s="25">
        <f t="shared" si="3"/>
        <v>1</v>
      </c>
    </row>
    <row r="66" customHeight="1" spans="1:67">
      <c r="A66" s="27"/>
      <c r="B66" s="17"/>
      <c r="C66" s="18">
        <v>9</v>
      </c>
      <c r="D66" s="19"/>
      <c r="E66" s="19">
        <v>1</v>
      </c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>
        <v>1</v>
      </c>
      <c r="AC66" s="19"/>
      <c r="AD66" s="19"/>
      <c r="AE66" s="19"/>
      <c r="AF66" s="19"/>
      <c r="AG66" s="19"/>
      <c r="AH66" s="19"/>
      <c r="AI66" s="19"/>
      <c r="AJ66" s="20"/>
      <c r="AK66" s="19"/>
      <c r="AL66" s="19">
        <v>1</v>
      </c>
      <c r="AM66" s="19"/>
      <c r="AN66" s="20"/>
      <c r="AO66" s="19">
        <v>1</v>
      </c>
      <c r="AP66" s="19">
        <v>1</v>
      </c>
      <c r="AQ66" s="19">
        <v>1</v>
      </c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21" cm="1">
        <f t="array" ref="BC66">SUMPRODUCT(--(D66:BB66=INT(D66:BB66)),--(D66:BB66&gt;0))</f>
        <v>6</v>
      </c>
      <c r="BD66" s="21">
        <f t="shared" ref="BD66:BD96" si="4">SUM(D66:BB66)</f>
        <v>6</v>
      </c>
      <c r="BF66" s="25"/>
      <c r="BG66" s="25"/>
      <c r="BH66" s="25"/>
      <c r="BI66" s="25"/>
      <c r="BJ66" s="25"/>
      <c r="BK66" s="25"/>
      <c r="BL66" s="25"/>
      <c r="BM66" s="25"/>
      <c r="BN66" s="30"/>
      <c r="BO66" s="25">
        <f t="shared" si="3"/>
        <v>0</v>
      </c>
    </row>
    <row r="67" customHeight="1" spans="1:67">
      <c r="A67" s="27"/>
      <c r="B67" s="17"/>
      <c r="C67" s="18">
        <v>10</v>
      </c>
      <c r="D67" s="19"/>
      <c r="E67" s="19">
        <v>1</v>
      </c>
      <c r="F67" s="19"/>
      <c r="G67" s="19"/>
      <c r="H67" s="19"/>
      <c r="I67" s="19">
        <v>1</v>
      </c>
      <c r="J67" s="19"/>
      <c r="K67" s="19"/>
      <c r="L67" s="19"/>
      <c r="M67" s="19"/>
      <c r="N67" s="19">
        <v>1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>
        <v>1</v>
      </c>
      <c r="Z67" s="19"/>
      <c r="AA67" s="19"/>
      <c r="AB67" s="19"/>
      <c r="AC67" s="19"/>
      <c r="AD67" s="19"/>
      <c r="AE67" s="19">
        <v>1</v>
      </c>
      <c r="AF67" s="19"/>
      <c r="AG67" s="19"/>
      <c r="AH67" s="19"/>
      <c r="AI67" s="19"/>
      <c r="AJ67" s="20"/>
      <c r="AK67" s="19"/>
      <c r="AL67" s="19"/>
      <c r="AM67" s="19"/>
      <c r="AN67" s="20"/>
      <c r="AO67" s="19">
        <v>1</v>
      </c>
      <c r="AP67" s="19">
        <v>1</v>
      </c>
      <c r="AQ67" s="19"/>
      <c r="AR67" s="19"/>
      <c r="AS67" s="19">
        <v>1</v>
      </c>
      <c r="AT67" s="19"/>
      <c r="AU67" s="19">
        <v>1</v>
      </c>
      <c r="AV67" s="19"/>
      <c r="AW67" s="19">
        <v>1</v>
      </c>
      <c r="AX67" s="19"/>
      <c r="AY67" s="19"/>
      <c r="AZ67" s="19"/>
      <c r="BA67" s="19"/>
      <c r="BB67" s="19"/>
      <c r="BC67" s="21" cm="1">
        <f t="array" ref="BC67">SUMPRODUCT(--(D67:BB67=INT(D67:BB67)),--(D67:BB67&gt;0))</f>
        <v>10</v>
      </c>
      <c r="BD67" s="21">
        <f t="shared" si="4"/>
        <v>10</v>
      </c>
      <c r="BF67" s="25"/>
      <c r="BG67" s="25"/>
      <c r="BH67" s="25"/>
      <c r="BI67" s="25"/>
      <c r="BJ67" s="25"/>
      <c r="BK67" s="25"/>
      <c r="BL67" s="25" t="s">
        <v>721</v>
      </c>
      <c r="BM67" s="25"/>
      <c r="BN67" s="30"/>
      <c r="BO67" s="25">
        <f t="shared" si="3"/>
        <v>1</v>
      </c>
    </row>
    <row r="68" customHeight="1" spans="1:67">
      <c r="A68" s="27"/>
      <c r="B68" s="17"/>
      <c r="C68" s="18">
        <v>13</v>
      </c>
      <c r="D68" s="19"/>
      <c r="E68" s="19"/>
      <c r="F68" s="19"/>
      <c r="G68" s="19"/>
      <c r="H68" s="19"/>
      <c r="I68" s="19"/>
      <c r="J68" s="19"/>
      <c r="K68" s="19"/>
      <c r="L68" s="19">
        <v>1</v>
      </c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20"/>
      <c r="AK68" s="19"/>
      <c r="AL68" s="19"/>
      <c r="AM68" s="19"/>
      <c r="AN68" s="20"/>
      <c r="AO68" s="19">
        <v>1</v>
      </c>
      <c r="AP68" s="19"/>
      <c r="AQ68" s="19"/>
      <c r="AR68" s="19"/>
      <c r="AS68" s="19"/>
      <c r="AT68" s="19"/>
      <c r="AU68" s="19">
        <v>1</v>
      </c>
      <c r="AV68" s="19"/>
      <c r="AW68" s="19"/>
      <c r="AX68" s="19"/>
      <c r="AY68" s="19"/>
      <c r="AZ68" s="19"/>
      <c r="BA68" s="19"/>
      <c r="BB68" s="19"/>
      <c r="BC68" s="21" cm="1">
        <f t="array" ref="BC68">SUMPRODUCT(--(D68:BB68=INT(D68:BB68)),--(D68:BB68&gt;0))</f>
        <v>3</v>
      </c>
      <c r="BD68" s="21">
        <f t="shared" si="4"/>
        <v>3</v>
      </c>
      <c r="BF68" s="25"/>
      <c r="BG68" s="25" t="s">
        <v>719</v>
      </c>
      <c r="BH68" s="25"/>
      <c r="BI68" s="25"/>
      <c r="BJ68" s="25"/>
      <c r="BK68" s="25"/>
      <c r="BL68" s="25"/>
      <c r="BM68" s="25"/>
      <c r="BN68" s="30"/>
      <c r="BO68" s="25">
        <f t="shared" si="3"/>
        <v>1</v>
      </c>
    </row>
    <row r="69" customHeight="1" spans="1:67">
      <c r="A69" s="27"/>
      <c r="B69" s="17"/>
      <c r="C69" s="18">
        <v>14</v>
      </c>
      <c r="D69" s="19"/>
      <c r="E69" s="19"/>
      <c r="F69" s="19"/>
      <c r="G69" s="19"/>
      <c r="H69" s="19"/>
      <c r="I69" s="19">
        <v>1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>
        <v>1</v>
      </c>
      <c r="AI69" s="19"/>
      <c r="AJ69" s="20"/>
      <c r="AK69" s="19"/>
      <c r="AL69" s="19"/>
      <c r="AM69" s="19"/>
      <c r="AN69" s="20"/>
      <c r="AO69" s="19">
        <v>2</v>
      </c>
      <c r="AP69" s="19"/>
      <c r="AQ69" s="19"/>
      <c r="AR69" s="19"/>
      <c r="AS69" s="19">
        <v>1</v>
      </c>
      <c r="AT69" s="19"/>
      <c r="AU69" s="19">
        <v>1</v>
      </c>
      <c r="AV69" s="19"/>
      <c r="AW69" s="19"/>
      <c r="AX69" s="19"/>
      <c r="AY69" s="19"/>
      <c r="AZ69" s="19"/>
      <c r="BA69" s="19"/>
      <c r="BB69" s="19"/>
      <c r="BC69" s="21" cm="1">
        <f t="array" ref="BC69">SUMPRODUCT(--(D69:BB69=INT(D69:BB69)),--(D69:BB69&gt;0))</f>
        <v>5</v>
      </c>
      <c r="BD69" s="21">
        <f t="shared" si="4"/>
        <v>6</v>
      </c>
      <c r="BF69" s="25"/>
      <c r="BG69" s="25"/>
      <c r="BH69" s="25"/>
      <c r="BI69" s="25"/>
      <c r="BJ69" s="25" t="s">
        <v>721</v>
      </c>
      <c r="BK69" s="25"/>
      <c r="BL69" s="25"/>
      <c r="BM69" s="25"/>
      <c r="BN69" s="30"/>
      <c r="BO69" s="25">
        <f t="shared" si="3"/>
        <v>1</v>
      </c>
    </row>
    <row r="70" customHeight="1" spans="1:67">
      <c r="A70" s="27"/>
      <c r="B70" s="17"/>
      <c r="C70" s="18">
        <v>15</v>
      </c>
      <c r="D70" s="19"/>
      <c r="E70" s="19">
        <v>1</v>
      </c>
      <c r="F70" s="19"/>
      <c r="G70" s="19"/>
      <c r="H70" s="19"/>
      <c r="I70" s="19"/>
      <c r="J70" s="19">
        <v>2</v>
      </c>
      <c r="K70" s="19"/>
      <c r="L70" s="19"/>
      <c r="M70" s="19">
        <v>1</v>
      </c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>
        <v>1</v>
      </c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20"/>
      <c r="AK70" s="19"/>
      <c r="AL70" s="19"/>
      <c r="AM70" s="19"/>
      <c r="AN70" s="20"/>
      <c r="AO70" s="19">
        <v>1</v>
      </c>
      <c r="AP70" s="19"/>
      <c r="AQ70" s="19">
        <v>1</v>
      </c>
      <c r="AR70" s="19"/>
      <c r="AS70" s="19">
        <v>1</v>
      </c>
      <c r="AT70" s="19"/>
      <c r="AU70" s="19"/>
      <c r="AV70" s="19"/>
      <c r="AW70" s="19"/>
      <c r="AX70" s="19"/>
      <c r="AY70" s="19"/>
      <c r="AZ70" s="19"/>
      <c r="BA70" s="19"/>
      <c r="BB70" s="19"/>
      <c r="BC70" s="21" cm="1">
        <f t="array" ref="BC70">SUMPRODUCT(--(D70:BB70=INT(D70:BB70)),--(D70:BB70&gt;0))</f>
        <v>7</v>
      </c>
      <c r="BD70" s="21">
        <f t="shared" si="4"/>
        <v>8</v>
      </c>
      <c r="BF70" s="25"/>
      <c r="BG70" s="25"/>
      <c r="BH70" s="25" t="s">
        <v>720</v>
      </c>
      <c r="BI70" s="25"/>
      <c r="BJ70" s="25"/>
      <c r="BK70" s="25"/>
      <c r="BL70" s="25"/>
      <c r="BM70" s="25"/>
      <c r="BN70" s="30"/>
      <c r="BO70" s="25">
        <f t="shared" si="3"/>
        <v>1</v>
      </c>
    </row>
    <row r="71" customHeight="1" spans="1:67">
      <c r="A71" s="27"/>
      <c r="B71" s="17"/>
      <c r="C71" s="18">
        <v>16</v>
      </c>
      <c r="D71" s="19"/>
      <c r="E71" s="19">
        <v>1</v>
      </c>
      <c r="F71" s="19"/>
      <c r="G71" s="19"/>
      <c r="H71" s="19"/>
      <c r="I71" s="19">
        <v>1</v>
      </c>
      <c r="J71" s="19"/>
      <c r="K71" s="19"/>
      <c r="L71" s="19">
        <v>1</v>
      </c>
      <c r="M71" s="19"/>
      <c r="N71" s="19"/>
      <c r="O71" s="19">
        <v>1</v>
      </c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20"/>
      <c r="AK71" s="19"/>
      <c r="AL71" s="19"/>
      <c r="AM71" s="19"/>
      <c r="AN71" s="20"/>
      <c r="AO71" s="19"/>
      <c r="AP71" s="19"/>
      <c r="AQ71" s="19">
        <v>1</v>
      </c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21" cm="1">
        <f t="array" ref="BC71">SUMPRODUCT(--(D71:BB71=INT(D71:BB71)),--(D71:BB71&gt;0))</f>
        <v>5</v>
      </c>
      <c r="BD71" s="21">
        <f t="shared" si="4"/>
        <v>5</v>
      </c>
      <c r="BF71" s="25"/>
      <c r="BG71" s="25"/>
      <c r="BH71" s="25"/>
      <c r="BI71" s="25"/>
      <c r="BJ71" s="25"/>
      <c r="BK71" s="25"/>
      <c r="BL71" s="25"/>
      <c r="BM71" s="25"/>
      <c r="BN71" s="30"/>
      <c r="BO71" s="25">
        <f t="shared" si="3"/>
        <v>0</v>
      </c>
    </row>
    <row r="72" customHeight="1" spans="1:67">
      <c r="A72" s="27"/>
      <c r="B72" s="17"/>
      <c r="C72" s="18">
        <v>17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20"/>
      <c r="AK72" s="19"/>
      <c r="AL72" s="19"/>
      <c r="AM72" s="19"/>
      <c r="AN72" s="20"/>
      <c r="AO72" s="19"/>
      <c r="AP72" s="19"/>
      <c r="AQ72" s="19"/>
      <c r="AR72" s="19"/>
      <c r="AS72" s="19"/>
      <c r="AT72" s="19"/>
      <c r="AU72" s="19">
        <v>1</v>
      </c>
      <c r="AV72" s="19"/>
      <c r="AW72" s="19"/>
      <c r="AX72" s="19"/>
      <c r="AY72" s="19"/>
      <c r="AZ72" s="19"/>
      <c r="BA72" s="19"/>
      <c r="BB72" s="19"/>
      <c r="BC72" s="21" cm="1">
        <f t="array" ref="BC72">SUMPRODUCT(--(D72:BB72=INT(D72:BB72)),--(D72:BB72&gt;0))</f>
        <v>1</v>
      </c>
      <c r="BD72" s="21">
        <f t="shared" si="4"/>
        <v>1</v>
      </c>
      <c r="BF72" s="25"/>
      <c r="BG72" s="25"/>
      <c r="BH72" s="25" t="s">
        <v>723</v>
      </c>
      <c r="BI72" s="25" t="s">
        <v>720</v>
      </c>
      <c r="BJ72" s="25"/>
      <c r="BK72" s="25"/>
      <c r="BL72" s="25" t="s">
        <v>721</v>
      </c>
      <c r="BM72" s="25"/>
      <c r="BN72" s="30"/>
      <c r="BO72" s="25">
        <f t="shared" si="3"/>
        <v>3</v>
      </c>
    </row>
    <row r="73" customHeight="1" spans="1:67">
      <c r="A73" s="27"/>
      <c r="B73" s="17"/>
      <c r="C73" s="18">
        <v>23</v>
      </c>
      <c r="D73" s="19"/>
      <c r="E73" s="19"/>
      <c r="F73" s="19"/>
      <c r="G73" s="19"/>
      <c r="H73" s="19"/>
      <c r="I73" s="19"/>
      <c r="J73" s="19">
        <v>1</v>
      </c>
      <c r="K73" s="19">
        <v>1</v>
      </c>
      <c r="L73" s="19">
        <v>1</v>
      </c>
      <c r="M73" s="19"/>
      <c r="N73" s="19"/>
      <c r="O73" s="19"/>
      <c r="P73" s="19">
        <v>1</v>
      </c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20"/>
      <c r="AK73" s="19"/>
      <c r="AL73" s="19"/>
      <c r="AM73" s="19">
        <v>2</v>
      </c>
      <c r="AN73" s="20"/>
      <c r="AO73" s="19">
        <v>1</v>
      </c>
      <c r="AP73" s="19">
        <v>2</v>
      </c>
      <c r="AQ73" s="19"/>
      <c r="AR73" s="19"/>
      <c r="AS73" s="19">
        <v>1</v>
      </c>
      <c r="AT73" s="19"/>
      <c r="AU73" s="19">
        <v>1</v>
      </c>
      <c r="AV73" s="19"/>
      <c r="AW73" s="19"/>
      <c r="AX73" s="19">
        <v>1</v>
      </c>
      <c r="AY73" s="19"/>
      <c r="AZ73" s="19"/>
      <c r="BA73" s="19"/>
      <c r="BB73" s="19"/>
      <c r="BC73" s="21" cm="1">
        <f t="array" ref="BC73">SUMPRODUCT(--(D73:BB73=INT(D73:BB73)),--(D73:BB73&gt;0))</f>
        <v>10</v>
      </c>
      <c r="BD73" s="21">
        <f t="shared" si="4"/>
        <v>12</v>
      </c>
      <c r="BF73" s="25"/>
      <c r="BG73" s="25"/>
      <c r="BH73" s="25" t="s">
        <v>719</v>
      </c>
      <c r="BI73" s="25"/>
      <c r="BJ73" s="25"/>
      <c r="BK73" s="25"/>
      <c r="BL73" s="25" t="s">
        <v>722</v>
      </c>
      <c r="BM73" s="25"/>
      <c r="BN73" s="30"/>
      <c r="BO73" s="25">
        <f t="shared" si="3"/>
        <v>2</v>
      </c>
    </row>
    <row r="74" customHeight="1" spans="1:67">
      <c r="A74" s="27"/>
      <c r="B74" s="17"/>
      <c r="C74" s="18">
        <v>24</v>
      </c>
      <c r="D74" s="19"/>
      <c r="E74" s="19"/>
      <c r="F74" s="19">
        <v>1</v>
      </c>
      <c r="G74" s="19"/>
      <c r="H74" s="19"/>
      <c r="I74" s="19"/>
      <c r="J74" s="19">
        <v>1</v>
      </c>
      <c r="K74" s="19"/>
      <c r="L74" s="19"/>
      <c r="M74" s="19"/>
      <c r="N74" s="19"/>
      <c r="O74" s="19"/>
      <c r="P74" s="19">
        <v>1</v>
      </c>
      <c r="Q74" s="19"/>
      <c r="R74" s="19"/>
      <c r="S74" s="19"/>
      <c r="T74" s="19">
        <v>1</v>
      </c>
      <c r="U74" s="19"/>
      <c r="V74" s="19"/>
      <c r="W74" s="19">
        <v>1</v>
      </c>
      <c r="X74" s="19"/>
      <c r="Y74" s="19">
        <v>1</v>
      </c>
      <c r="Z74" s="19"/>
      <c r="AA74" s="19"/>
      <c r="AB74" s="19"/>
      <c r="AC74" s="19"/>
      <c r="AD74" s="19"/>
      <c r="AE74" s="19"/>
      <c r="AF74" s="19">
        <v>1</v>
      </c>
      <c r="AG74" s="19">
        <v>2</v>
      </c>
      <c r="AH74" s="19">
        <v>1</v>
      </c>
      <c r="AI74" s="19"/>
      <c r="AJ74" s="20"/>
      <c r="AK74" s="19"/>
      <c r="AL74" s="19">
        <v>1</v>
      </c>
      <c r="AM74" s="19"/>
      <c r="AN74" s="20"/>
      <c r="AO74" s="19">
        <v>1</v>
      </c>
      <c r="AP74" s="19"/>
      <c r="AQ74" s="19">
        <v>1</v>
      </c>
      <c r="AR74" s="19"/>
      <c r="AS74" s="19">
        <v>1</v>
      </c>
      <c r="AT74" s="19"/>
      <c r="AU74" s="19">
        <v>2</v>
      </c>
      <c r="AV74" s="19"/>
      <c r="AW74" s="19">
        <v>1</v>
      </c>
      <c r="AX74" s="19">
        <v>1</v>
      </c>
      <c r="AY74" s="19">
        <v>1</v>
      </c>
      <c r="AZ74" s="19"/>
      <c r="BA74" s="19"/>
      <c r="BB74" s="19"/>
      <c r="BC74" s="21" cm="1">
        <f t="array" ref="BC74">SUMPRODUCT(--(D74:BB74=INT(D74:BB74)),--(D74:BB74&gt;0))</f>
        <v>17</v>
      </c>
      <c r="BD74" s="21">
        <f t="shared" si="4"/>
        <v>19</v>
      </c>
      <c r="BF74" s="25"/>
      <c r="BG74" s="25"/>
      <c r="BH74" s="25"/>
      <c r="BI74" s="25"/>
      <c r="BJ74" s="25"/>
      <c r="BK74" s="25"/>
      <c r="BL74" s="25"/>
      <c r="BM74" s="25"/>
      <c r="BN74" s="30"/>
      <c r="BO74" s="25">
        <f t="shared" si="3"/>
        <v>0</v>
      </c>
    </row>
    <row r="75" customHeight="1" spans="1:67">
      <c r="A75" s="27"/>
      <c r="B75" s="17"/>
      <c r="C75" s="18">
        <v>27</v>
      </c>
      <c r="D75" s="19"/>
      <c r="E75" s="19"/>
      <c r="F75" s="19">
        <v>1</v>
      </c>
      <c r="G75" s="19"/>
      <c r="H75" s="19"/>
      <c r="I75" s="19">
        <v>1</v>
      </c>
      <c r="J75" s="19">
        <v>1</v>
      </c>
      <c r="K75" s="19"/>
      <c r="L75" s="19"/>
      <c r="M75" s="19"/>
      <c r="N75" s="19">
        <v>1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>
        <v>1</v>
      </c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20"/>
      <c r="AK75" s="19"/>
      <c r="AL75" s="19"/>
      <c r="AM75" s="19"/>
      <c r="AN75" s="20"/>
      <c r="AO75" s="19"/>
      <c r="AP75" s="19">
        <v>1</v>
      </c>
      <c r="AQ75" s="19"/>
      <c r="AR75" s="19"/>
      <c r="AS75" s="19">
        <v>1</v>
      </c>
      <c r="AT75" s="19"/>
      <c r="AU75" s="19">
        <v>2</v>
      </c>
      <c r="AV75" s="19"/>
      <c r="AW75" s="19">
        <v>1</v>
      </c>
      <c r="AX75" s="19">
        <v>1</v>
      </c>
      <c r="AY75" s="19"/>
      <c r="AZ75" s="19"/>
      <c r="BA75" s="19"/>
      <c r="BB75" s="19"/>
      <c r="BC75" s="21" cm="1">
        <f t="array" ref="BC75">SUMPRODUCT(--(D75:BB75=INT(D75:BB75)),--(D75:BB75&gt;0))</f>
        <v>10</v>
      </c>
      <c r="BD75" s="21">
        <f t="shared" si="4"/>
        <v>11</v>
      </c>
      <c r="BF75" s="25"/>
      <c r="BG75" s="25" t="s">
        <v>719</v>
      </c>
      <c r="BH75" s="25"/>
      <c r="BI75" s="25"/>
      <c r="BJ75" s="25"/>
      <c r="BK75" s="25"/>
      <c r="BL75" s="25"/>
      <c r="BM75" s="25"/>
      <c r="BN75" s="30"/>
      <c r="BO75" s="25">
        <f t="shared" si="3"/>
        <v>1</v>
      </c>
    </row>
    <row r="76" customHeight="1" spans="1:67">
      <c r="A76" s="27"/>
      <c r="B76" s="17"/>
      <c r="C76" s="18">
        <v>28</v>
      </c>
      <c r="D76" s="19"/>
      <c r="E76" s="19"/>
      <c r="F76" s="19"/>
      <c r="G76" s="19"/>
      <c r="H76" s="19"/>
      <c r="I76" s="19"/>
      <c r="J76" s="19">
        <v>1</v>
      </c>
      <c r="K76" s="19"/>
      <c r="L76" s="19"/>
      <c r="M76" s="19"/>
      <c r="N76" s="19"/>
      <c r="O76" s="19"/>
      <c r="P76" s="19">
        <v>1</v>
      </c>
      <c r="Q76" s="19"/>
      <c r="R76" s="19">
        <v>1</v>
      </c>
      <c r="S76" s="19"/>
      <c r="T76" s="19"/>
      <c r="U76" s="19"/>
      <c r="V76" s="19"/>
      <c r="W76" s="19">
        <v>1</v>
      </c>
      <c r="X76" s="19"/>
      <c r="Y76" s="19">
        <v>1</v>
      </c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20"/>
      <c r="AK76" s="19"/>
      <c r="AL76" s="19"/>
      <c r="AM76" s="19"/>
      <c r="AN76" s="20"/>
      <c r="AO76" s="19"/>
      <c r="AP76" s="19">
        <v>1</v>
      </c>
      <c r="AQ76" s="19"/>
      <c r="AR76" s="19">
        <v>1</v>
      </c>
      <c r="AS76" s="19"/>
      <c r="AT76" s="19"/>
      <c r="AU76" s="19">
        <v>2</v>
      </c>
      <c r="AV76" s="19"/>
      <c r="AW76" s="19"/>
      <c r="AX76" s="19">
        <v>1</v>
      </c>
      <c r="AY76" s="19"/>
      <c r="AZ76" s="19"/>
      <c r="BA76" s="19"/>
      <c r="BB76" s="19"/>
      <c r="BC76" s="21" cm="1">
        <f t="array" ref="BC76">SUMPRODUCT(--(D76:BB76=INT(D76:BB76)),--(D76:BB76&gt;0))</f>
        <v>9</v>
      </c>
      <c r="BD76" s="21">
        <f t="shared" si="4"/>
        <v>10</v>
      </c>
      <c r="BF76" s="25"/>
      <c r="BG76" s="25"/>
      <c r="BH76" s="25"/>
      <c r="BI76" s="25"/>
      <c r="BJ76" s="25"/>
      <c r="BK76" s="25"/>
      <c r="BL76" s="25"/>
      <c r="BM76" s="25"/>
      <c r="BN76" s="30"/>
      <c r="BO76" s="25">
        <f t="shared" si="3"/>
        <v>0</v>
      </c>
    </row>
    <row r="77" customHeight="1" spans="1:67">
      <c r="A77" s="27"/>
      <c r="B77" s="17"/>
      <c r="C77" s="18">
        <v>29</v>
      </c>
      <c r="D77" s="19"/>
      <c r="E77" s="19">
        <v>2</v>
      </c>
      <c r="F77" s="19">
        <v>1</v>
      </c>
      <c r="G77" s="19"/>
      <c r="H77" s="19"/>
      <c r="I77" s="19">
        <v>1</v>
      </c>
      <c r="J77" s="19">
        <v>2</v>
      </c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>
        <v>3</v>
      </c>
      <c r="X77" s="19"/>
      <c r="Y77" s="19">
        <v>3</v>
      </c>
      <c r="Z77" s="19"/>
      <c r="AA77" s="19"/>
      <c r="AB77" s="19"/>
      <c r="AC77" s="19"/>
      <c r="AD77" s="19">
        <v>1</v>
      </c>
      <c r="AE77" s="19"/>
      <c r="AF77" s="19"/>
      <c r="AG77" s="19"/>
      <c r="AH77" s="19"/>
      <c r="AI77" s="19"/>
      <c r="AJ77" s="20"/>
      <c r="AK77" s="19"/>
      <c r="AL77" s="19"/>
      <c r="AM77" s="19">
        <v>1</v>
      </c>
      <c r="AN77" s="20"/>
      <c r="AO77" s="19">
        <v>1</v>
      </c>
      <c r="AP77" s="19">
        <v>1</v>
      </c>
      <c r="AQ77" s="19"/>
      <c r="AR77" s="19"/>
      <c r="AS77" s="19"/>
      <c r="AT77" s="19"/>
      <c r="AU77" s="19">
        <v>1</v>
      </c>
      <c r="AV77" s="19"/>
      <c r="AW77" s="19">
        <v>1</v>
      </c>
      <c r="AX77" s="19"/>
      <c r="AY77" s="19"/>
      <c r="AZ77" s="19"/>
      <c r="BA77" s="19"/>
      <c r="BB77" s="19"/>
      <c r="BC77" s="21" cm="1">
        <f t="array" ref="BC77">SUMPRODUCT(--(D77:BB77=INT(D77:BB77)),--(D77:BB77&gt;0))</f>
        <v>12</v>
      </c>
      <c r="BD77" s="21">
        <f t="shared" si="4"/>
        <v>18</v>
      </c>
      <c r="BF77" s="25"/>
      <c r="BG77" s="25"/>
      <c r="BH77" s="25"/>
      <c r="BI77" s="25"/>
      <c r="BJ77" s="25"/>
      <c r="BK77" s="25"/>
      <c r="BL77" s="25" t="s">
        <v>723</v>
      </c>
      <c r="BM77" s="25"/>
      <c r="BN77" s="30"/>
      <c r="BO77" s="25">
        <f t="shared" si="3"/>
        <v>1</v>
      </c>
    </row>
    <row r="78" customHeight="1" spans="1:67">
      <c r="A78" s="27"/>
      <c r="B78" s="17"/>
      <c r="C78" s="18">
        <v>30</v>
      </c>
      <c r="D78" s="19"/>
      <c r="E78" s="19">
        <v>1</v>
      </c>
      <c r="F78" s="19">
        <v>1</v>
      </c>
      <c r="G78" s="19"/>
      <c r="H78" s="19"/>
      <c r="I78" s="19">
        <v>1</v>
      </c>
      <c r="J78" s="19">
        <v>1</v>
      </c>
      <c r="K78" s="19"/>
      <c r="L78" s="19"/>
      <c r="M78" s="19"/>
      <c r="N78" s="19"/>
      <c r="O78" s="19">
        <v>1</v>
      </c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>
        <v>2</v>
      </c>
      <c r="AD78" s="19"/>
      <c r="AE78" s="19"/>
      <c r="AF78" s="19"/>
      <c r="AG78" s="19">
        <v>1</v>
      </c>
      <c r="AH78" s="19"/>
      <c r="AI78" s="19"/>
      <c r="AJ78" s="20"/>
      <c r="AK78" s="19"/>
      <c r="AL78" s="19"/>
      <c r="AM78" s="19">
        <v>1</v>
      </c>
      <c r="AN78" s="20"/>
      <c r="AO78" s="19"/>
      <c r="AP78" s="19">
        <v>1</v>
      </c>
      <c r="AQ78" s="19"/>
      <c r="AR78" s="19"/>
      <c r="AS78" s="19">
        <v>1</v>
      </c>
      <c r="AT78" s="19"/>
      <c r="AU78" s="19">
        <v>1</v>
      </c>
      <c r="AV78" s="19"/>
      <c r="AW78" s="19">
        <v>1</v>
      </c>
      <c r="AX78" s="19">
        <v>1</v>
      </c>
      <c r="AY78" s="19"/>
      <c r="AZ78" s="19"/>
      <c r="BA78" s="19"/>
      <c r="BB78" s="19"/>
      <c r="BC78" s="21" cm="1">
        <f t="array" ref="BC78">SUMPRODUCT(--(D78:BB78=INT(D78:BB78)),--(D78:BB78&gt;0))</f>
        <v>13</v>
      </c>
      <c r="BD78" s="21">
        <f t="shared" si="4"/>
        <v>14</v>
      </c>
      <c r="BF78" s="25"/>
      <c r="BG78" s="25"/>
      <c r="BH78" s="25"/>
      <c r="BI78" s="25" t="s">
        <v>719</v>
      </c>
      <c r="BJ78" s="25"/>
      <c r="BK78" s="25"/>
      <c r="BL78" s="25"/>
      <c r="BM78" s="25"/>
      <c r="BN78" s="30"/>
      <c r="BO78" s="25">
        <f t="shared" si="3"/>
        <v>1</v>
      </c>
    </row>
    <row r="79" customHeight="1" spans="1:67">
      <c r="A79" s="27"/>
      <c r="B79" s="17">
        <v>5</v>
      </c>
      <c r="C79" s="18">
        <v>6</v>
      </c>
      <c r="D79" s="19"/>
      <c r="E79" s="19"/>
      <c r="F79" s="19"/>
      <c r="G79" s="19"/>
      <c r="H79" s="19"/>
      <c r="I79" s="19">
        <v>1</v>
      </c>
      <c r="J79" s="19"/>
      <c r="K79" s="19"/>
      <c r="L79" s="19"/>
      <c r="M79" s="19">
        <v>1</v>
      </c>
      <c r="N79" s="19"/>
      <c r="O79" s="19"/>
      <c r="P79" s="19">
        <v>1</v>
      </c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20"/>
      <c r="AK79" s="19"/>
      <c r="AL79" s="19"/>
      <c r="AM79" s="19"/>
      <c r="AN79" s="20"/>
      <c r="AO79" s="19">
        <v>1</v>
      </c>
      <c r="AP79" s="19"/>
      <c r="AQ79" s="19">
        <v>1</v>
      </c>
      <c r="AR79" s="19"/>
      <c r="AS79" s="19">
        <v>1</v>
      </c>
      <c r="AT79" s="19"/>
      <c r="AU79" s="19"/>
      <c r="AV79" s="19"/>
      <c r="AW79" s="19"/>
      <c r="AX79" s="19">
        <v>1</v>
      </c>
      <c r="AY79" s="19"/>
      <c r="AZ79" s="19"/>
      <c r="BA79" s="19"/>
      <c r="BB79" s="19"/>
      <c r="BC79" s="21" cm="1">
        <f t="array" ref="BC79">SUMPRODUCT(--(D79:BB79=INT(D79:BB79)),--(D79:BB79&gt;0))</f>
        <v>7</v>
      </c>
      <c r="BD79" s="21">
        <f t="shared" si="4"/>
        <v>7</v>
      </c>
      <c r="BF79" s="25"/>
      <c r="BG79" s="25"/>
      <c r="BH79" s="25"/>
      <c r="BI79" s="25"/>
      <c r="BJ79" s="25"/>
      <c r="BK79" s="25"/>
      <c r="BL79" s="25"/>
      <c r="BM79" s="25"/>
      <c r="BN79" s="30"/>
      <c r="BO79" s="25">
        <f t="shared" si="3"/>
        <v>0</v>
      </c>
    </row>
    <row r="80" customHeight="1" spans="1:67">
      <c r="A80" s="27"/>
      <c r="B80" s="17"/>
      <c r="C80" s="18">
        <v>7</v>
      </c>
      <c r="D80" s="19"/>
      <c r="E80" s="19">
        <v>1</v>
      </c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>
        <v>2</v>
      </c>
      <c r="AD80" s="19"/>
      <c r="AE80" s="19"/>
      <c r="AF80" s="19">
        <v>1</v>
      </c>
      <c r="AG80" s="19">
        <v>1</v>
      </c>
      <c r="AH80" s="19"/>
      <c r="AI80" s="19"/>
      <c r="AJ80" s="20"/>
      <c r="AK80" s="19"/>
      <c r="AL80" s="19"/>
      <c r="AM80" s="19"/>
      <c r="AN80" s="20"/>
      <c r="AO80" s="19">
        <v>2</v>
      </c>
      <c r="AP80" s="19">
        <v>1</v>
      </c>
      <c r="AQ80" s="19"/>
      <c r="AR80" s="19"/>
      <c r="AS80" s="19">
        <v>1</v>
      </c>
      <c r="AT80" s="19"/>
      <c r="AU80" s="19"/>
      <c r="AV80" s="19"/>
      <c r="AW80" s="19"/>
      <c r="AX80" s="19"/>
      <c r="AY80" s="19"/>
      <c r="AZ80" s="19"/>
      <c r="BA80" s="19"/>
      <c r="BB80" s="19"/>
      <c r="BC80" s="21" cm="1">
        <f t="array" ref="BC80">SUMPRODUCT(--(D80:BB80=INT(D80:BB80)),--(D80:BB80&gt;0))</f>
        <v>7</v>
      </c>
      <c r="BD80" s="21">
        <f t="shared" si="4"/>
        <v>9</v>
      </c>
      <c r="BF80" s="25"/>
      <c r="BG80" s="25"/>
      <c r="BH80" s="25"/>
      <c r="BI80" s="25"/>
      <c r="BJ80" s="25"/>
      <c r="BK80" s="25"/>
      <c r="BL80" s="25"/>
      <c r="BM80" s="25"/>
      <c r="BN80" s="30"/>
      <c r="BO80" s="25">
        <f t="shared" si="3"/>
        <v>0</v>
      </c>
    </row>
    <row r="81" customHeight="1" spans="1:67">
      <c r="A81" s="27"/>
      <c r="B81" s="17"/>
      <c r="C81" s="18">
        <v>8</v>
      </c>
      <c r="D81" s="19">
        <v>1</v>
      </c>
      <c r="E81" s="19"/>
      <c r="F81" s="19"/>
      <c r="G81" s="19"/>
      <c r="H81" s="19"/>
      <c r="I81" s="19"/>
      <c r="J81" s="19"/>
      <c r="K81" s="19"/>
      <c r="L81" s="19">
        <v>2</v>
      </c>
      <c r="M81" s="19"/>
      <c r="N81" s="19"/>
      <c r="O81" s="19"/>
      <c r="P81" s="19">
        <v>1</v>
      </c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20"/>
      <c r="AK81" s="19"/>
      <c r="AL81" s="19"/>
      <c r="AM81" s="19"/>
      <c r="AN81" s="20"/>
      <c r="AO81" s="19"/>
      <c r="AP81" s="19"/>
      <c r="AQ81" s="19">
        <v>1</v>
      </c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21" cm="1">
        <f t="array" ref="BC81">SUMPRODUCT(--(D81:BB81=INT(D81:BB81)),--(D81:BB81&gt;0))</f>
        <v>4</v>
      </c>
      <c r="BD81" s="21">
        <f t="shared" si="4"/>
        <v>5</v>
      </c>
      <c r="BF81" s="25"/>
      <c r="BG81" s="25"/>
      <c r="BH81" s="25"/>
      <c r="BI81" s="25" t="s">
        <v>720</v>
      </c>
      <c r="BJ81" s="25"/>
      <c r="BK81" s="25"/>
      <c r="BL81" s="25"/>
      <c r="BM81" s="25"/>
      <c r="BN81" s="30"/>
      <c r="BO81" s="25">
        <f t="shared" ref="BO81:BO97" si="5">COUNTA(BF81:BN81)</f>
        <v>1</v>
      </c>
    </row>
    <row r="82" customHeight="1" spans="1:67">
      <c r="A82" s="27"/>
      <c r="B82" s="17"/>
      <c r="C82" s="18">
        <v>9</v>
      </c>
      <c r="D82" s="19"/>
      <c r="E82" s="19"/>
      <c r="F82" s="19"/>
      <c r="G82" s="19"/>
      <c r="H82" s="19">
        <v>1</v>
      </c>
      <c r="I82" s="19">
        <v>1</v>
      </c>
      <c r="J82" s="19">
        <v>1</v>
      </c>
      <c r="K82" s="19"/>
      <c r="L82" s="19"/>
      <c r="M82" s="19"/>
      <c r="N82" s="19"/>
      <c r="O82" s="19"/>
      <c r="P82" s="19"/>
      <c r="Q82" s="19"/>
      <c r="R82" s="19">
        <v>1</v>
      </c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>
        <v>1</v>
      </c>
      <c r="AD82" s="19"/>
      <c r="AE82" s="19">
        <v>1</v>
      </c>
      <c r="AF82" s="19">
        <v>1</v>
      </c>
      <c r="AG82" s="19"/>
      <c r="AH82" s="19">
        <v>1</v>
      </c>
      <c r="AI82" s="19"/>
      <c r="AJ82" s="20"/>
      <c r="AK82" s="19"/>
      <c r="AL82" s="19">
        <v>1</v>
      </c>
      <c r="AM82" s="19"/>
      <c r="AN82" s="20"/>
      <c r="AO82" s="19">
        <v>1</v>
      </c>
      <c r="AP82" s="19"/>
      <c r="AQ82" s="19">
        <v>1</v>
      </c>
      <c r="AR82" s="19"/>
      <c r="AS82" s="19"/>
      <c r="AT82" s="19"/>
      <c r="AU82" s="19">
        <v>1</v>
      </c>
      <c r="AV82" s="19"/>
      <c r="AW82" s="19"/>
      <c r="AX82" s="19"/>
      <c r="AY82" s="19"/>
      <c r="AZ82" s="19"/>
      <c r="BA82" s="19"/>
      <c r="BB82" s="19"/>
      <c r="BC82" s="21" cm="1">
        <f t="array" ref="BC82">SUMPRODUCT(--(D82:BB82=INT(D82:BB82)),--(D82:BB82&gt;0))</f>
        <v>12</v>
      </c>
      <c r="BD82" s="21">
        <f t="shared" si="4"/>
        <v>12</v>
      </c>
      <c r="BF82" s="25"/>
      <c r="BG82" s="25"/>
      <c r="BH82" s="25"/>
      <c r="BI82" s="25" t="s">
        <v>719</v>
      </c>
      <c r="BJ82" s="25"/>
      <c r="BK82" s="25"/>
      <c r="BL82" s="25"/>
      <c r="BM82" s="25"/>
      <c r="BN82" s="30"/>
      <c r="BO82" s="25">
        <f t="shared" si="5"/>
        <v>1</v>
      </c>
    </row>
    <row r="83" customHeight="1" spans="1:67">
      <c r="A83" s="27"/>
      <c r="B83" s="17"/>
      <c r="C83" s="18">
        <v>11</v>
      </c>
      <c r="D83" s="19"/>
      <c r="E83" s="19"/>
      <c r="F83" s="19">
        <v>1</v>
      </c>
      <c r="G83" s="19"/>
      <c r="H83" s="19"/>
      <c r="I83" s="19">
        <v>1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20"/>
      <c r="AK83" s="19"/>
      <c r="AL83" s="19"/>
      <c r="AM83" s="19"/>
      <c r="AN83" s="20"/>
      <c r="AO83" s="19">
        <v>2</v>
      </c>
      <c r="AP83" s="19"/>
      <c r="AQ83" s="19">
        <v>1</v>
      </c>
      <c r="AR83" s="19"/>
      <c r="AS83" s="19">
        <v>1</v>
      </c>
      <c r="AT83" s="19"/>
      <c r="AU83" s="19">
        <v>1</v>
      </c>
      <c r="AV83" s="19"/>
      <c r="AW83" s="19"/>
      <c r="AX83" s="19"/>
      <c r="AY83" s="19"/>
      <c r="AZ83" s="19"/>
      <c r="BA83" s="19"/>
      <c r="BB83" s="19"/>
      <c r="BC83" s="21" cm="1">
        <f t="array" ref="BC83">SUMPRODUCT(--(D83:BB83=INT(D83:BB83)),--(D83:BB83&gt;0))</f>
        <v>6</v>
      </c>
      <c r="BD83" s="21">
        <f t="shared" si="4"/>
        <v>7</v>
      </c>
      <c r="BF83" s="25"/>
      <c r="BG83" s="25"/>
      <c r="BH83" s="25"/>
      <c r="BI83" s="25"/>
      <c r="BJ83" s="25"/>
      <c r="BK83" s="25"/>
      <c r="BL83" s="25"/>
      <c r="BM83" s="25"/>
      <c r="BN83" s="30"/>
      <c r="BO83" s="25">
        <f t="shared" si="5"/>
        <v>0</v>
      </c>
    </row>
    <row r="84" customHeight="1" spans="1:67">
      <c r="A84" s="27"/>
      <c r="B84" s="17"/>
      <c r="C84" s="18">
        <v>12</v>
      </c>
      <c r="D84" s="19"/>
      <c r="E84" s="19"/>
      <c r="F84" s="19">
        <v>1</v>
      </c>
      <c r="G84" s="19"/>
      <c r="H84" s="19"/>
      <c r="I84" s="19">
        <v>1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20"/>
      <c r="AK84" s="19"/>
      <c r="AL84" s="19"/>
      <c r="AM84" s="19"/>
      <c r="AN84" s="20"/>
      <c r="AO84" s="19"/>
      <c r="AP84" s="19"/>
      <c r="AQ84" s="19">
        <v>1</v>
      </c>
      <c r="AR84" s="19"/>
      <c r="AS84" s="19"/>
      <c r="AT84" s="19"/>
      <c r="AU84" s="19">
        <v>2</v>
      </c>
      <c r="AV84" s="19"/>
      <c r="AW84" s="19"/>
      <c r="AX84" s="19"/>
      <c r="AY84" s="19"/>
      <c r="AZ84" s="19"/>
      <c r="BA84" s="19"/>
      <c r="BB84" s="19"/>
      <c r="BC84" s="21" cm="1">
        <f t="array" ref="BC84">SUMPRODUCT(--(D84:BB84=INT(D84:BB84)),--(D84:BB84&gt;0))</f>
        <v>4</v>
      </c>
      <c r="BD84" s="21">
        <f t="shared" si="4"/>
        <v>5</v>
      </c>
      <c r="BF84" s="25"/>
      <c r="BG84" s="25"/>
      <c r="BH84" s="25"/>
      <c r="BI84" s="25"/>
      <c r="BJ84" s="25"/>
      <c r="BK84" s="25"/>
      <c r="BL84" s="25"/>
      <c r="BM84" s="25"/>
      <c r="BN84" s="30"/>
      <c r="BO84" s="25">
        <f t="shared" si="5"/>
        <v>0</v>
      </c>
    </row>
    <row r="85" customHeight="1" spans="1:67">
      <c r="A85" s="27"/>
      <c r="B85" s="17"/>
      <c r="C85" s="18">
        <v>13</v>
      </c>
      <c r="D85" s="19"/>
      <c r="E85" s="19"/>
      <c r="F85" s="19">
        <v>1</v>
      </c>
      <c r="G85" s="19"/>
      <c r="H85" s="19">
        <v>1</v>
      </c>
      <c r="I85" s="19">
        <v>1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>
        <v>1</v>
      </c>
      <c r="X85" s="19"/>
      <c r="Y85" s="19"/>
      <c r="Z85" s="19"/>
      <c r="AA85" s="19"/>
      <c r="AB85" s="19"/>
      <c r="AC85" s="19">
        <v>1</v>
      </c>
      <c r="AD85" s="19"/>
      <c r="AE85" s="19">
        <v>1</v>
      </c>
      <c r="AF85" s="19">
        <v>1</v>
      </c>
      <c r="AG85" s="19">
        <v>2</v>
      </c>
      <c r="AH85" s="19"/>
      <c r="AI85" s="19"/>
      <c r="AJ85" s="20"/>
      <c r="AK85" s="19"/>
      <c r="AL85" s="19">
        <v>1</v>
      </c>
      <c r="AM85" s="19">
        <v>1</v>
      </c>
      <c r="AN85" s="20"/>
      <c r="AO85" s="19"/>
      <c r="AP85" s="19"/>
      <c r="AQ85" s="19">
        <v>1</v>
      </c>
      <c r="AR85" s="19"/>
      <c r="AS85" s="19"/>
      <c r="AT85" s="19"/>
      <c r="AU85" s="19">
        <v>1</v>
      </c>
      <c r="AV85" s="19"/>
      <c r="AW85" s="19"/>
      <c r="AX85" s="19"/>
      <c r="AY85" s="19">
        <v>1</v>
      </c>
      <c r="AZ85" s="19"/>
      <c r="BA85" s="19"/>
      <c r="BB85" s="19"/>
      <c r="BC85" s="21" cm="1">
        <f t="array" ref="BC85">SUMPRODUCT(--(D85:BB85=INT(D85:BB85)),--(D85:BB85&gt;0))</f>
        <v>13</v>
      </c>
      <c r="BD85" s="21">
        <f t="shared" si="4"/>
        <v>14</v>
      </c>
      <c r="BF85" s="25"/>
      <c r="BG85" s="25"/>
      <c r="BH85" s="25"/>
      <c r="BI85" s="25"/>
      <c r="BJ85" s="25"/>
      <c r="BK85" s="25"/>
      <c r="BL85" s="25"/>
      <c r="BM85" s="25"/>
      <c r="BN85" s="30"/>
      <c r="BO85" s="25">
        <f t="shared" si="5"/>
        <v>0</v>
      </c>
    </row>
    <row r="86" customHeight="1" spans="1:67">
      <c r="A86" s="27"/>
      <c r="B86" s="17"/>
      <c r="C86" s="18">
        <v>14</v>
      </c>
      <c r="D86" s="19">
        <v>1</v>
      </c>
      <c r="E86" s="19">
        <v>1</v>
      </c>
      <c r="F86" s="19"/>
      <c r="G86" s="19"/>
      <c r="H86" s="19"/>
      <c r="I86" s="19"/>
      <c r="J86" s="19"/>
      <c r="K86" s="19"/>
      <c r="L86" s="19">
        <v>1</v>
      </c>
      <c r="M86" s="19"/>
      <c r="N86" s="19">
        <v>1</v>
      </c>
      <c r="O86" s="19"/>
      <c r="P86" s="19">
        <v>1</v>
      </c>
      <c r="Q86" s="19"/>
      <c r="R86" s="19"/>
      <c r="S86" s="19"/>
      <c r="T86" s="19">
        <v>1</v>
      </c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>
        <v>1</v>
      </c>
      <c r="AF86" s="19"/>
      <c r="AG86" s="19">
        <v>1</v>
      </c>
      <c r="AH86" s="19">
        <v>1</v>
      </c>
      <c r="AI86" s="19"/>
      <c r="AJ86" s="20"/>
      <c r="AK86" s="19"/>
      <c r="AL86" s="19">
        <v>1</v>
      </c>
      <c r="AM86" s="19">
        <v>1</v>
      </c>
      <c r="AN86" s="20"/>
      <c r="AO86" s="19"/>
      <c r="AP86" s="19"/>
      <c r="AQ86" s="19">
        <v>1</v>
      </c>
      <c r="AR86" s="19"/>
      <c r="AS86" s="19">
        <v>1</v>
      </c>
      <c r="AT86" s="19"/>
      <c r="AU86" s="19">
        <v>1</v>
      </c>
      <c r="AV86" s="19"/>
      <c r="AW86" s="19">
        <v>1</v>
      </c>
      <c r="AX86" s="19"/>
      <c r="AY86" s="19"/>
      <c r="AZ86" s="19"/>
      <c r="BA86" s="19"/>
      <c r="BB86" s="19"/>
      <c r="BC86" s="21" cm="1">
        <f t="array" ref="BC86">SUMPRODUCT(--(D86:BB86=INT(D86:BB86)),--(D86:BB86&gt;0))</f>
        <v>15</v>
      </c>
      <c r="BD86" s="21">
        <f t="shared" si="4"/>
        <v>15</v>
      </c>
      <c r="BF86" s="25"/>
      <c r="BG86" s="25"/>
      <c r="BH86" s="25"/>
      <c r="BI86" s="25"/>
      <c r="BJ86" s="25"/>
      <c r="BK86" s="25"/>
      <c r="BL86" s="25"/>
      <c r="BM86" s="25"/>
      <c r="BN86" s="30"/>
      <c r="BO86" s="25">
        <f t="shared" si="5"/>
        <v>0</v>
      </c>
    </row>
    <row r="87" customHeight="1" spans="1:67">
      <c r="A87" s="27"/>
      <c r="B87" s="17"/>
      <c r="C87" s="18">
        <v>18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>
        <v>2</v>
      </c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20"/>
      <c r="AK87" s="19"/>
      <c r="AL87" s="19"/>
      <c r="AM87" s="19"/>
      <c r="AN87" s="20"/>
      <c r="AO87" s="19"/>
      <c r="AP87" s="19"/>
      <c r="AQ87" s="19"/>
      <c r="AR87" s="19"/>
      <c r="AS87" s="19"/>
      <c r="AT87" s="19"/>
      <c r="AU87" s="19">
        <v>1</v>
      </c>
      <c r="AV87" s="19"/>
      <c r="AW87" s="19"/>
      <c r="AX87" s="19"/>
      <c r="AY87" s="19"/>
      <c r="AZ87" s="19"/>
      <c r="BA87" s="19"/>
      <c r="BB87" s="19"/>
      <c r="BC87" s="21" cm="1">
        <f t="array" ref="BC87">SUMPRODUCT(--(D87:BB87=INT(D87:BB87)),--(D87:BB87&gt;0))</f>
        <v>2</v>
      </c>
      <c r="BD87" s="21">
        <f t="shared" si="4"/>
        <v>3</v>
      </c>
      <c r="BF87" s="25"/>
      <c r="BG87" s="25"/>
      <c r="BH87" s="25"/>
      <c r="BI87" s="25" t="s">
        <v>723</v>
      </c>
      <c r="BJ87" s="25"/>
      <c r="BK87" s="25"/>
      <c r="BL87" s="25"/>
      <c r="BM87" s="25"/>
      <c r="BN87" s="30"/>
      <c r="BO87" s="25">
        <f t="shared" si="5"/>
        <v>1</v>
      </c>
    </row>
    <row r="88" customHeight="1" spans="1:67">
      <c r="A88" s="27"/>
      <c r="B88" s="17"/>
      <c r="C88" s="18">
        <v>19</v>
      </c>
      <c r="D88" s="19"/>
      <c r="E88" s="19">
        <v>1</v>
      </c>
      <c r="F88" s="19"/>
      <c r="G88" s="19"/>
      <c r="H88" s="19"/>
      <c r="I88" s="19">
        <v>1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>
        <v>1</v>
      </c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20"/>
      <c r="AK88" s="19"/>
      <c r="AL88" s="19"/>
      <c r="AM88" s="19"/>
      <c r="AN88" s="20"/>
      <c r="AO88" s="19"/>
      <c r="AP88" s="19">
        <v>1</v>
      </c>
      <c r="AQ88" s="19">
        <v>1</v>
      </c>
      <c r="AR88" s="19"/>
      <c r="AS88" s="19"/>
      <c r="AT88" s="19"/>
      <c r="AU88" s="19">
        <v>1</v>
      </c>
      <c r="AV88" s="19"/>
      <c r="AW88" s="19"/>
      <c r="AX88" s="19"/>
      <c r="AY88" s="19"/>
      <c r="AZ88" s="19"/>
      <c r="BA88" s="19"/>
      <c r="BB88" s="19"/>
      <c r="BC88" s="21" cm="1">
        <f t="array" ref="BC88">SUMPRODUCT(--(D88:BB88=INT(D88:BB88)),--(D88:BB88&gt;0))</f>
        <v>6</v>
      </c>
      <c r="BD88" s="21">
        <f t="shared" si="4"/>
        <v>6</v>
      </c>
      <c r="BF88" s="25"/>
      <c r="BG88" s="25"/>
      <c r="BH88" s="25"/>
      <c r="BI88" s="25" t="s">
        <v>723</v>
      </c>
      <c r="BJ88" s="25"/>
      <c r="BK88" s="25"/>
      <c r="BL88" s="25"/>
      <c r="BM88" s="25"/>
      <c r="BN88" s="30"/>
      <c r="BO88" s="25">
        <f t="shared" si="5"/>
        <v>1</v>
      </c>
    </row>
    <row r="89" customHeight="1" spans="1:67">
      <c r="A89" s="27"/>
      <c r="B89" s="17"/>
      <c r="C89" s="18">
        <v>20</v>
      </c>
      <c r="D89" s="19"/>
      <c r="E89" s="19"/>
      <c r="F89" s="19">
        <v>1</v>
      </c>
      <c r="G89" s="19"/>
      <c r="H89" s="19"/>
      <c r="I89" s="19"/>
      <c r="J89" s="19"/>
      <c r="K89" s="19"/>
      <c r="L89" s="19"/>
      <c r="M89" s="19"/>
      <c r="N89" s="19">
        <v>1</v>
      </c>
      <c r="O89" s="19"/>
      <c r="P89" s="19">
        <v>2</v>
      </c>
      <c r="Q89" s="19"/>
      <c r="R89" s="19"/>
      <c r="S89" s="19"/>
      <c r="T89" s="19"/>
      <c r="U89" s="19"/>
      <c r="V89" s="19"/>
      <c r="W89" s="19">
        <v>1</v>
      </c>
      <c r="X89" s="19"/>
      <c r="Y89" s="19"/>
      <c r="Z89" s="19"/>
      <c r="AA89" s="19"/>
      <c r="AB89" s="19"/>
      <c r="AC89" s="19"/>
      <c r="AD89" s="19"/>
      <c r="AE89" s="19"/>
      <c r="AF89" s="19"/>
      <c r="AG89" s="19">
        <v>1</v>
      </c>
      <c r="AH89" s="19">
        <v>1</v>
      </c>
      <c r="AI89" s="19"/>
      <c r="AJ89" s="20"/>
      <c r="AK89" s="19"/>
      <c r="AL89" s="19"/>
      <c r="AM89" s="19">
        <v>1</v>
      </c>
      <c r="AN89" s="20"/>
      <c r="AO89" s="19"/>
      <c r="AP89" s="19">
        <v>1</v>
      </c>
      <c r="AQ89" s="19"/>
      <c r="AR89" s="19"/>
      <c r="AS89" s="19"/>
      <c r="AT89" s="19"/>
      <c r="AU89" s="19">
        <v>1</v>
      </c>
      <c r="AV89" s="19"/>
      <c r="AW89" s="19"/>
      <c r="AX89" s="19"/>
      <c r="AY89" s="19"/>
      <c r="AZ89" s="19"/>
      <c r="BA89" s="19"/>
      <c r="BB89" s="19"/>
      <c r="BC89" s="21" cm="1">
        <f t="array" ref="BC89">SUMPRODUCT(--(D89:BB89=INT(D89:BB89)),--(D89:BB89&gt;0))</f>
        <v>9</v>
      </c>
      <c r="BD89" s="21">
        <f t="shared" si="4"/>
        <v>10</v>
      </c>
      <c r="BF89" s="25"/>
      <c r="BG89" s="25"/>
      <c r="BH89" s="25" t="s">
        <v>720</v>
      </c>
      <c r="BI89" s="25"/>
      <c r="BJ89" s="25"/>
      <c r="BK89" s="25"/>
      <c r="BL89" s="25"/>
      <c r="BM89" s="25"/>
      <c r="BN89" s="30"/>
      <c r="BO89" s="25">
        <f t="shared" si="5"/>
        <v>1</v>
      </c>
    </row>
    <row r="90" customHeight="1" spans="1:67">
      <c r="A90" s="27"/>
      <c r="B90" s="17"/>
      <c r="C90" s="18">
        <v>21</v>
      </c>
      <c r="D90" s="19"/>
      <c r="E90" s="19"/>
      <c r="F90" s="19"/>
      <c r="G90" s="19"/>
      <c r="H90" s="19"/>
      <c r="I90" s="19">
        <v>1</v>
      </c>
      <c r="J90" s="19"/>
      <c r="K90" s="19"/>
      <c r="L90" s="19"/>
      <c r="M90" s="19"/>
      <c r="N90" s="19">
        <v>1</v>
      </c>
      <c r="O90" s="19">
        <v>1</v>
      </c>
      <c r="P90" s="19">
        <v>1</v>
      </c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20"/>
      <c r="AK90" s="19"/>
      <c r="AL90" s="19"/>
      <c r="AM90" s="19"/>
      <c r="AN90" s="20"/>
      <c r="AO90" s="19"/>
      <c r="AP90" s="19">
        <v>1</v>
      </c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21" cm="1">
        <f t="array" ref="BC90">SUMPRODUCT(--(D90:BB90=INT(D90:BB90)),--(D90:BB90&gt;0))</f>
        <v>5</v>
      </c>
      <c r="BD90" s="21">
        <f t="shared" si="4"/>
        <v>5</v>
      </c>
      <c r="BF90" s="25"/>
      <c r="BG90" s="25"/>
      <c r="BH90" s="25"/>
      <c r="BI90" s="25" t="s">
        <v>720</v>
      </c>
      <c r="BJ90" s="25"/>
      <c r="BK90" s="25"/>
      <c r="BL90" s="25"/>
      <c r="BM90" s="25"/>
      <c r="BN90" s="30"/>
      <c r="BO90" s="25">
        <f t="shared" si="5"/>
        <v>1</v>
      </c>
    </row>
    <row r="91" customHeight="1" spans="1:67">
      <c r="A91" s="27"/>
      <c r="B91" s="17"/>
      <c r="C91" s="18">
        <v>22</v>
      </c>
      <c r="D91" s="19"/>
      <c r="E91" s="19">
        <v>1</v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20"/>
      <c r="AK91" s="19"/>
      <c r="AL91" s="19"/>
      <c r="AM91" s="19">
        <v>1</v>
      </c>
      <c r="AN91" s="20"/>
      <c r="AO91" s="19"/>
      <c r="AP91" s="19"/>
      <c r="AQ91" s="19">
        <v>1</v>
      </c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21" cm="1">
        <f t="array" ref="BC91">SUMPRODUCT(--(D91:BB91=INT(D91:BB91)),--(D91:BB91&gt;0))</f>
        <v>3</v>
      </c>
      <c r="BD91" s="21">
        <f t="shared" si="4"/>
        <v>3</v>
      </c>
      <c r="BF91" s="25"/>
      <c r="BG91" s="25"/>
      <c r="BH91" s="25"/>
      <c r="BI91" s="25"/>
      <c r="BJ91" s="25"/>
      <c r="BK91" s="25"/>
      <c r="BL91" s="25"/>
      <c r="BM91" s="25"/>
      <c r="BN91" s="30"/>
      <c r="BO91" s="25">
        <f t="shared" si="5"/>
        <v>0</v>
      </c>
    </row>
    <row r="92" customHeight="1" spans="1:67">
      <c r="A92" s="27"/>
      <c r="B92" s="17"/>
      <c r="C92" s="18">
        <v>25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20"/>
      <c r="AK92" s="19"/>
      <c r="AL92" s="19"/>
      <c r="AM92" s="19"/>
      <c r="AN92" s="20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21" cm="1">
        <f t="array" ref="BC92">SUMPRODUCT(--(D92:BB92=INT(D92:BB92)),--(D92:BB92&gt;0))</f>
        <v>0</v>
      </c>
      <c r="BD92" s="21">
        <f t="shared" si="4"/>
        <v>0</v>
      </c>
      <c r="BF92" s="25"/>
      <c r="BG92" s="25"/>
      <c r="BH92" s="25"/>
      <c r="BI92" s="25"/>
      <c r="BJ92" s="25"/>
      <c r="BK92" s="25"/>
      <c r="BL92" s="25"/>
      <c r="BM92" s="25"/>
      <c r="BN92" s="30"/>
      <c r="BO92" s="25">
        <f t="shared" si="5"/>
        <v>0</v>
      </c>
    </row>
    <row r="93" customHeight="1" spans="1:67">
      <c r="A93" s="27"/>
      <c r="B93" s="17"/>
      <c r="C93" s="18">
        <v>26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20"/>
      <c r="AK93" s="19"/>
      <c r="AL93" s="19"/>
      <c r="AM93" s="19"/>
      <c r="AN93" s="20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21" cm="1">
        <f t="array" ref="BC93">SUMPRODUCT(--(D93:BB93=INT(D93:BB93)),--(D93:BB93&gt;0))</f>
        <v>0</v>
      </c>
      <c r="BD93" s="21">
        <f t="shared" si="4"/>
        <v>0</v>
      </c>
      <c r="BF93" s="25"/>
      <c r="BG93" s="25"/>
      <c r="BH93" s="25"/>
      <c r="BI93" s="25"/>
      <c r="BJ93" s="25"/>
      <c r="BK93" s="25"/>
      <c r="BL93" s="25"/>
      <c r="BM93" s="25"/>
      <c r="BN93" s="30"/>
      <c r="BO93" s="25">
        <f t="shared" si="5"/>
        <v>0</v>
      </c>
    </row>
    <row r="94" customHeight="1" spans="1:67">
      <c r="A94" s="27"/>
      <c r="B94" s="17"/>
      <c r="C94" s="18">
        <v>27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20"/>
      <c r="AK94" s="19"/>
      <c r="AL94" s="19"/>
      <c r="AM94" s="19"/>
      <c r="AN94" s="20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21" cm="1">
        <f t="array" ref="BC94">SUMPRODUCT(--(D94:BB94=INT(D94:BB94)),--(D94:BB94&gt;0))</f>
        <v>0</v>
      </c>
      <c r="BD94" s="21">
        <f t="shared" si="4"/>
        <v>0</v>
      </c>
      <c r="BF94" s="25"/>
      <c r="BG94" s="25"/>
      <c r="BH94" s="25"/>
      <c r="BI94" s="25"/>
      <c r="BJ94" s="25"/>
      <c r="BK94" s="25"/>
      <c r="BL94" s="25"/>
      <c r="BM94" s="25"/>
      <c r="BN94" s="30"/>
      <c r="BO94" s="25">
        <f t="shared" si="5"/>
        <v>0</v>
      </c>
    </row>
    <row r="95" customHeight="1" spans="1:67">
      <c r="A95" s="27"/>
      <c r="B95" s="17"/>
      <c r="C95" s="18">
        <v>28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20"/>
      <c r="AK95" s="19"/>
      <c r="AL95" s="19"/>
      <c r="AM95" s="19"/>
      <c r="AN95" s="20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21" cm="1">
        <f t="array" ref="BC95">SUMPRODUCT(--(D95:BB95=INT(D95:BB95)),--(D95:BB95&gt;0))</f>
        <v>0</v>
      </c>
      <c r="BD95" s="21">
        <f t="shared" si="4"/>
        <v>0</v>
      </c>
      <c r="BF95" s="25"/>
      <c r="BG95" s="25"/>
      <c r="BH95" s="25"/>
      <c r="BI95" s="25"/>
      <c r="BJ95" s="25"/>
      <c r="BK95" s="25"/>
      <c r="BL95" s="25"/>
      <c r="BM95" s="25"/>
      <c r="BN95" s="30"/>
      <c r="BO95" s="25">
        <f t="shared" si="5"/>
        <v>0</v>
      </c>
    </row>
    <row r="96" customHeight="1" spans="1:67">
      <c r="A96" s="31"/>
      <c r="B96" s="17"/>
      <c r="C96" s="18">
        <v>29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20"/>
      <c r="AK96" s="19"/>
      <c r="AL96" s="19"/>
      <c r="AM96" s="19"/>
      <c r="AN96" s="20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21" cm="1">
        <f t="array" ref="BC96">SUMPRODUCT(--(D96:BB96=INT(D96:BB96)),--(D96:BB96&gt;0))</f>
        <v>0</v>
      </c>
      <c r="BD96" s="21">
        <f t="shared" si="4"/>
        <v>0</v>
      </c>
      <c r="BF96" s="32"/>
      <c r="BG96" s="32"/>
      <c r="BH96" s="32"/>
      <c r="BI96" s="32"/>
      <c r="BJ96" s="32"/>
      <c r="BK96" s="32"/>
      <c r="BL96" s="32"/>
      <c r="BM96" s="32"/>
      <c r="BN96" s="33"/>
      <c r="BO96" s="25">
        <f t="shared" si="5"/>
        <v>0</v>
      </c>
    </row>
    <row r="97" customHeight="1" spans="1:67">
      <c r="A97" s="34" t="s">
        <v>724</v>
      </c>
      <c r="B97" s="35"/>
      <c r="C97" s="36"/>
      <c r="D97" s="37">
        <f>SUM(D2:D96)</f>
        <v>5</v>
      </c>
      <c r="E97" s="37">
        <f t="shared" ref="D97:BB97" si="6">SUM(E2:E96)</f>
        <v>41</v>
      </c>
      <c r="F97" s="37">
        <f t="shared" si="6"/>
        <v>15</v>
      </c>
      <c r="G97" s="37">
        <f t="shared" si="6"/>
        <v>9</v>
      </c>
      <c r="H97" s="37">
        <f t="shared" si="6"/>
        <v>14</v>
      </c>
      <c r="I97" s="37">
        <f t="shared" si="6"/>
        <v>46</v>
      </c>
      <c r="J97" s="37">
        <f t="shared" si="6"/>
        <v>39</v>
      </c>
      <c r="K97" s="37">
        <f t="shared" si="6"/>
        <v>4</v>
      </c>
      <c r="L97" s="37">
        <f t="shared" si="6"/>
        <v>25</v>
      </c>
      <c r="M97" s="37">
        <f t="shared" si="6"/>
        <v>4</v>
      </c>
      <c r="N97" s="37">
        <f t="shared" si="6"/>
        <v>25</v>
      </c>
      <c r="O97" s="37">
        <f t="shared" si="6"/>
        <v>8</v>
      </c>
      <c r="P97" s="37">
        <f t="shared" si="6"/>
        <v>41</v>
      </c>
      <c r="Q97" s="37">
        <f t="shared" si="6"/>
        <v>5</v>
      </c>
      <c r="R97" s="37">
        <f t="shared" si="6"/>
        <v>7</v>
      </c>
      <c r="S97" s="37">
        <f t="shared" si="6"/>
        <v>1</v>
      </c>
      <c r="T97" s="37">
        <f t="shared" si="6"/>
        <v>15</v>
      </c>
      <c r="U97" s="37">
        <f t="shared" si="6"/>
        <v>2</v>
      </c>
      <c r="V97" s="37">
        <f t="shared" si="6"/>
        <v>6</v>
      </c>
      <c r="W97" s="37">
        <f t="shared" si="6"/>
        <v>37</v>
      </c>
      <c r="X97" s="37">
        <f t="shared" si="6"/>
        <v>1</v>
      </c>
      <c r="Y97" s="37">
        <f t="shared" si="6"/>
        <v>26</v>
      </c>
      <c r="Z97" s="37">
        <f t="shared" si="6"/>
        <v>1</v>
      </c>
      <c r="AA97" s="37">
        <f t="shared" si="6"/>
        <v>0</v>
      </c>
      <c r="AB97" s="37">
        <f t="shared" si="6"/>
        <v>1</v>
      </c>
      <c r="AC97" s="37">
        <f t="shared" si="6"/>
        <v>30</v>
      </c>
      <c r="AD97" s="37">
        <f t="shared" si="6"/>
        <v>17</v>
      </c>
      <c r="AE97" s="37">
        <f t="shared" si="6"/>
        <v>16</v>
      </c>
      <c r="AF97" s="37">
        <f t="shared" si="6"/>
        <v>24</v>
      </c>
      <c r="AG97" s="37">
        <f t="shared" si="6"/>
        <v>32</v>
      </c>
      <c r="AH97" s="37">
        <f t="shared" si="6"/>
        <v>13</v>
      </c>
      <c r="AI97" s="37">
        <f t="shared" si="6"/>
        <v>0</v>
      </c>
      <c r="AJ97" s="37">
        <f t="shared" si="6"/>
        <v>0</v>
      </c>
      <c r="AK97" s="37">
        <f t="shared" si="6"/>
        <v>2</v>
      </c>
      <c r="AL97" s="37">
        <f t="shared" si="6"/>
        <v>20</v>
      </c>
      <c r="AM97" s="37">
        <f t="shared" si="6"/>
        <v>17</v>
      </c>
      <c r="AN97" s="37">
        <f t="shared" si="6"/>
        <v>0</v>
      </c>
      <c r="AO97" s="37">
        <f t="shared" si="6"/>
        <v>60</v>
      </c>
      <c r="AP97" s="37">
        <f t="shared" si="6"/>
        <v>48</v>
      </c>
      <c r="AQ97" s="37">
        <f t="shared" si="6"/>
        <v>54</v>
      </c>
      <c r="AR97" s="37">
        <f t="shared" si="6"/>
        <v>1</v>
      </c>
      <c r="AS97" s="37">
        <f t="shared" si="6"/>
        <v>46</v>
      </c>
      <c r="AT97" s="37">
        <f t="shared" si="6"/>
        <v>0</v>
      </c>
      <c r="AU97" s="37">
        <f t="shared" si="6"/>
        <v>81</v>
      </c>
      <c r="AV97" s="37">
        <f t="shared" si="6"/>
        <v>0</v>
      </c>
      <c r="AW97" s="37">
        <f t="shared" si="6"/>
        <v>31</v>
      </c>
      <c r="AX97" s="37">
        <f t="shared" si="6"/>
        <v>10</v>
      </c>
      <c r="AY97" s="37">
        <f t="shared" si="6"/>
        <v>7</v>
      </c>
      <c r="AZ97" s="37">
        <f t="shared" si="6"/>
        <v>1</v>
      </c>
      <c r="BA97" s="37">
        <f t="shared" si="6"/>
        <v>0</v>
      </c>
      <c r="BB97" s="37">
        <f t="shared" si="6"/>
        <v>2</v>
      </c>
      <c r="BC97" s="38" t="s">
        <v>725</v>
      </c>
      <c r="BD97" s="39"/>
      <c r="BE97" s="40"/>
      <c r="BF97" s="25">
        <f>COUNTA(BF24:BF96)</f>
        <v>1</v>
      </c>
      <c r="BG97" s="25">
        <f t="shared" ref="BG97:BN97" si="7">COUNTA(BG24:BG96)</f>
        <v>2</v>
      </c>
      <c r="BH97" s="25">
        <f t="shared" si="7"/>
        <v>9</v>
      </c>
      <c r="BI97" s="25">
        <f t="shared" si="7"/>
        <v>9</v>
      </c>
      <c r="BJ97" s="25">
        <f t="shared" si="7"/>
        <v>2</v>
      </c>
      <c r="BK97" s="25">
        <f t="shared" si="7"/>
        <v>5</v>
      </c>
      <c r="BL97" s="25">
        <f t="shared" si="7"/>
        <v>8</v>
      </c>
      <c r="BM97" s="25">
        <f t="shared" si="7"/>
        <v>2</v>
      </c>
      <c r="BN97" s="30">
        <f t="shared" si="7"/>
        <v>0</v>
      </c>
      <c r="BO97" s="41">
        <f>SUM(BF97:BN97)</f>
        <v>38</v>
      </c>
    </row>
    <row r="98" customHeight="1" spans="1:67">
      <c r="A98" s="34" t="s">
        <v>726</v>
      </c>
      <c r="B98" s="35"/>
      <c r="C98" s="36"/>
      <c r="D98" s="37" cm="1">
        <f t="array" ref="D98">SUMPRODUCT(--(D2:D96=INT(D2:D96)),--(D2:D96&gt;0))</f>
        <v>4</v>
      </c>
      <c r="E98" s="37" cm="1">
        <f t="array" ref="E98">SUMPRODUCT(--(E2:E96=INT(E2:E96)),--(E2:E96&gt;0))</f>
        <v>38</v>
      </c>
      <c r="F98" s="37" cm="1">
        <f t="array" ref="F98">SUMPRODUCT(--(F2:F96=INT(F2:F96)),--(F2:F96&gt;0))</f>
        <v>15</v>
      </c>
      <c r="G98" s="37" cm="1">
        <f t="array" ref="G98">SUMPRODUCT(--(G2:G96=INT(G2:G96)),--(G2:G96&gt;0))</f>
        <v>9</v>
      </c>
      <c r="H98" s="37" cm="1">
        <f t="array" ref="H98">SUMPRODUCT(--(H2:H96=INT(H2:H96)),--(H2:H96&gt;0))</f>
        <v>13</v>
      </c>
      <c r="I98" s="37" cm="1">
        <f t="array" ref="I98">SUMPRODUCT(--(I2:I96=INT(I2:I96)),--(I2:I96&gt;0))</f>
        <v>45</v>
      </c>
      <c r="J98" s="37" cm="1">
        <f t="array" ref="J98">SUMPRODUCT(--(J2:J96=INT(J2:J96)),--(J2:J96&gt;0))</f>
        <v>36</v>
      </c>
      <c r="K98" s="37" cm="1">
        <f t="array" ref="K98">SUMPRODUCT(--(K2:K96=INT(K2:K96)),--(K2:K96&gt;0))</f>
        <v>4</v>
      </c>
      <c r="L98" s="37" cm="1">
        <f t="array" ref="L98">SUMPRODUCT(--(L2:L96=INT(L2:L96)),--(L2:L96&gt;0))</f>
        <v>20</v>
      </c>
      <c r="M98" s="37" cm="1">
        <f t="array" ref="M98">SUMPRODUCT(--(M2:M96=INT(M2:M96)),--(M2:M96&gt;0))</f>
        <v>4</v>
      </c>
      <c r="N98" s="37" cm="1">
        <f t="array" ref="N98">SUMPRODUCT(--(N2:N96=INT(N2:N96)),--(N2:N96&gt;0))</f>
        <v>24</v>
      </c>
      <c r="O98" s="37" cm="1">
        <f t="array" ref="O98">SUMPRODUCT(--(O2:O96=INT(O2:O96)),--(O2:O96&gt;0))</f>
        <v>8</v>
      </c>
      <c r="P98" s="37" cm="1">
        <f t="array" ref="P98">SUMPRODUCT(--(P2:P96=INT(P2:P96)),--(P2:P96&gt;0))</f>
        <v>35</v>
      </c>
      <c r="Q98" s="37" cm="1">
        <f t="array" ref="Q98">SUMPRODUCT(--(Q2:Q96=INT(Q2:Q96)),--(Q2:Q96&gt;0))</f>
        <v>5</v>
      </c>
      <c r="R98" s="37" cm="1">
        <f t="array" ref="R98">SUMPRODUCT(--(R2:R96=INT(R2:R96)),--(R2:R96&gt;0))</f>
        <v>7</v>
      </c>
      <c r="S98" s="37" cm="1">
        <f t="array" ref="S98">SUMPRODUCT(--(S2:S96=INT(S2:S96)),--(S2:S96&gt;0))</f>
        <v>1</v>
      </c>
      <c r="T98" s="37" cm="1">
        <f t="array" ref="T98">SUMPRODUCT(--(T2:T96=INT(T2:T96)),--(T2:T96&gt;0))</f>
        <v>14</v>
      </c>
      <c r="U98" s="37" cm="1">
        <f t="array" ref="U98">SUMPRODUCT(--(U2:U96=INT(U2:U96)),--(U2:U96&gt;0))</f>
        <v>2</v>
      </c>
      <c r="V98" s="37" cm="1">
        <f t="array" ref="V98">SUMPRODUCT(--(V2:V96=INT(V2:V96)),--(V2:V96&gt;0))</f>
        <v>5</v>
      </c>
      <c r="W98" s="37" cm="1">
        <f t="array" ref="W98">SUMPRODUCT(--(W2:W96=INT(W2:W96)),--(W2:W96&gt;0))</f>
        <v>31</v>
      </c>
      <c r="X98" s="37" cm="1">
        <f t="array" ref="X98">SUMPRODUCT(--(X2:X96=INT(X2:X96)),--(X2:X96&gt;0))</f>
        <v>1</v>
      </c>
      <c r="Y98" s="37" cm="1">
        <f t="array" ref="Y98">SUMPRODUCT(--(Y2:Y96=INT(Y2:Y96)),--(Y2:Y96&gt;0))</f>
        <v>24</v>
      </c>
      <c r="Z98" s="37" cm="1">
        <f t="array" ref="Z98">SUMPRODUCT(--(Z2:Z96=INT(Z2:Z96)),--(Z2:Z96&gt;0))</f>
        <v>1</v>
      </c>
      <c r="AA98" s="37" cm="1">
        <f t="array" ref="AA98">SUMPRODUCT(--(AA2:AA96=INT(AA2:AA96)),--(AA2:AA96&gt;0))</f>
        <v>0</v>
      </c>
      <c r="AB98" s="37" cm="1">
        <f t="array" ref="AB98">SUMPRODUCT(--(AB2:AB96=INT(AB2:AB96)),--(AB2:AB96&gt;0))</f>
        <v>1</v>
      </c>
      <c r="AC98" s="37" cm="1">
        <f t="array" ref="AC98">SUMPRODUCT(--(AC2:AC96=INT(AC2:AC96)),--(AC2:AC96&gt;0))</f>
        <v>25</v>
      </c>
      <c r="AD98" s="37" cm="1">
        <f t="array" ref="AD98">SUMPRODUCT(--(AD2:AD96=INT(AD2:AD96)),--(AD2:AD96&gt;0))</f>
        <v>17</v>
      </c>
      <c r="AE98" s="37" cm="1">
        <f t="array" ref="AE98">SUMPRODUCT(--(AE2:AE96=INT(AE2:AE96)),--(AE2:AE96&gt;0))</f>
        <v>15</v>
      </c>
      <c r="AF98" s="37" cm="1">
        <f t="array" ref="AF98">SUMPRODUCT(--(AF2:AF96=INT(AF2:AF96)),--(AF2:AF96&gt;0))</f>
        <v>22</v>
      </c>
      <c r="AG98" s="37" cm="1">
        <f t="array" ref="AG98">SUMPRODUCT(--(AG2:AG96=INT(AG2:AG96)),--(AG2:AG96&gt;0))</f>
        <v>28</v>
      </c>
      <c r="AH98" s="37" cm="1">
        <f t="array" ref="AH98">SUMPRODUCT(--(AH2:AH96=INT(AH2:AH96)),--(AH2:AH96&gt;0))</f>
        <v>13</v>
      </c>
      <c r="AI98" s="37" cm="1">
        <f t="array" ref="AI98">SUMPRODUCT(--(AI2:AI96=INT(AI2:AI96)),--(AI2:AI96&gt;0))</f>
        <v>0</v>
      </c>
      <c r="AJ98" s="37" cm="1">
        <f t="array" ref="AJ98">SUMPRODUCT(--(AJ2:AJ96=INT(AJ2:AJ96)),--(AJ2:AJ96&gt;0))</f>
        <v>0</v>
      </c>
      <c r="AK98" s="37" cm="1">
        <f t="array" ref="AK98">SUMPRODUCT(--(AK2:AK96=INT(AK2:AK96)),--(AK2:AK96&gt;0))</f>
        <v>2</v>
      </c>
      <c r="AL98" s="37" cm="1">
        <f t="array" ref="AL98">SUMPRODUCT(--(AL2:AL96=INT(AL2:AL96)),--(AL2:AL96&gt;0))</f>
        <v>19</v>
      </c>
      <c r="AM98" s="37" cm="1">
        <f t="array" ref="AM98">SUMPRODUCT(--(AM2:AM96=INT(AM2:AM96)),--(AM2:AM96&gt;0))</f>
        <v>15</v>
      </c>
      <c r="AN98" s="37" cm="1">
        <f t="array" ref="AN98">SUMPRODUCT(--(AN2:AN96=INT(AN2:AN96)),--(AN2:AN96&gt;0))</f>
        <v>0</v>
      </c>
      <c r="AO98" s="37" cm="1">
        <f t="array" ref="AO98">SUMPRODUCT(--(AO2:AO96=INT(AO2:AO96)),--(AO2:AO96&gt;0))</f>
        <v>49</v>
      </c>
      <c r="AP98" s="37" cm="1">
        <f t="array" ref="AP98">SUMPRODUCT(--(AP2:AP96=INT(AP2:AP96)),--(AP2:AP96&gt;0))</f>
        <v>38</v>
      </c>
      <c r="AQ98" s="37" cm="1">
        <f t="array" ref="AQ98">SUMPRODUCT(--(AQ2:AQ96=INT(AQ2:AQ96)),--(AQ2:AQ96&gt;0))</f>
        <v>42</v>
      </c>
      <c r="AR98" s="37" cm="1">
        <f t="array" ref="AR98">SUMPRODUCT(--(AR2:AR96=INT(AR2:AR96)),--(AR2:AR96&gt;0))</f>
        <v>1</v>
      </c>
      <c r="AS98" s="37" cm="1">
        <f t="array" ref="AS98">SUMPRODUCT(--(AS2:AS96=INT(AS2:AS96)),--(AS2:AS96&gt;0))</f>
        <v>39</v>
      </c>
      <c r="AT98" s="37" cm="1">
        <f t="array" ref="AT98">SUMPRODUCT(--(AT2:AT96=INT(AT2:AT96)),--(AT2:AT96&gt;0))</f>
        <v>0</v>
      </c>
      <c r="AU98" s="37" cm="1">
        <f t="array" ref="AU98">SUMPRODUCT(--(AU2:AU96=INT(AU2:AU96)),--(AU2:AU96&gt;0))</f>
        <v>62</v>
      </c>
      <c r="AV98" s="37" cm="1">
        <f t="array" ref="AV98">SUMPRODUCT(--(AV2:AV96=INT(AV2:AV96)),--(AV2:AV96&gt;0))</f>
        <v>0</v>
      </c>
      <c r="AW98" s="37" cm="1">
        <f t="array" ref="AW98">SUMPRODUCT(--(AW2:AW96=INT(AW2:AW96)),--(AW2:AW96&gt;0))</f>
        <v>27</v>
      </c>
      <c r="AX98" s="37" cm="1">
        <f t="array" ref="AX98">SUMPRODUCT(--(AX2:AX96=INT(AX2:AX96)),--(AX2:AX96&gt;0))</f>
        <v>10</v>
      </c>
      <c r="AY98" s="37" cm="1">
        <f t="array" ref="AY98">SUMPRODUCT(--(AY2:AY96=INT(AY2:AY96)),--(AY2:AY96&gt;0))</f>
        <v>7</v>
      </c>
      <c r="AZ98" s="37" cm="1">
        <f t="array" ref="AZ98">SUMPRODUCT(--(AZ2:AZ96=INT(AZ2:AZ96)),--(AZ2:AZ96&gt;0))</f>
        <v>1</v>
      </c>
      <c r="BA98" s="37" cm="1">
        <f t="array" ref="BA98">SUMPRODUCT(--(BA2:BA96=INT(BA2:BA96)),--(BA2:BA96&gt;0))</f>
        <v>0</v>
      </c>
      <c r="BB98" s="37" cm="1">
        <f t="array" ref="BB98">SUMPRODUCT(--(BB2:BB96=INT(BB2:BB96)),--(BB2:BB96&gt;0))</f>
        <v>2</v>
      </c>
      <c r="BC98" s="39"/>
      <c r="BD98" s="39"/>
      <c r="BF98" s="42" t="s">
        <v>727</v>
      </c>
      <c r="BG98" s="43"/>
      <c r="BH98" s="43"/>
      <c r="BI98" s="43"/>
      <c r="BJ98" s="43"/>
      <c r="BK98" s="43"/>
      <c r="BL98" s="43"/>
      <c r="BM98" s="43"/>
      <c r="BN98" s="43"/>
      <c r="BO98" s="44"/>
    </row>
    <row r="99" customHeight="1" spans="1:67">
      <c r="A99" s="34" t="s">
        <v>728</v>
      </c>
      <c r="B99" s="35"/>
      <c r="C99" s="36"/>
      <c r="D99" s="37" cm="1">
        <f t="array" ref="D99">MAX(FREQUENCY(IF((D2:D96=INT(D2:D96))*(D2:D96&gt;0),ROW(D2:D96)),IF((D2:D96&lt;&gt;INT(D2:D96))+(D2:D96&lt;=0),ROW(D2:D96))))</f>
        <v>1</v>
      </c>
      <c r="E99" s="37" cm="1">
        <f t="array" ref="E99">MAX(FREQUENCY(IF((E2:E96=INT(E2:E96))*(E2:E96&gt;0),ROW(E2:E96)),IF((E2:E96&lt;&gt;INT(E2:E96))+(E2:E96&lt;=0),ROW(E2:E96))))</f>
        <v>6</v>
      </c>
      <c r="F99" s="37" cm="1">
        <f t="array" ref="F99">MAX(FREQUENCY(IF((F2:F96=INT(F2:F96))*(F2:F96&gt;0),ROW(F2:F96)),IF((F2:F96&lt;&gt;INT(F2:F96))+(F2:F96&lt;=0),ROW(F2:F96))))</f>
        <v>3</v>
      </c>
      <c r="G99" s="37" cm="1">
        <f t="array" ref="G99">MAX(FREQUENCY(IF((G2:G96=INT(G2:G96))*(G2:G96&gt;0),ROW(G2:G96)),IF((G2:G96&lt;&gt;INT(G2:G96))+(G2:G96&lt;=0),ROW(G2:G96))))</f>
        <v>3</v>
      </c>
      <c r="H99" s="37" cm="1">
        <f t="array" ref="H99">MAX(FREQUENCY(IF((H2:H96=INT(H2:H96))*(H2:H96&gt;0),ROW(H2:H96)),IF((H2:H96&lt;&gt;INT(H2:H96))+(H2:H96&lt;=0),ROW(H2:H96))))</f>
        <v>4</v>
      </c>
      <c r="I99" s="37" cm="1">
        <f t="array" ref="I99">MAX(FREQUENCY(IF((I2:I96=INT(I2:I96))*(I2:I96&gt;0),ROW(I2:I96)),IF((I2:I96&lt;&gt;INT(I2:I96))+(I2:I96&lt;=0),ROW(I2:I96))))</f>
        <v>5</v>
      </c>
      <c r="J99" s="37" cm="1">
        <f t="array" ref="J99">MAX(FREQUENCY(IF((J2:J96=INT(J2:J96))*(J2:J96&gt;0),ROW(J2:J96)),IF((J2:J96&lt;&gt;INT(J2:J96))+(J2:J96&lt;=0),ROW(J2:J96))))</f>
        <v>6</v>
      </c>
      <c r="K99" s="37" cm="1">
        <f t="array" ref="K99">MAX(FREQUENCY(IF((K2:K96=INT(K2:K96))*(K2:K96&gt;0),ROW(K2:K96)),IF((K2:K96&lt;&gt;INT(K2:K96))+(K2:K96&lt;=0),ROW(K2:K96))))</f>
        <v>2</v>
      </c>
      <c r="L99" s="37" cm="1">
        <f t="array" ref="L99">MAX(FREQUENCY(IF((L2:L96=INT(L2:L96))*(L2:L96&gt;0),ROW(L2:L96)),IF((L2:L96&lt;&gt;INT(L2:L96))+(L2:L96&lt;=0),ROW(L2:L96))))</f>
        <v>2</v>
      </c>
      <c r="M99" s="37" cm="1">
        <f t="array" ref="M99">MAX(FREQUENCY(IF((M2:M96=INT(M2:M96))*(M2:M96&gt;0),ROW(M2:M96)),IF((M2:M96&lt;&gt;INT(M2:M96))+(M2:M96&lt;=0),ROW(M2:M96))))</f>
        <v>1</v>
      </c>
      <c r="N99" s="37" cm="1">
        <f t="array" ref="N99">MAX(FREQUENCY(IF((N2:N96=INT(N2:N96))*(N2:N96&gt;0),ROW(N2:N96)),IF((N2:N96&lt;&gt;INT(N2:N96))+(N2:N96&lt;=0),ROW(N2:N96))))</f>
        <v>4</v>
      </c>
      <c r="O99" s="37" cm="1">
        <f t="array" ref="O99">MAX(FREQUENCY(IF((O2:O96=INT(O2:O96))*(O2:O96&gt;0),ROW(O2:O96)),IF((O2:O96&lt;&gt;INT(O2:O96))+(O2:O96&lt;=0),ROW(O2:O96))))</f>
        <v>1</v>
      </c>
      <c r="P99" s="37" cm="1">
        <f t="array" ref="P99">MAX(FREQUENCY(IF((P2:P96=INT(P2:P96))*(P2:P96&gt;0),ROW(P2:P96)),IF((P2:P96&lt;&gt;INT(P2:P96))+(P2:P96&lt;=0),ROW(P2:P96))))</f>
        <v>4</v>
      </c>
      <c r="Q99" s="37" cm="1">
        <f t="array" ref="Q99">MAX(FREQUENCY(IF((Q2:Q96=INT(Q2:Q96))*(Q2:Q96&gt;0),ROW(Q2:Q96)),IF((Q2:Q96&lt;&gt;INT(Q2:Q96))+(Q2:Q96&lt;=0),ROW(Q2:Q96))))</f>
        <v>1</v>
      </c>
      <c r="R99" s="37" cm="1">
        <f t="array" ref="R99">MAX(FREQUENCY(IF((R2:R96=INT(R2:R96))*(R2:R96&gt;0),ROW(R2:R96)),IF((R2:R96&lt;&gt;INT(R2:R96))+(R2:R96&lt;=0),ROW(R2:R96))))</f>
        <v>1</v>
      </c>
      <c r="S99" s="37" cm="1">
        <f t="array" ref="S99">MAX(FREQUENCY(IF((S2:S96=INT(S2:S96))*(S2:S96&gt;0),ROW(S2:S96)),IF((S2:S96&lt;&gt;INT(S2:S96))+(S2:S96&lt;=0),ROW(S2:S96))))</f>
        <v>1</v>
      </c>
      <c r="T99" s="37" cm="1">
        <f t="array" ref="T99">MAX(FREQUENCY(IF((T2:T96=INT(T2:T96))*(T2:T96&gt;0),ROW(T2:T96)),IF((T2:T96&lt;&gt;INT(T2:T96))+(T2:T96&lt;=0),ROW(T2:T96))))</f>
        <v>2</v>
      </c>
      <c r="U99" s="37" cm="1">
        <f t="array" ref="U99">MAX(FREQUENCY(IF((U2:U96=INT(U2:U96))*(U2:U96&gt;0),ROW(U2:U96)),IF((U2:U96&lt;&gt;INT(U2:U96))+(U2:U96&lt;=0),ROW(U2:U96))))</f>
        <v>1</v>
      </c>
      <c r="V99" s="37" cm="1">
        <f t="array" ref="V99">MAX(FREQUENCY(IF((V2:V96=INT(V2:V96))*(V2:V96&gt;0),ROW(V2:V96)),IF((V2:V96&lt;&gt;INT(V2:V96))+(V2:V96&lt;=0),ROW(V2:V96))))</f>
        <v>1</v>
      </c>
      <c r="W99" s="37" cm="1">
        <f t="array" ref="W99">MAX(FREQUENCY(IF((W2:W96=INT(W2:W96))*(W2:W96&gt;0),ROW(W2:W96)),IF((W2:W96&lt;&gt;INT(W2:W96))+(W2:W96&lt;=0),ROW(W2:W96))))</f>
        <v>5</v>
      </c>
      <c r="X99" s="37" cm="1">
        <f t="array" ref="X99">MAX(FREQUENCY(IF((X2:X96=INT(X2:X96))*(X2:X96&gt;0),ROW(X2:X96)),IF((X2:X96&lt;&gt;INT(X2:X96))+(X2:X96&lt;=0),ROW(X2:X96))))</f>
        <v>1</v>
      </c>
      <c r="Y99" s="37" cm="1">
        <f t="array" ref="Y99">MAX(FREQUENCY(IF((Y2:Y96=INT(Y2:Y96))*(Y2:Y96&gt;0),ROW(Y2:Y96)),IF((Y2:Y96&lt;&gt;INT(Y2:Y96))+(Y2:Y96&lt;=0),ROW(Y2:Y96))))</f>
        <v>4</v>
      </c>
      <c r="Z99" s="37" cm="1">
        <f t="array" ref="Z99">MAX(FREQUENCY(IF((Z2:Z96=INT(Z2:Z96))*(Z2:Z96&gt;0),ROW(Z2:Z96)),IF((Z2:Z96&lt;&gt;INT(Z2:Z96))+(Z2:Z96&lt;=0),ROW(Z2:Z96))))</f>
        <v>1</v>
      </c>
      <c r="AA99" s="37" cm="1">
        <f t="array" ref="AA99">MAX(FREQUENCY(IF((AA2:AA96=INT(AA2:AA96))*(AA2:AA96&gt;0),ROW(AA2:AA96)),IF((AA2:AA96&lt;&gt;INT(AA2:AA96))+(AA2:AA96&lt;=0),ROW(AA2:AA96))))</f>
        <v>0</v>
      </c>
      <c r="AB99" s="37" cm="1">
        <f t="array" ref="AB99">MAX(FREQUENCY(IF((AB2:AB96=INT(AB2:AB96))*(AB2:AB96&gt;0),ROW(AB2:AB96)),IF((AB2:AB96&lt;&gt;INT(AB2:AB96))+(AB2:AB96&lt;=0),ROW(AB2:AB96))))</f>
        <v>1</v>
      </c>
      <c r="AC99" s="37" cm="1">
        <f t="array" ref="AC99">MAX(FREQUENCY(IF((AC2:AC96=INT(AC2:AC96))*(AC2:AC96&gt;0),ROW(AC2:AC96)),IF((AC2:AC96&lt;&gt;INT(AC2:AC96))+(AC2:AC96&lt;=0),ROW(AC2:AC96))))</f>
        <v>5</v>
      </c>
      <c r="AD99" s="37" cm="1">
        <f t="array" ref="AD99">MAX(FREQUENCY(IF((AD2:AD96=INT(AD2:AD96))*(AD2:AD96&gt;0),ROW(AD2:AD96)),IF((AD2:AD96&lt;&gt;INT(AD2:AD96))+(AD2:AD96&lt;=0),ROW(AD2:AD96))))</f>
        <v>5</v>
      </c>
      <c r="AE99" s="37" cm="1">
        <f t="array" ref="AE99">MAX(FREQUENCY(IF((AE2:AE96=INT(AE2:AE96))*(AE2:AE96&gt;0),ROW(AE2:AE96)),IF((AE2:AE96&lt;&gt;INT(AE2:AE96))+(AE2:AE96&lt;=0),ROW(AE2:AE96))))</f>
        <v>4</v>
      </c>
      <c r="AF99" s="37" cm="1">
        <f t="array" ref="AF99">MAX(FREQUENCY(IF((AF2:AF96=INT(AF2:AF96))*(AF2:AF96&gt;0),ROW(AF2:AF96)),IF((AF2:AF96&lt;&gt;INT(AF2:AF96))+(AF2:AF96&lt;=0),ROW(AF2:AF96))))</f>
        <v>3</v>
      </c>
      <c r="AG99" s="37" cm="1">
        <f t="array" ref="AG99">MAX(FREQUENCY(IF((AG2:AG96=INT(AG2:AG96))*(AG2:AG96&gt;0),ROW(AG2:AG96)),IF((AG2:AG96&lt;&gt;INT(AG2:AG96))+(AG2:AG96&lt;=0),ROW(AG2:AG96))))</f>
        <v>7</v>
      </c>
      <c r="AH99" s="37" cm="1">
        <f t="array" ref="AH99">MAX(FREQUENCY(IF((AH2:AH96=INT(AH2:AH96))*(AH2:AH96&gt;0),ROW(AH2:AH96)),IF((AH2:AH96&lt;&gt;INT(AH2:AH96))+(AH2:AH96&lt;=0),ROW(AH2:AH96))))</f>
        <v>1</v>
      </c>
      <c r="AI99" s="37" cm="1">
        <f t="array" ref="AI99">MAX(FREQUENCY(IF((AI2:AI96=INT(AI2:AI96))*(AI2:AI96&gt;0),ROW(AI2:AI96)),IF((AI2:AI96&lt;&gt;INT(AI2:AI96))+(AI2:AI96&lt;=0),ROW(AI2:AI96))))</f>
        <v>0</v>
      </c>
      <c r="AJ99" s="37" cm="1">
        <f t="array" ref="AJ99">MAX(FREQUENCY(IF((AJ2:AJ96=INT(AJ2:AJ96))*(AJ2:AJ96&gt;0),ROW(AJ2:AJ96)),IF((AJ2:AJ96&lt;&gt;INT(AJ2:AJ96))+(AJ2:AJ96&lt;=0),ROW(AJ2:AJ96))))</f>
        <v>0</v>
      </c>
      <c r="AK99" s="37" cm="1">
        <f t="array" ref="AK99">MAX(FREQUENCY(IF((AK2:AK96=INT(AK2:AK96))*(AK2:AK96&gt;0),ROW(AK2:AK96)),IF((AK2:AK96&lt;&gt;INT(AK2:AK96))+(AK2:AK96&lt;=0),ROW(AK2:AK96))))</f>
        <v>1</v>
      </c>
      <c r="AL99" s="37" cm="1">
        <f t="array" ref="AL99">MAX(FREQUENCY(IF((AL2:AL96=INT(AL2:AL96))*(AL2:AL96&gt;0),ROW(AL2:AL96)),IF((AL2:AL96&lt;&gt;INT(AL2:AL96))+(AL2:AL96&lt;=0),ROW(AL2:AL96))))</f>
        <v>3</v>
      </c>
      <c r="AM99" s="37" cm="1">
        <f t="array" ref="AM99">MAX(FREQUENCY(IF((AM2:AM96=INT(AM2:AM96))*(AM2:AM96&gt;0),ROW(AM2:AM96)),IF((AM2:AM96&lt;&gt;INT(AM2:AM96))+(AM2:AM96&lt;=0),ROW(AM2:AM96))))</f>
        <v>3</v>
      </c>
      <c r="AN99" s="37" cm="1">
        <f t="array" ref="AN99">MAX(FREQUENCY(IF((AN2:AN96=INT(AN2:AN96))*(AN2:AN96&gt;0),ROW(AN2:AN96)),IF((AN2:AN96&lt;&gt;INT(AN2:AN96))+(AN2:AN96&lt;=0),ROW(AN2:AN96))))</f>
        <v>0</v>
      </c>
      <c r="AO99" s="37" cm="1">
        <f t="array" ref="AO99">MAX(FREQUENCY(IF((AO2:AO96=INT(AO2:AO96))*(AO2:AO96&gt;0),ROW(AO2:AO96)),IF((AO2:AO96&lt;&gt;INT(AO2:AO96))+(AO2:AO96&lt;=0),ROW(AO2:AO96))))</f>
        <v>12</v>
      </c>
      <c r="AP99" s="37" cm="1">
        <f t="array" ref="AP99">MAX(FREQUENCY(IF((AP2:AP96=INT(AP2:AP96))*(AP2:AP96&gt;0),ROW(AP2:AP96)),IF((AP2:AP96&lt;&gt;INT(AP2:AP96))+(AP2:AP96&lt;=0),ROW(AP2:AP96))))</f>
        <v>6</v>
      </c>
      <c r="AQ99" s="37" cm="1">
        <f t="array" ref="AQ99">MAX(FREQUENCY(IF((AQ2:AQ96=INT(AQ2:AQ96))*(AQ2:AQ96&gt;0),ROW(AQ2:AQ96)),IF((AQ2:AQ96&lt;&gt;INT(AQ2:AQ96))+(AQ2:AQ96&lt;=0),ROW(AQ2:AQ96))))</f>
        <v>6</v>
      </c>
      <c r="AR99" s="37" cm="1">
        <f t="array" ref="AR99">MAX(FREQUENCY(IF((AR2:AR96=INT(AR2:AR96))*(AR2:AR96&gt;0),ROW(AR2:AR96)),IF((AR2:AR96&lt;&gt;INT(AR2:AR96))+(AR2:AR96&lt;=0),ROW(AR2:AR96))))</f>
        <v>1</v>
      </c>
      <c r="AS99" s="37" cm="1">
        <f t="array" ref="AS99">MAX(FREQUENCY(IF((AS2:AS96=INT(AS2:AS96))*(AS2:AS96&gt;0),ROW(AS2:AS96)),IF((AS2:AS96&lt;&gt;INT(AS2:AS96))+(AS2:AS96&lt;=0),ROW(AS2:AS96))))</f>
        <v>6</v>
      </c>
      <c r="AT99" s="37" cm="1">
        <f t="array" ref="AT99">MAX(FREQUENCY(IF((AT2:AT96=INT(AT2:AT96))*(AT2:AT96&gt;0),ROW(AT2:AT96)),IF((AT2:AT96&lt;&gt;INT(AT2:AT96))+(AT2:AT96&lt;=0),ROW(AT2:AT96))))</f>
        <v>0</v>
      </c>
      <c r="AU99" s="37" cm="1">
        <f t="array" ref="AU99">MAX(FREQUENCY(IF((AU2:AU96=INT(AU2:AU96))*(AU2:AU96&gt;0),ROW(AU2:AU96)),IF((AU2:AU96&lt;&gt;INT(AU2:AU96))+(AU2:AU96&lt;=0),ROW(AU2:AU96))))</f>
        <v>17</v>
      </c>
      <c r="AV99" s="37" cm="1">
        <f t="array" ref="AV99">MAX(FREQUENCY(IF((AV2:AV96=INT(AV2:AV96))*(AV2:AV96&gt;0),ROW(AV2:AV96)),IF((AV2:AV96&lt;&gt;INT(AV2:AV96))+(AV2:AV96&lt;=0),ROW(AV2:AV96))))</f>
        <v>0</v>
      </c>
      <c r="AW99" s="37" cm="1">
        <f t="array" ref="AW99">MAX(FREQUENCY(IF((AW2:AW96=INT(AW2:AW96))*(AW2:AW96&gt;0),ROW(AW2:AW96)),IF((AW2:AW96&lt;&gt;INT(AW2:AW96))+(AW2:AW96&lt;=0),ROW(AW2:AW96))))</f>
        <v>3</v>
      </c>
      <c r="AX99" s="37" cm="1">
        <f t="array" ref="AX99">MAX(FREQUENCY(IF((AX2:AX96=INT(AX2:AX96))*(AX2:AX96&gt;0),ROW(AX2:AX96)),IF((AX2:AX96&lt;&gt;INT(AX2:AX96))+(AX2:AX96&lt;=0),ROW(AX2:AX96))))</f>
        <v>4</v>
      </c>
      <c r="AY99" s="37" cm="1">
        <f t="array" ref="AY99">MAX(FREQUENCY(IF((AY2:AY96=INT(AY2:AY96))*(AY2:AY96&gt;0),ROW(AY2:AY96)),IF((AY2:AY96&lt;&gt;INT(AY2:AY96))+(AY2:AY96&lt;=0),ROW(AY2:AY96))))</f>
        <v>1</v>
      </c>
      <c r="AZ99" s="37" cm="1">
        <f t="array" ref="AZ99">MAX(FREQUENCY(IF((AZ2:AZ96=INT(AZ2:AZ96))*(AZ2:AZ96&gt;0),ROW(AZ2:AZ96)),IF((AZ2:AZ96&lt;&gt;INT(AZ2:AZ96))+(AZ2:AZ96&lt;=0),ROW(AZ2:AZ96))))</f>
        <v>1</v>
      </c>
      <c r="BA99" s="37" cm="1">
        <f t="array" ref="BA99">MAX(FREQUENCY(IF((BA2:BA96=INT(BA2:BA96))*(BA2:BA96&gt;0),ROW(BA2:BA96)),IF((BA2:BA96&lt;&gt;INT(BA2:BA96))+(BA2:BA96&lt;=0),ROW(BA2:BA96))))</f>
        <v>0</v>
      </c>
      <c r="BB99" s="37" cm="1">
        <f t="array" ref="BB99">MAX(FREQUENCY(IF((BB2:BB96=INT(BB2:BB96))*(BB2:BB96&gt;0),ROW(BB2:BB96)),IF((BB2:BB96&lt;&gt;INT(BB2:BB96))+(BB2:BB96&lt;=0),ROW(BB2:BB96))))</f>
        <v>1</v>
      </c>
      <c r="BC99" s="39"/>
      <c r="BD99" s="39"/>
      <c r="BF99" s="45"/>
      <c r="BG99" s="46"/>
      <c r="BH99" s="46"/>
      <c r="BI99" s="46"/>
      <c r="BJ99" s="46"/>
      <c r="BK99" s="46"/>
      <c r="BL99" s="46"/>
      <c r="BM99" s="46"/>
      <c r="BN99" s="46"/>
      <c r="BO99" s="47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2026-05-22T13:48:52Z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