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<sst xmlns="http://schemas.openxmlformats.org/spreadsheetml/2006/main" count="1206" uniqueCount="705">
  <si>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</si>
  <si>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</si>
  <si>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</si>
  <si>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</si>
  <si>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</si>
  <si>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</si>
  <si>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</si>
  <si>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</si>
  <si>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</si>
  <si>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</si>
  <si>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</si>
  <si>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</si>
  <si>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</si>
  <si>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</si>
  <si>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</si>
  <si>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</si>
  <si>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</si>
  <si>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</si>
  <si>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</si>
  <si>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</si>
  <si>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</si>
  <si>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</si>
  <si>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</si>
  <si>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</si>
  <si>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</si>
  <si>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</si>
  <si>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</si>
  <si>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</si>
  <si>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</si>
  <si>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</si>
  <si>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</si>
  <si>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</si>
  <si>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</si>
  <si>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</si>
  <si>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</si>
  <si>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</si>
  <si>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</si>
  <si>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</si>
  <si>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</si>
  <si>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</si>
  <si>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</si>
  <si>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</si>
  <si>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</si>
  <si>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</si>
  <si>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</si>
  <si>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</si>
  <si>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</si>
  <si>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</si>
  <si>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</si>
  <si>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</si>
  <si>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</si>
  <si>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</si>
  <si>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</si>
  <si>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</si>
  <si>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爱国有方讲出陈梦玲的事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</si>
  <si>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</si>
  <si>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</si>
  <si>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</si>
  <si>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</si>
  <si>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</si>
  <si>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</si>
  <si>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</si>
  <si>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</si>
  <si>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</si>
  <si>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</si>
  <si>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</si>
  <si>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</si>
  <si>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</si>
  <si>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</si>
  <si>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</si>
  <si>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喜欢11班某人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</si>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</sst>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32" workbookViewId="0">
      <selection activeCell="I41" sqref="I41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</row>
    <row r="13" ht="39" spans="1:10">
      <c r="A13" s="230" t="s">
        <v>31</v>
      </c>
      <c r="D13" s="224" t="s">
        <v>32</v>
      </c>
    </row>
    <row r="14" spans="1:10">
      <c r="A14" s="230" t="s">
        <v>33</v>
      </c>
      <c r="B14" s="224" t="s">
        <v>34</v>
      </c>
    </row>
    <row r="15" spans="1:10">
      <c r="A15" s="230" t="s">
        <v>35</v>
      </c>
    </row>
    <row r="16" spans="1:10">
      <c r="A16" s="230" t="s">
        <v>36</v>
      </c>
      <c r="C16" s="224" t="s">
        <v>37</v>
      </c>
    </row>
    <row r="17" ht="26" spans="1:8">
      <c r="A17" s="230" t="s">
        <v>38</v>
      </c>
      <c r="C17" s="224" t="s">
        <v>39</v>
      </c>
    </row>
    <row r="18" spans="1:8">
      <c r="A18" s="230" t="s">
        <v>40</v>
      </c>
      <c r="D18" s="224" t="s">
        <v>41</v>
      </c>
    </row>
    <row r="19" ht="26" spans="1:8">
      <c r="A19" s="230" t="s">
        <v>42</v>
      </c>
      <c r="D19" s="224" t="s">
        <v>43</v>
      </c>
    </row>
    <row r="20" ht="26" spans="1:8">
      <c r="A20" s="230" t="s">
        <v>44</v>
      </c>
      <c r="B20" s="224" t="s">
        <v>45</v>
      </c>
      <c r="C20" s="224" t="s">
        <v>46</v>
      </c>
    </row>
    <row r="21" ht="52" spans="1:8">
      <c r="A21" s="230" t="s">
        <v>47</v>
      </c>
      <c r="B21" s="224" t="s">
        <v>48</v>
      </c>
      <c r="C21" s="224" t="s">
        <v>49</v>
      </c>
      <c r="D21" s="224" t="s">
        <v>50</v>
      </c>
    </row>
    <row r="22" spans="1:8">
      <c r="A22" s="230" t="s">
        <v>51</v>
      </c>
    </row>
    <row r="23" ht="28" spans="1:8">
      <c r="A23" s="230" t="s">
        <v>52</v>
      </c>
      <c r="B23" s="224" t="s">
        <v>53</v>
      </c>
      <c r="H23" s="225" t="s">
        <v>54</v>
      </c>
    </row>
    <row r="24" ht="52" spans="1:8">
      <c r="A24" s="230" t="s">
        <v>55</v>
      </c>
      <c r="B24" s="224" t="s">
        <v>56</v>
      </c>
      <c r="C24" s="224" t="s">
        <v>57</v>
      </c>
      <c r="D24" s="224" t="s">
        <v>58</v>
      </c>
    </row>
    <row r="25" spans="1:8">
      <c r="A25" s="230" t="s">
        <v>59</v>
      </c>
    </row>
    <row r="26" spans="1:8">
      <c r="A26" s="230" t="s">
        <v>60</v>
      </c>
    </row>
    <row r="27" spans="1:8">
      <c r="A27" s="230" t="s">
        <v>61</v>
      </c>
      <c r="B27" s="224" t="s">
        <v>62</v>
      </c>
      <c r="C27" s="224" t="s">
        <v>63</v>
      </c>
    </row>
    <row r="28" ht="91" spans="1:8">
      <c r="A28" s="230" t="s">
        <v>64</v>
      </c>
      <c r="B28" s="224" t="s">
        <v>65</v>
      </c>
      <c r="C28" s="224" t="s">
        <v>66</v>
      </c>
      <c r="D28" s="224" t="s">
        <v>67</v>
      </c>
      <c r="E28" s="224" t="s">
        <v>68</v>
      </c>
    </row>
    <row r="29" spans="1:8">
      <c r="A29" s="230" t="s">
        <v>69</v>
      </c>
      <c r="H29" s="225" t="s">
        <v>70</v>
      </c>
    </row>
    <row r="30" spans="1:8">
      <c r="A30" s="230" t="s">
        <v>71</v>
      </c>
      <c r="B30" s="224" t="s">
        <v>72</v>
      </c>
      <c r="C30" s="224" t="s">
        <v>73</v>
      </c>
    </row>
    <row r="31" spans="1:8">
      <c r="A31" s="230" t="s">
        <v>74</v>
      </c>
    </row>
    <row r="32" spans="1:8">
      <c r="A32" s="230" t="s">
        <v>75</v>
      </c>
    </row>
    <row r="33" spans="1:10">
      <c r="A33" s="230" t="s">
        <v>76</v>
      </c>
    </row>
    <row r="34" spans="1:10">
      <c r="A34" s="230" t="s">
        <v>77</v>
      </c>
    </row>
    <row r="35" spans="1:10">
      <c r="A35" s="230" t="s">
        <v>78</v>
      </c>
    </row>
    <row r="36" spans="1:10">
      <c r="A36" s="230" t="s">
        <v>79</v>
      </c>
      <c r="B36" s="224" t="s">
        <v>80</v>
      </c>
    </row>
    <row r="37" ht="26" spans="1:10">
      <c r="A37" s="230" t="s">
        <v>81</v>
      </c>
      <c r="C37" s="224" t="s">
        <v>82</v>
      </c>
      <c r="D37" s="224" t="s">
        <v>83</v>
      </c>
    </row>
    <row r="38" spans="1:10">
      <c r="A38" s="230" t="s">
        <v>84</v>
      </c>
      <c r="B38" s="224" t="s">
        <v>85</v>
      </c>
      <c r="C38" s="231"/>
      <c r="D38" s="231"/>
      <c r="E38" s="231"/>
      <c r="F38" s="231"/>
      <c r="G38" s="231"/>
    </row>
    <row r="39" ht="26" spans="1:10">
      <c r="A39" s="230" t="s">
        <v>86</v>
      </c>
      <c r="C39" s="224" t="s">
        <v>87</v>
      </c>
      <c r="D39" s="224" t="s">
        <v>88</v>
      </c>
    </row>
    <row r="40" ht="252" spans="1:10">
      <c r="A40" s="230" t="s">
        <v>89</v>
      </c>
      <c r="B40" s="224" t="s">
        <v>90</v>
      </c>
      <c r="C40" s="224" t="s">
        <v>91</v>
      </c>
      <c r="D40" s="224" t="s">
        <v>92</v>
      </c>
      <c r="H40" s="225" t="s">
        <v>93</v>
      </c>
    </row>
    <row r="41" ht="208" spans="1:10">
      <c r="A41" s="230" t="s">
        <v>94</v>
      </c>
      <c r="C41" s="224" t="s">
        <v>95</v>
      </c>
      <c r="D41" s="224" t="s">
        <v>96</v>
      </c>
      <c r="E41" s="224" t="s">
        <v>97</v>
      </c>
      <c r="H41" s="225" t="s">
        <v>98</v>
      </c>
      <c r="I41" s="225" t="s">
        <v>99</v>
      </c>
      <c r="J41" s="225" t="s">
        <v>100</v>
      </c>
    </row>
    <row r="42" spans="1:10">
      <c r="A42" s="230" t="s">
        <v>101</v>
      </c>
    </row>
    <row r="43" ht="28" spans="1:10">
      <c r="A43" s="230" t="s">
        <v>102</v>
      </c>
      <c r="B43" s="224" t="s">
        <v>103</v>
      </c>
      <c r="H43" s="225" t="s">
        <v>104</v>
      </c>
    </row>
    <row r="44" ht="26" spans="1:10">
      <c r="A44" s="230" t="s">
        <v>105</v>
      </c>
      <c r="B44" s="224" t="s">
        <v>106</v>
      </c>
    </row>
    <row r="45" ht="26" spans="1:10">
      <c r="A45" s="230" t="s">
        <v>107</v>
      </c>
      <c r="C45" s="224" t="s">
        <v>108</v>
      </c>
      <c r="D45" s="224" t="s">
        <v>109</v>
      </c>
      <c r="E45" s="224" t="s">
        <v>110</v>
      </c>
    </row>
    <row r="46" spans="1:10">
      <c r="A46" s="230" t="s">
        <v>111</v>
      </c>
    </row>
    <row r="47" spans="1:10">
      <c r="A47" s="230" t="s">
        <v>112</v>
      </c>
      <c r="D47" s="224" t="s">
        <v>113</v>
      </c>
    </row>
    <row r="48" ht="42" spans="1:10">
      <c r="A48" s="230" t="s">
        <v>114</v>
      </c>
      <c r="C48" s="224" t="s">
        <v>115</v>
      </c>
      <c r="D48" s="224" t="s">
        <v>116</v>
      </c>
      <c r="H48" s="225" t="s">
        <v>117</v>
      </c>
    </row>
    <row r="49" spans="1:7">
      <c r="A49" s="230" t="s">
        <v>118</v>
      </c>
    </row>
    <row r="50" ht="78" spans="1:7">
      <c r="A50" s="230" t="s">
        <v>119</v>
      </c>
      <c r="C50" s="224" t="s">
        <v>120</v>
      </c>
    </row>
    <row r="51" spans="1:7">
      <c r="A51" s="230" t="s">
        <v>121</v>
      </c>
    </row>
    <row r="52" ht="26" spans="1:7">
      <c r="A52" s="230" t="s">
        <v>122</v>
      </c>
      <c r="B52" s="224" t="s">
        <v>123</v>
      </c>
      <c r="C52" s="224" t="s">
        <v>124</v>
      </c>
      <c r="E52" s="224" t="s">
        <v>125</v>
      </c>
    </row>
    <row r="53" ht="26" spans="1:7">
      <c r="A53" s="223" t="s">
        <v>126</v>
      </c>
      <c r="B53" s="224" t="s">
        <v>127</v>
      </c>
      <c r="D53" s="231"/>
      <c r="E53" s="231"/>
      <c r="F53" s="231"/>
      <c r="G53" s="231"/>
    </row>
    <row r="54" spans="1:7">
      <c r="A54" s="223" t="s">
        <v>128</v>
      </c>
      <c r="B54" s="224" t="s">
        <v>129</v>
      </c>
      <c r="C54" s="224" t="s">
        <v>130</v>
      </c>
      <c r="D54" s="231"/>
      <c r="E54" s="231"/>
      <c r="F54" s="231"/>
      <c r="G54" s="231"/>
    </row>
    <row r="55" ht="65" spans="1:7">
      <c r="A55" s="223" t="s">
        <v>131</v>
      </c>
      <c r="B55" s="231"/>
      <c r="C55" s="231"/>
      <c r="D55" s="224" t="s">
        <v>132</v>
      </c>
      <c r="E55" s="224" t="s">
        <v>133</v>
      </c>
    </row>
    <row r="56" ht="65" spans="1:7">
      <c r="A56" s="223" t="s">
        <v>134</v>
      </c>
      <c r="B56" s="232" t="s">
        <v>135</v>
      </c>
      <c r="C56" s="232"/>
      <c r="D56" s="224" t="s">
        <v>136</v>
      </c>
    </row>
    <row r="57" ht="117" spans="1:7">
      <c r="A57" s="223" t="s">
        <v>137</v>
      </c>
      <c r="B57" s="232" t="s">
        <v>138</v>
      </c>
      <c r="C57" s="232" t="s">
        <v>139</v>
      </c>
      <c r="D57" s="224" t="s">
        <v>140</v>
      </c>
    </row>
    <row r="58" spans="1:7">
      <c r="A58" s="223" t="s">
        <v>141</v>
      </c>
      <c r="B58" s="224" t="s">
        <v>142</v>
      </c>
      <c r="C58" s="231"/>
      <c r="D58" s="231"/>
      <c r="E58" s="231"/>
      <c r="F58" s="231"/>
      <c r="G58" s="231"/>
    </row>
    <row r="59" spans="1:7">
      <c r="A59" s="223" t="s">
        <v>143</v>
      </c>
      <c r="B59" s="231"/>
      <c r="C59" s="224" t="s">
        <v>144</v>
      </c>
      <c r="D59" s="231"/>
      <c r="E59" s="231"/>
      <c r="F59" s="231"/>
      <c r="G59" s="231"/>
    </row>
    <row r="60" ht="52" spans="1:7">
      <c r="A60" s="223" t="s">
        <v>145</v>
      </c>
      <c r="B60" s="231" t="s">
        <v>146</v>
      </c>
      <c r="C60" s="231"/>
      <c r="D60" s="224" t="s">
        <v>147</v>
      </c>
    </row>
    <row r="61" spans="1:7">
      <c r="A61" s="223" t="s">
        <v>148</v>
      </c>
      <c r="B61" s="232" t="s">
        <v>149</v>
      </c>
      <c r="C61" s="232"/>
      <c r="D61" s="231"/>
      <c r="E61" s="231"/>
      <c r="F61" s="231"/>
      <c r="G61" s="231"/>
    </row>
    <row r="62" ht="52" spans="1:7">
      <c r="A62" s="223" t="s">
        <v>150</v>
      </c>
      <c r="B62" s="231"/>
      <c r="C62" s="231"/>
      <c r="D62" s="224" t="s">
        <v>151</v>
      </c>
      <c r="E62" s="224" t="s">
        <v>152</v>
      </c>
    </row>
    <row r="63" ht="26" spans="1:7">
      <c r="A63" s="223" t="s">
        <v>153</v>
      </c>
      <c r="B63" s="232" t="s">
        <v>154</v>
      </c>
      <c r="C63" s="232" t="s">
        <v>155</v>
      </c>
      <c r="D63" s="231"/>
      <c r="E63" s="231"/>
      <c r="F63" s="231"/>
      <c r="G63" s="231"/>
    </row>
    <row r="64" ht="26" spans="1:7">
      <c r="A64" s="223" t="s">
        <v>156</v>
      </c>
      <c r="B64" s="231"/>
      <c r="C64" s="231"/>
      <c r="D64" s="224" t="s">
        <v>157</v>
      </c>
    </row>
    <row r="65" ht="26" spans="1:7">
      <c r="A65" s="223" t="s">
        <v>158</v>
      </c>
      <c r="B65" s="233" t="s">
        <v>159</v>
      </c>
      <c r="C65" s="231"/>
      <c r="D65" s="231"/>
      <c r="E65" s="231"/>
      <c r="F65" s="231"/>
      <c r="G65" s="231"/>
    </row>
    <row r="66" spans="1:7">
      <c r="A66" s="223" t="s">
        <v>160</v>
      </c>
      <c r="B66" s="231"/>
      <c r="C66" s="224" t="s">
        <v>161</v>
      </c>
      <c r="D66" s="231"/>
      <c r="E66" s="231"/>
      <c r="F66" s="231"/>
      <c r="G66" s="231"/>
    </row>
    <row r="67" spans="1:7">
      <c r="A67" s="223" t="s">
        <v>162</v>
      </c>
      <c r="B67" s="231"/>
      <c r="C67" s="231"/>
    </row>
    <row r="68" ht="78" spans="1:7">
      <c r="A68" s="223" t="s">
        <v>163</v>
      </c>
      <c r="B68" s="231"/>
      <c r="C68" s="231"/>
      <c r="D68" s="224" t="s">
        <v>164</v>
      </c>
    </row>
    <row r="69" spans="1:7">
      <c r="A69" s="223" t="s">
        <v>165</v>
      </c>
      <c r="B69" s="232" t="s">
        <v>166</v>
      </c>
      <c r="C69" s="232"/>
    </row>
    <row r="70" ht="26" spans="1:7">
      <c r="A70" s="223" t="s">
        <v>167</v>
      </c>
      <c r="B70" s="232" t="s">
        <v>168</v>
      </c>
      <c r="C70" s="232"/>
      <c r="D70" s="231"/>
      <c r="E70" s="231"/>
      <c r="F70" s="231"/>
      <c r="G70" s="231"/>
    </row>
    <row r="71" spans="1:7">
      <c r="A71" s="223" t="s">
        <v>169</v>
      </c>
      <c r="B71" s="231"/>
      <c r="C71" s="231"/>
    </row>
    <row r="72" spans="1:7">
      <c r="A72" s="223" t="s">
        <v>170</v>
      </c>
      <c r="B72" s="224" t="s">
        <v>171</v>
      </c>
      <c r="C72" s="224" t="s">
        <v>172</v>
      </c>
      <c r="D72" s="231"/>
      <c r="E72" s="231"/>
      <c r="F72" s="231"/>
      <c r="G72" s="231"/>
    </row>
    <row r="73" spans="1:7">
      <c r="A73" s="223" t="s">
        <v>173</v>
      </c>
      <c r="B73" s="231"/>
      <c r="C73" s="224" t="s">
        <v>174</v>
      </c>
      <c r="D73" s="231"/>
      <c r="E73" s="231"/>
      <c r="F73" s="231"/>
      <c r="G73" s="231"/>
    </row>
    <row r="74" spans="1:7">
      <c r="A74" s="223" t="s">
        <v>175</v>
      </c>
    </row>
    <row r="75" spans="1:7">
      <c r="A75" s="223" t="s">
        <v>176</v>
      </c>
      <c r="D75" s="231"/>
      <c r="E75" s="231"/>
      <c r="F75" s="231"/>
      <c r="G75" s="231"/>
    </row>
    <row r="76" spans="1:7">
      <c r="A76" s="223" t="s">
        <v>177</v>
      </c>
      <c r="B76" s="231"/>
      <c r="C76" s="231"/>
      <c r="D76" s="224" t="s">
        <v>178</v>
      </c>
    </row>
    <row r="77" spans="1:7">
      <c r="A77" s="223" t="s">
        <v>179</v>
      </c>
      <c r="B77" s="232"/>
      <c r="C77" s="232"/>
    </row>
    <row r="78" ht="26" spans="1:7">
      <c r="A78" s="234" t="s">
        <v>180</v>
      </c>
      <c r="B78" s="224" t="s">
        <v>181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1" sqref="B21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182</v>
      </c>
      <c r="B2" s="78"/>
      <c r="C2" s="78"/>
      <c r="D2" s="78" t="s">
        <v>183</v>
      </c>
      <c r="E2" s="78"/>
      <c r="F2" s="78"/>
      <c r="G2" s="78"/>
    </row>
    <row r="3" spans="1:7">
      <c r="A3" s="221" t="s">
        <v>184</v>
      </c>
      <c r="C3" s="66" t="s">
        <v>185</v>
      </c>
    </row>
    <row r="4" spans="1:7">
      <c r="A4" s="221" t="s">
        <v>186</v>
      </c>
      <c r="B4" s="66" t="s">
        <v>187</v>
      </c>
      <c r="D4" s="66" t="s">
        <v>188</v>
      </c>
    </row>
    <row r="5" spans="1:7">
      <c r="A5" s="221" t="s">
        <v>189</v>
      </c>
      <c r="C5" s="66" t="s">
        <v>190</v>
      </c>
      <c r="D5" s="66" t="s">
        <v>191</v>
      </c>
    </row>
    <row r="6" spans="1:7">
      <c r="A6" s="221" t="s">
        <v>192</v>
      </c>
      <c r="B6" s="66" t="s">
        <v>193</v>
      </c>
      <c r="D6" s="66" t="s">
        <v>194</v>
      </c>
    </row>
    <row r="7" spans="1:7">
      <c r="A7" s="221" t="s">
        <v>195</v>
      </c>
      <c r="B7" s="66" t="s">
        <v>196</v>
      </c>
    </row>
    <row r="8" spans="1:7">
      <c r="A8" s="221"/>
      <c r="D8" s="66" t="s">
        <v>197</v>
      </c>
    </row>
    <row r="9" spans="1:7">
      <c r="A9" s="221"/>
    </row>
    <row r="10" spans="1:7">
      <c r="A10" s="221"/>
      <c r="B10" s="66" t="s">
        <v>198</v>
      </c>
    </row>
    <row r="11" spans="1:7">
      <c r="A11" s="221"/>
    </row>
    <row r="12" spans="1:7">
      <c r="A12" s="221"/>
      <c r="B12" s="66" t="s">
        <v>199</v>
      </c>
    </row>
    <row r="13" spans="1:7">
      <c r="A13" s="221"/>
      <c r="B13" s="66" t="s">
        <v>200</v>
      </c>
    </row>
    <row r="14" spans="1:7">
      <c r="A14" s="221"/>
      <c r="B14" s="66" t="s">
        <v>201</v>
      </c>
    </row>
    <row r="15" spans="1:7">
      <c r="A15" s="221"/>
      <c r="B15" s="66" t="s">
        <v>202</v>
      </c>
    </row>
    <row r="16" spans="1:7">
      <c r="A16" s="221"/>
      <c r="B16" s="66" t="s">
        <v>203</v>
      </c>
    </row>
    <row r="17" spans="1:2">
      <c r="A17" s="221"/>
      <c r="B17" s="66" t="s">
        <v>204</v>
      </c>
    </row>
    <row r="18" spans="1:2">
      <c r="A18" s="221"/>
      <c r="B18" s="66" t="s">
        <v>205</v>
      </c>
    </row>
    <row r="19" ht="26" spans="1:2">
      <c r="A19" s="221"/>
      <c r="B19" s="78" t="s">
        <v>206</v>
      </c>
    </row>
    <row r="20" spans="1:2">
      <c r="A20" s="221"/>
      <c r="B20" s="66" t="s">
        <v>207</v>
      </c>
    </row>
    <row r="21" spans="1:2">
      <c r="A21" s="221"/>
      <c r="B21" s="66" t="s">
        <v>208</v>
      </c>
    </row>
    <row r="22" spans="1:2">
      <c r="A22" s="221"/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7"/>
  <sheetViews>
    <sheetView workbookViewId="0">
      <pane ySplit="1" topLeftCell="A50" activePane="bottomLeft" state="frozen"/>
      <selection/>
      <selection pane="bottomLeft" activeCell="B66" sqref="B66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209</v>
      </c>
      <c r="B1" s="208" t="s">
        <v>210</v>
      </c>
      <c r="C1" s="208" t="s">
        <v>211</v>
      </c>
    </row>
    <row r="2" spans="1:3">
      <c r="A2" s="209" t="s">
        <v>212</v>
      </c>
      <c r="B2" s="209" t="s">
        <v>213</v>
      </c>
      <c r="C2" s="209" t="s">
        <v>214</v>
      </c>
    </row>
    <row r="3" spans="1:3">
      <c r="A3" s="209" t="s">
        <v>215</v>
      </c>
      <c r="B3" s="209" t="s">
        <v>216</v>
      </c>
      <c r="C3" s="209" t="s">
        <v>217</v>
      </c>
    </row>
    <row r="4" spans="1:3">
      <c r="A4" s="209" t="s">
        <v>218</v>
      </c>
      <c r="B4" s="209" t="s">
        <v>216</v>
      </c>
      <c r="C4" s="209" t="s">
        <v>219</v>
      </c>
    </row>
    <row r="5" ht="56" spans="1:3">
      <c r="A5" s="210" t="s">
        <v>220</v>
      </c>
      <c r="B5" s="209" t="s">
        <v>221</v>
      </c>
      <c r="C5" s="209" t="s">
        <v>222</v>
      </c>
    </row>
    <row r="6" ht="28" spans="1:3">
      <c r="A6" s="211"/>
      <c r="B6" s="209" t="s">
        <v>223</v>
      </c>
      <c r="C6" s="209" t="s">
        <v>224</v>
      </c>
    </row>
    <row r="7" spans="1:3">
      <c r="A7" s="212" t="s">
        <v>94</v>
      </c>
      <c r="B7" s="209" t="s">
        <v>225</v>
      </c>
      <c r="C7" s="209" t="s">
        <v>226</v>
      </c>
    </row>
    <row r="8" ht="140" spans="1:3">
      <c r="A8" s="212"/>
      <c r="B8" s="209" t="s">
        <v>227</v>
      </c>
      <c r="C8" s="209" t="s">
        <v>228</v>
      </c>
    </row>
    <row r="9" spans="1:3">
      <c r="A9" s="212"/>
      <c r="B9" s="209" t="s">
        <v>229</v>
      </c>
      <c r="C9" s="209" t="s">
        <v>230</v>
      </c>
    </row>
    <row r="10" spans="1:3">
      <c r="A10" s="212"/>
      <c r="B10" s="209" t="s">
        <v>231</v>
      </c>
      <c r="C10" s="209" t="s">
        <v>232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233</v>
      </c>
      <c r="B15" s="209" t="s">
        <v>234</v>
      </c>
      <c r="C15" s="209" t="s">
        <v>235</v>
      </c>
    </row>
    <row r="16" spans="1:3">
      <c r="A16" s="209" t="s">
        <v>236</v>
      </c>
      <c r="B16" s="209" t="s">
        <v>237</v>
      </c>
      <c r="C16" s="209" t="s">
        <v>238</v>
      </c>
    </row>
    <row r="17" spans="1:3">
      <c r="A17" s="209" t="s">
        <v>239</v>
      </c>
      <c r="B17" s="209" t="s">
        <v>240</v>
      </c>
      <c r="C17" s="214">
        <v>0.440972222222222</v>
      </c>
    </row>
    <row r="18" spans="1:3">
      <c r="A18" s="215" t="s">
        <v>64</v>
      </c>
      <c r="B18" s="209" t="s">
        <v>241</v>
      </c>
      <c r="C18" s="209" t="s">
        <v>242</v>
      </c>
    </row>
    <row r="19" spans="1:3">
      <c r="A19" s="212"/>
      <c r="B19" s="209" t="s">
        <v>243</v>
      </c>
      <c r="C19" s="209" t="s">
        <v>244</v>
      </c>
    </row>
    <row r="20" ht="56" spans="1:3">
      <c r="A20" s="212"/>
      <c r="B20" s="209" t="s">
        <v>245</v>
      </c>
      <c r="C20" s="209" t="s">
        <v>246</v>
      </c>
    </row>
    <row r="21" spans="1:3">
      <c r="A21" s="212"/>
      <c r="B21" s="209" t="s">
        <v>247</v>
      </c>
      <c r="C21" s="209" t="s">
        <v>248</v>
      </c>
    </row>
    <row r="22" ht="28" spans="1:3">
      <c r="A22" s="212"/>
      <c r="B22" s="209" t="s">
        <v>249</v>
      </c>
      <c r="C22" s="209" t="s">
        <v>250</v>
      </c>
    </row>
    <row r="23" spans="1:3">
      <c r="A23" s="212"/>
      <c r="B23" s="209" t="s">
        <v>251</v>
      </c>
      <c r="C23" s="209" t="s">
        <v>252</v>
      </c>
    </row>
    <row r="24" spans="1:3">
      <c r="A24" s="212"/>
      <c r="B24" s="209" t="s">
        <v>253</v>
      </c>
      <c r="C24" s="209" t="s">
        <v>254</v>
      </c>
    </row>
    <row r="25" spans="1:3">
      <c r="A25" s="212"/>
      <c r="B25" s="209" t="s">
        <v>255</v>
      </c>
      <c r="C25" s="209" t="s">
        <v>256</v>
      </c>
    </row>
    <row r="26" spans="1:3">
      <c r="A26" s="212"/>
      <c r="B26" s="209" t="s">
        <v>253</v>
      </c>
      <c r="C26" s="209" t="s">
        <v>257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258</v>
      </c>
      <c r="B34" s="209" t="s">
        <v>243</v>
      </c>
      <c r="C34" s="209" t="s">
        <v>259</v>
      </c>
    </row>
    <row r="35" spans="1:3">
      <c r="A35" s="211"/>
      <c r="B35" s="209" t="s">
        <v>260</v>
      </c>
      <c r="C35" s="209" t="s">
        <v>261</v>
      </c>
    </row>
    <row r="36" ht="28" spans="1:3">
      <c r="A36" s="215" t="s">
        <v>262</v>
      </c>
      <c r="B36" s="209" t="s">
        <v>263</v>
      </c>
      <c r="C36" s="209" t="s">
        <v>264</v>
      </c>
    </row>
    <row r="37" spans="1:3">
      <c r="A37" s="212"/>
      <c r="B37" s="209" t="s">
        <v>227</v>
      </c>
      <c r="C37" s="209" t="s">
        <v>265</v>
      </c>
    </row>
    <row r="38" spans="1:3">
      <c r="A38" s="212"/>
      <c r="B38" s="209" t="s">
        <v>266</v>
      </c>
      <c r="C38" s="209" t="s">
        <v>267</v>
      </c>
    </row>
    <row r="39" spans="1:3">
      <c r="A39" s="212"/>
      <c r="B39" s="209"/>
      <c r="C39" s="209"/>
    </row>
    <row r="40" spans="1:3">
      <c r="A40" s="210" t="s">
        <v>268</v>
      </c>
      <c r="B40" s="209" t="s">
        <v>269</v>
      </c>
      <c r="C40" s="209" t="s">
        <v>270</v>
      </c>
    </row>
    <row r="41" spans="1:3">
      <c r="A41" s="211"/>
      <c r="B41" s="209" t="s">
        <v>225</v>
      </c>
      <c r="C41" s="209" t="s">
        <v>271</v>
      </c>
    </row>
    <row r="42" ht="28" spans="1:3">
      <c r="A42" s="215" t="s">
        <v>47</v>
      </c>
      <c r="B42" s="209" t="s">
        <v>225</v>
      </c>
      <c r="C42" s="209" t="s">
        <v>272</v>
      </c>
    </row>
    <row r="43" spans="1:3">
      <c r="A43" s="212"/>
      <c r="B43" s="207" t="s">
        <v>273</v>
      </c>
      <c r="C43" s="207" t="s">
        <v>274</v>
      </c>
    </row>
    <row r="44" spans="1:3">
      <c r="A44" s="212"/>
      <c r="B44" s="207" t="s">
        <v>247</v>
      </c>
      <c r="C44" s="207" t="s">
        <v>275</v>
      </c>
    </row>
    <row r="45" spans="1:3">
      <c r="A45" s="212"/>
      <c r="B45" s="207" t="s">
        <v>253</v>
      </c>
      <c r="C45" s="207" t="s">
        <v>276</v>
      </c>
    </row>
    <row r="46" ht="28" spans="1:3">
      <c r="A46" s="212"/>
      <c r="B46" s="207" t="s">
        <v>253</v>
      </c>
      <c r="C46" s="207" t="s">
        <v>277</v>
      </c>
    </row>
    <row r="47" spans="1:3">
      <c r="A47" s="212"/>
    </row>
    <row r="48" ht="98" spans="1:3">
      <c r="A48" s="215" t="s">
        <v>278</v>
      </c>
      <c r="B48" s="207" t="s">
        <v>225</v>
      </c>
      <c r="C48" s="207" t="s">
        <v>279</v>
      </c>
    </row>
    <row r="49" ht="84" spans="1:3">
      <c r="A49" s="212"/>
      <c r="B49" s="207" t="s">
        <v>280</v>
      </c>
      <c r="C49" s="207" t="s">
        <v>281</v>
      </c>
    </row>
    <row r="50" ht="28" spans="1:3">
      <c r="A50" s="213"/>
      <c r="B50" s="207" t="s">
        <v>282</v>
      </c>
      <c r="C50" s="207" t="s">
        <v>283</v>
      </c>
    </row>
    <row r="51" spans="1:3">
      <c r="A51" s="207" t="s">
        <v>38</v>
      </c>
      <c r="B51" s="207" t="s">
        <v>284</v>
      </c>
      <c r="C51" s="207" t="s">
        <v>285</v>
      </c>
    </row>
    <row r="52" spans="1:3">
      <c r="A52" s="215" t="s">
        <v>286</v>
      </c>
      <c r="B52" s="207" t="s">
        <v>227</v>
      </c>
      <c r="C52" s="207" t="s">
        <v>287</v>
      </c>
    </row>
    <row r="53" spans="1:3">
      <c r="A53" s="213"/>
      <c r="B53" s="207" t="s">
        <v>280</v>
      </c>
      <c r="C53" s="207" t="s">
        <v>288</v>
      </c>
    </row>
    <row r="54" spans="1:3">
      <c r="A54" s="207" t="s">
        <v>55</v>
      </c>
      <c r="B54" s="207" t="s">
        <v>229</v>
      </c>
      <c r="C54" s="207" t="s">
        <v>289</v>
      </c>
    </row>
    <row r="55" spans="1:3">
      <c r="A55" s="215" t="s">
        <v>290</v>
      </c>
      <c r="B55" s="207" t="s">
        <v>291</v>
      </c>
      <c r="C55" s="207" t="s">
        <v>292</v>
      </c>
    </row>
    <row r="56" spans="1:3">
      <c r="A56" s="213"/>
      <c r="B56" s="207" t="s">
        <v>253</v>
      </c>
      <c r="C56" s="207" t="s">
        <v>293</v>
      </c>
    </row>
    <row r="57" spans="1:3">
      <c r="A57" s="207" t="s">
        <v>294</v>
      </c>
      <c r="B57" s="207" t="s">
        <v>295</v>
      </c>
      <c r="C57" s="207" t="s">
        <v>296</v>
      </c>
    </row>
    <row r="58" spans="1:3">
      <c r="A58" s="207" t="s">
        <v>10</v>
      </c>
      <c r="B58" s="207" t="s">
        <v>280</v>
      </c>
      <c r="C58" s="207" t="s">
        <v>297</v>
      </c>
    </row>
    <row r="59" spans="1:3">
      <c r="A59" s="207" t="s">
        <v>298</v>
      </c>
      <c r="B59" s="207" t="s">
        <v>299</v>
      </c>
      <c r="C59" s="207" t="s">
        <v>300</v>
      </c>
    </row>
    <row r="60" spans="1:3">
      <c r="A60" s="207" t="s">
        <v>301</v>
      </c>
      <c r="B60" s="207" t="s">
        <v>302</v>
      </c>
      <c r="C60" s="207" t="s">
        <v>303</v>
      </c>
    </row>
    <row r="61" spans="1:3">
      <c r="A61" s="207" t="s">
        <v>304</v>
      </c>
      <c r="B61" s="207" t="s">
        <v>302</v>
      </c>
      <c r="C61" s="207" t="s">
        <v>305</v>
      </c>
    </row>
    <row r="62" spans="1:3">
      <c r="A62" s="207" t="s">
        <v>306</v>
      </c>
      <c r="B62" s="207" t="s">
        <v>249</v>
      </c>
      <c r="C62" s="207" t="s">
        <v>307</v>
      </c>
    </row>
    <row r="63" ht="28" spans="1:3">
      <c r="A63" s="207" t="s">
        <v>308</v>
      </c>
      <c r="B63" s="207" t="s">
        <v>282</v>
      </c>
      <c r="C63" s="207" t="s">
        <v>309</v>
      </c>
    </row>
    <row r="64" ht="28" spans="1:3">
      <c r="A64" s="207" t="s">
        <v>310</v>
      </c>
      <c r="B64" s="207" t="s">
        <v>282</v>
      </c>
      <c r="C64" s="207" t="s">
        <v>311</v>
      </c>
    </row>
    <row r="65" ht="140" spans="1:3">
      <c r="A65" s="207" t="s">
        <v>312</v>
      </c>
      <c r="B65" s="207" t="s">
        <v>313</v>
      </c>
      <c r="C65" s="207" t="s">
        <v>314</v>
      </c>
    </row>
    <row r="66" spans="1:3">
      <c r="A66" s="207" t="s">
        <v>10</v>
      </c>
      <c r="B66" s="207" t="s">
        <v>251</v>
      </c>
      <c r="C66" s="207" t="s">
        <v>315</v>
      </c>
    </row>
    <row r="67" spans="1:3">
      <c r="A67" s="207" t="s">
        <v>316</v>
      </c>
      <c r="B67" s="207" t="s">
        <v>317</v>
      </c>
      <c r="C67" s="207" t="s">
        <v>318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21"/>
  <sheetViews>
    <sheetView zoomScale="190" zoomScaleNormal="190" workbookViewId="0">
      <pane ySplit="1" topLeftCell="A8" activePane="bottomLeft" state="frozen"/>
      <selection/>
      <selection pane="bottomLeft" activeCell="F22" sqref="F22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319</v>
      </c>
      <c r="B1" s="199"/>
      <c r="C1" s="199"/>
      <c r="D1" s="200"/>
      <c r="E1" s="201"/>
      <c r="F1" s="195" t="s">
        <v>320</v>
      </c>
    </row>
    <row r="2" s="196" customFormat="1" spans="1:7">
      <c r="A2" s="134" t="s">
        <v>210</v>
      </c>
      <c r="B2" s="136"/>
      <c r="C2" s="114" t="s">
        <v>321</v>
      </c>
      <c r="D2" s="114" t="s">
        <v>322</v>
      </c>
      <c r="E2" s="137"/>
      <c r="F2" s="114" t="s">
        <v>210</v>
      </c>
      <c r="G2" s="114" t="s">
        <v>323</v>
      </c>
    </row>
    <row r="3" spans="1:7">
      <c r="A3" s="202">
        <v>2025.1</v>
      </c>
      <c r="B3" s="114">
        <v>11</v>
      </c>
      <c r="C3" s="114">
        <v>113</v>
      </c>
      <c r="F3" s="114" t="s">
        <v>324</v>
      </c>
      <c r="G3" s="114" t="s">
        <v>325</v>
      </c>
    </row>
    <row r="4" spans="1:7">
      <c r="A4" s="203"/>
      <c r="B4" s="114">
        <v>15</v>
      </c>
      <c r="C4" s="114">
        <v>163</v>
      </c>
      <c r="F4" s="114" t="s">
        <v>326</v>
      </c>
      <c r="G4" s="114" t="s">
        <v>327</v>
      </c>
    </row>
    <row r="5" spans="1:7">
      <c r="A5" s="203"/>
      <c r="B5" s="114">
        <v>17</v>
      </c>
      <c r="C5" s="114">
        <v>158</v>
      </c>
      <c r="F5" s="114" t="s">
        <v>328</v>
      </c>
      <c r="G5" s="114" t="s">
        <v>329</v>
      </c>
    </row>
    <row r="6" spans="1:7">
      <c r="A6" s="203"/>
      <c r="B6" s="114">
        <v>22</v>
      </c>
      <c r="C6" s="114">
        <v>70</v>
      </c>
      <c r="F6" s="204" t="s">
        <v>330</v>
      </c>
      <c r="G6" s="114" t="s">
        <v>331</v>
      </c>
    </row>
    <row r="7" spans="1:7">
      <c r="A7" s="203"/>
      <c r="B7" s="114">
        <v>24</v>
      </c>
      <c r="C7" s="114">
        <v>180</v>
      </c>
      <c r="F7" s="205"/>
      <c r="G7" s="114" t="s">
        <v>332</v>
      </c>
    </row>
    <row r="8" spans="1:7">
      <c r="A8" s="203"/>
      <c r="B8" s="114">
        <v>29</v>
      </c>
      <c r="C8" s="114">
        <v>135</v>
      </c>
      <c r="F8" s="114" t="s">
        <v>333</v>
      </c>
      <c r="G8" s="114" t="s">
        <v>334</v>
      </c>
    </row>
    <row r="9" spans="1:7">
      <c r="A9" s="205"/>
      <c r="B9" s="114">
        <v>31</v>
      </c>
      <c r="C9" s="114">
        <v>89</v>
      </c>
      <c r="F9" s="114" t="s">
        <v>335</v>
      </c>
      <c r="G9" s="114" t="s">
        <v>336</v>
      </c>
    </row>
    <row r="10" spans="1:7">
      <c r="A10" s="204">
        <v>2025.11</v>
      </c>
      <c r="B10" s="114">
        <v>5</v>
      </c>
      <c r="C10" s="114">
        <v>118</v>
      </c>
      <c r="F10" s="114" t="s">
        <v>337</v>
      </c>
      <c r="G10" s="114" t="s">
        <v>338</v>
      </c>
    </row>
    <row r="11" spans="1:7">
      <c r="A11" s="203"/>
      <c r="B11" s="114">
        <v>7</v>
      </c>
      <c r="C11" s="114">
        <v>119</v>
      </c>
      <c r="F11" s="204" t="s">
        <v>339</v>
      </c>
      <c r="G11" s="114" t="s">
        <v>340</v>
      </c>
    </row>
    <row r="12" spans="1:7">
      <c r="A12" s="205"/>
      <c r="B12" s="114">
        <v>14</v>
      </c>
      <c r="C12" s="114">
        <v>63</v>
      </c>
      <c r="F12" s="203"/>
      <c r="G12" s="114" t="s">
        <v>332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334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341</v>
      </c>
      <c r="G14" s="114" t="s">
        <v>342</v>
      </c>
    </row>
    <row r="15" spans="1:7">
      <c r="A15" s="114" t="s">
        <v>339</v>
      </c>
      <c r="C15" s="114">
        <v>15</v>
      </c>
      <c r="F15" s="114" t="s">
        <v>343</v>
      </c>
      <c r="G15" s="114" t="s">
        <v>336</v>
      </c>
    </row>
    <row r="16" spans="1:7">
      <c r="A16" s="114" t="s">
        <v>343</v>
      </c>
      <c r="C16" s="114">
        <v>6</v>
      </c>
      <c r="F16" s="114" t="s">
        <v>344</v>
      </c>
      <c r="G16" s="114" t="s">
        <v>345</v>
      </c>
    </row>
    <row r="17" spans="1:7">
      <c r="A17" s="114" t="s">
        <v>346</v>
      </c>
      <c r="C17" s="114">
        <v>17</v>
      </c>
      <c r="F17" s="114" t="s">
        <v>346</v>
      </c>
      <c r="G17" s="114" t="s">
        <v>334</v>
      </c>
    </row>
    <row r="18" spans="1:7">
      <c r="F18" s="114" t="s">
        <v>347</v>
      </c>
      <c r="G18" s="114" t="s">
        <v>336</v>
      </c>
    </row>
    <row r="19" spans="1:7">
      <c r="F19" s="114" t="s">
        <v>348</v>
      </c>
      <c r="G19" s="114" t="s">
        <v>349</v>
      </c>
    </row>
    <row r="20" spans="1:7">
      <c r="F20" s="204" t="s">
        <v>350</v>
      </c>
      <c r="G20" s="114" t="s">
        <v>351</v>
      </c>
    </row>
    <row r="21" spans="1:7">
      <c r="F21" s="205"/>
      <c r="G21" s="114" t="s">
        <v>352</v>
      </c>
    </row>
  </sheetData>
  <mergeCells count="9">
    <mergeCell ref="A1:D1"/>
    <mergeCell ref="F1:G1"/>
    <mergeCell ref="A2:B2"/>
    <mergeCell ref="A3:A9"/>
    <mergeCell ref="A10:A12"/>
    <mergeCell ref="A13:A14"/>
    <mergeCell ref="F6:F7"/>
    <mergeCell ref="F11:F13"/>
    <mergeCell ref="F20:F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J57"/>
  <sheetViews>
    <sheetView tabSelected="1" workbookViewId="0">
      <pane xSplit="1" ySplit="2" topLeftCell="AP3" activePane="bottomRight" state="frozen"/>
      <selection/>
      <selection pane="topRight"/>
      <selection pane="bottomLeft"/>
      <selection pane="bottomRight" activeCell="BM43" sqref="BM43"/>
    </sheetView>
  </sheetViews>
  <sheetFormatPr defaultColWidth="8.72727272727273" defaultRowHeight="14"/>
  <cols>
    <col min="1" max="1" width="4.96363636363636" customWidth="1"/>
    <col min="2" max="81" width="3.23636363636364" customWidth="1"/>
    <col min="82" max="84" width="5.44545454545455" style="171" customWidth="1"/>
    <col min="85" max="85" width="7.18181818181818" style="171" customWidth="1"/>
    <col min="86" max="88" width="5.44545454545455" style="171" customWidth="1"/>
  </cols>
  <sheetData>
    <row r="1" spans="1:88">
      <c r="A1" s="172" t="s">
        <v>353</v>
      </c>
      <c r="B1" s="173" t="s">
        <v>354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355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356</v>
      </c>
      <c r="AK1" s="176"/>
      <c r="AL1" s="176"/>
      <c r="AM1" s="175" t="s">
        <v>357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358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6"/>
      <c r="CB1" s="176"/>
      <c r="CC1" s="176"/>
      <c r="CD1" s="177" t="s">
        <v>359</v>
      </c>
      <c r="CE1" s="178"/>
      <c r="CF1" s="178"/>
      <c r="CG1" s="178"/>
      <c r="CH1" s="178"/>
      <c r="CI1" s="178"/>
      <c r="CJ1" s="179"/>
    </row>
    <row r="2" s="169" customFormat="1" ht="28" spans="1:88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20</v>
      </c>
      <c r="BV2" s="180">
        <v>21</v>
      </c>
      <c r="BW2" s="180">
        <v>22</v>
      </c>
      <c r="BX2" s="180">
        <v>23</v>
      </c>
      <c r="BY2" s="180">
        <v>24</v>
      </c>
      <c r="BZ2" s="180">
        <v>27</v>
      </c>
      <c r="CA2" s="180">
        <v>28</v>
      </c>
      <c r="CB2" s="180">
        <v>29</v>
      </c>
      <c r="CC2" s="180">
        <v>30</v>
      </c>
      <c r="CD2" s="181" t="s">
        <v>360</v>
      </c>
      <c r="CE2" s="181" t="s">
        <v>361</v>
      </c>
      <c r="CF2" s="181" t="s">
        <v>362</v>
      </c>
      <c r="CG2" s="181" t="s">
        <v>363</v>
      </c>
      <c r="CH2" s="182" t="s">
        <v>364</v>
      </c>
      <c r="CI2" s="182" t="s">
        <v>365</v>
      </c>
      <c r="CJ2" s="182" t="s">
        <v>366</v>
      </c>
    </row>
    <row r="3" customHeight="1" spans="1:88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83">
        <f>SUM(B3:CC3)</f>
        <v>3</v>
      </c>
      <c r="CE3" s="183" cm="1">
        <f t="array" ref="CE3">SUMPRODUCT(--(B3:CC3=INT(B3:CC3)),--(B3:CC3&gt;0))</f>
        <v>2</v>
      </c>
      <c r="CF3" s="183" cm="1">
        <f t="array" ref="CF3">MAX(FREQUENCY(IF((B3:CC3=INT(B3:CC3))*(B3:CC3&gt;0),COLUMN(B3:CC3)),IF((B3:CC3&lt;&gt;INT(B3:CC3))+(B3:CC3&lt;=0),COLUMN(B3:CC3))))</f>
        <v>1</v>
      </c>
      <c r="CG3" s="184" cm="1">
        <f t="array" ref="CG3">SUMPRODUCT(--(B3:CC3=INT(B3:CC3)),--(B3:CC3&gt;0))/80*100%</f>
        <v>0.025</v>
      </c>
      <c r="CH3" s="185">
        <f t="shared" ref="CH3:CH53" si="0">RANK(CD3,CD$3:CD$53,0)</f>
        <v>33</v>
      </c>
      <c r="CI3" s="185">
        <f t="shared" ref="CI3:CI53" si="1">RANK(CE3,CE$3:CE$53,0)</f>
        <v>34</v>
      </c>
      <c r="CJ3" s="185">
        <f t="shared" ref="CJ3:CJ53" si="2">RANK(CF3,CF$3:CF$53,0)</f>
        <v>27</v>
      </c>
    </row>
    <row r="4" customHeight="1" spans="1:88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83">
        <f t="shared" ref="CD4:CD35" si="3">SUM(B4:CC4)</f>
        <v>30</v>
      </c>
      <c r="CE4" s="183" cm="1">
        <f t="array" ref="CE4">SUMPRODUCT(--(B4:CC4=INT(B4:CC4)),--(B4:CC4&gt;0))</f>
        <v>28</v>
      </c>
      <c r="CF4" s="183" cm="1">
        <f t="array" ref="CF4">MAX(FREQUENCY(IF((B4:CC4=INT(B4:CC4))*(B4:CC4&gt;0),COLUMN(B4:CC4)),IF((B4:CC4&lt;&gt;INT(B4:CC4))+(B4:CC4&lt;=0),COLUMN(B4:CC4))))</f>
        <v>6</v>
      </c>
      <c r="CG4" s="184" cm="1">
        <f t="array" ref="CG4">SUMPRODUCT(--(B4:CC4=INT(B4:CC4)),--(B4:CC4&gt;0))/80*100%</f>
        <v>0.35</v>
      </c>
      <c r="CH4" s="185">
        <f t="shared" si="0"/>
        <v>7</v>
      </c>
      <c r="CI4" s="185">
        <f t="shared" si="1"/>
        <v>5</v>
      </c>
      <c r="CJ4" s="185">
        <f t="shared" si="2"/>
        <v>4</v>
      </c>
    </row>
    <row r="5" customHeight="1" spans="1:88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115"/>
      <c r="CC5" s="115"/>
      <c r="CD5" s="183">
        <f t="shared" si="3"/>
        <v>7</v>
      </c>
      <c r="CE5" s="183" cm="1">
        <f t="array" ref="CE5">SUMPRODUCT(--(B5:CC5=INT(B5:CC5)),--(B5:CC5&gt;0))</f>
        <v>7</v>
      </c>
      <c r="CF5" s="183" cm="1">
        <f t="array" ref="CF5">MAX(FREQUENCY(IF((B5:CC5=INT(B5:CC5))*(B5:CC5&gt;0),COLUMN(B5:CC5)),IF((B5:CC5&lt;&gt;INT(B5:CC5))+(B5:CC5&lt;=0),COLUMN(B5:CC5))))</f>
        <v>3</v>
      </c>
      <c r="CG5" s="184" cm="1">
        <f t="array" ref="CG5">SUMPRODUCT(--(B5:CC5=INT(B5:CC5)),--(B5:CC5&gt;0))/80*100%</f>
        <v>0.0875</v>
      </c>
      <c r="CH5" s="185">
        <f t="shared" si="0"/>
        <v>26</v>
      </c>
      <c r="CI5" s="185">
        <f t="shared" si="1"/>
        <v>26</v>
      </c>
      <c r="CJ5" s="185">
        <f t="shared" si="2"/>
        <v>18</v>
      </c>
    </row>
    <row r="6" customHeight="1" spans="1:88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83">
        <f t="shared" si="3"/>
        <v>9</v>
      </c>
      <c r="CE6" s="183" cm="1">
        <f t="array" ref="CE6">SUMPRODUCT(--(B6:CC6=INT(B6:CC6)),--(B6:CC6&gt;0))</f>
        <v>9</v>
      </c>
      <c r="CF6" s="183" cm="1">
        <f t="array" ref="CF6">MAX(FREQUENCY(IF((B6:CC6=INT(B6:CC6))*(B6:CC6&gt;0),COLUMN(B6:CC6)),IF((B6:CC6&lt;&gt;INT(B6:CC6))+(B6:CC6&lt;=0),COLUMN(B6:CC6))))</f>
        <v>3</v>
      </c>
      <c r="CG6" s="184" cm="1">
        <f t="array" ref="CG6">SUMPRODUCT(--(B6:CC6=INT(B6:CC6)),--(B6:CC6&gt;0))/80*100%</f>
        <v>0.1125</v>
      </c>
      <c r="CH6" s="185">
        <f t="shared" si="0"/>
        <v>23</v>
      </c>
      <c r="CI6" s="185">
        <f t="shared" si="1"/>
        <v>23</v>
      </c>
      <c r="CJ6" s="185">
        <f t="shared" si="2"/>
        <v>18</v>
      </c>
    </row>
    <row r="7" customHeight="1" spans="1:88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83">
        <f t="shared" si="3"/>
        <v>12</v>
      </c>
      <c r="CE7" s="183" cm="1">
        <f t="array" ref="CE7">SUMPRODUCT(--(B7:CC7=INT(B7:CC7)),--(B7:CC7&gt;0))</f>
        <v>11</v>
      </c>
      <c r="CF7" s="183" cm="1">
        <f t="array" ref="CF7">MAX(FREQUENCY(IF((B7:CC7=INT(B7:CC7))*(B7:CC7&gt;0),COLUMN(B7:CC7)),IF((B7:CC7&lt;&gt;INT(B7:CC7))+(B7:CC7&lt;=0),COLUMN(B7:CC7))))</f>
        <v>4</v>
      </c>
      <c r="CG7" s="184" cm="1">
        <f t="array" ref="CG7">SUMPRODUCT(--(B7:CC7=INT(B7:CC7)),--(B7:CC7&gt;0))/80*100%</f>
        <v>0.1375</v>
      </c>
      <c r="CH7" s="185">
        <f t="shared" si="0"/>
        <v>21</v>
      </c>
      <c r="CI7" s="185">
        <f t="shared" si="1"/>
        <v>21</v>
      </c>
      <c r="CJ7" s="185">
        <f t="shared" si="2"/>
        <v>13</v>
      </c>
    </row>
    <row r="8" customHeight="1" spans="1:88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83">
        <f t="shared" si="3"/>
        <v>33</v>
      </c>
      <c r="CE8" s="183" cm="1">
        <f t="array" ref="CE8">SUMPRODUCT(--(B8:CC8=INT(B8:CC8)),--(B8:CC8&gt;0))</f>
        <v>32</v>
      </c>
      <c r="CF8" s="183" cm="1">
        <f t="array" ref="CF8">MAX(FREQUENCY(IF((B8:CC8=INT(B8:CC8))*(B8:CC8&gt;0),COLUMN(B8:CC8)),IF((B8:CC8&lt;&gt;INT(B8:CC8))+(B8:CC8&lt;=0),COLUMN(B8:CC8))))</f>
        <v>5</v>
      </c>
      <c r="CG8" s="184" cm="1">
        <f t="array" ref="CG8">SUMPRODUCT(--(B8:CC8=INT(B8:CC8)),--(B8:CC8&gt;0))/80*100%</f>
        <v>0.4</v>
      </c>
      <c r="CH8" s="185">
        <f t="shared" si="0"/>
        <v>6</v>
      </c>
      <c r="CI8" s="185">
        <f t="shared" si="1"/>
        <v>3</v>
      </c>
      <c r="CJ8" s="185">
        <f t="shared" si="2"/>
        <v>7</v>
      </c>
    </row>
    <row r="9" customHeight="1" spans="1:88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15"/>
      <c r="CC9" s="115"/>
      <c r="CD9" s="183">
        <f t="shared" si="3"/>
        <v>29</v>
      </c>
      <c r="CE9" s="183" cm="1">
        <f t="array" ref="CE9">SUMPRODUCT(--(B9:CC9=INT(B9:CC9)),--(B9:CC9&gt;0))</f>
        <v>28</v>
      </c>
      <c r="CF9" s="183" cm="1">
        <f t="array" ref="CF9">MAX(FREQUENCY(IF((B9:CC9=INT(B9:CC9))*(B9:CC9&gt;0),COLUMN(B9:CC9)),IF((B9:CC9&lt;&gt;INT(B9:CC9))+(B9:CC9&lt;=0),COLUMN(B9:CC9))))</f>
        <v>5</v>
      </c>
      <c r="CG9" s="184" cm="1">
        <f t="array" ref="CG9">SUMPRODUCT(--(B9:CC9=INT(B9:CC9)),--(B9:CC9&gt;0))/80*100%</f>
        <v>0.35</v>
      </c>
      <c r="CH9" s="185">
        <f t="shared" si="0"/>
        <v>9</v>
      </c>
      <c r="CI9" s="185">
        <f t="shared" si="1"/>
        <v>5</v>
      </c>
      <c r="CJ9" s="185">
        <f t="shared" si="2"/>
        <v>7</v>
      </c>
    </row>
    <row r="10" customHeight="1" spans="1:88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15"/>
      <c r="CB10" s="115"/>
      <c r="CC10" s="115"/>
      <c r="CD10" s="183">
        <f t="shared" si="3"/>
        <v>3</v>
      </c>
      <c r="CE10" s="183" cm="1">
        <f t="array" ref="CE10">SUMPRODUCT(--(B10:CC10=INT(B10:CC10)),--(B10:CC10&gt;0))</f>
        <v>3</v>
      </c>
      <c r="CF10" s="183" cm="1">
        <f t="array" ref="CF10">MAX(FREQUENCY(IF((B10:CC10=INT(B10:CC10))*(B10:CC10&gt;0),COLUMN(B10:CC10)),IF((B10:CC10&lt;&gt;INT(B10:CC10))+(B10:CC10&lt;=0),COLUMN(B10:CC10))))</f>
        <v>2</v>
      </c>
      <c r="CG10" s="184" cm="1">
        <f t="array" ref="CG10">SUMPRODUCT(--(B10:CC10=INT(B10:CC10)),--(B10:CC10&gt;0))/80*100%</f>
        <v>0.0375</v>
      </c>
      <c r="CH10" s="185">
        <f t="shared" si="0"/>
        <v>33</v>
      </c>
      <c r="CI10" s="185">
        <f t="shared" si="1"/>
        <v>33</v>
      </c>
      <c r="CJ10" s="185">
        <f t="shared" si="2"/>
        <v>24</v>
      </c>
    </row>
    <row r="11" customHeight="1" spans="1:88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15"/>
      <c r="CC11" s="115"/>
      <c r="CD11" s="183">
        <f t="shared" si="3"/>
        <v>19</v>
      </c>
      <c r="CE11" s="183" cm="1">
        <f t="array" ref="CE11">SUMPRODUCT(--(B11:CC11=INT(B11:CC11)),--(B11:CC11&gt;0))</f>
        <v>15</v>
      </c>
      <c r="CF11" s="183" cm="1">
        <f t="array" ref="CF11">MAX(FREQUENCY(IF((B11:CC11=INT(B11:CC11))*(B11:CC11&gt;0),COLUMN(B11:CC11)),IF((B11:CC11&lt;&gt;INT(B11:CC11))+(B11:CC11&lt;=0),COLUMN(B11:CC11))))</f>
        <v>2</v>
      </c>
      <c r="CG11" s="184" cm="1">
        <f t="array" ref="CG11">SUMPRODUCT(--(B11:CC11=INT(B11:CC11)),--(B11:CC11&gt;0))/80*100%</f>
        <v>0.1875</v>
      </c>
      <c r="CH11" s="185">
        <f t="shared" si="0"/>
        <v>16</v>
      </c>
      <c r="CI11" s="185">
        <f t="shared" si="1"/>
        <v>18</v>
      </c>
      <c r="CJ11" s="185">
        <f t="shared" si="2"/>
        <v>24</v>
      </c>
    </row>
    <row r="12" customHeight="1" spans="1:88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83">
        <f t="shared" si="3"/>
        <v>2</v>
      </c>
      <c r="CE12" s="183" cm="1">
        <f t="array" ref="CE12">SUMPRODUCT(--(B12:CC12=INT(B12:CC12)),--(B12:CC12&gt;0))</f>
        <v>2</v>
      </c>
      <c r="CF12" s="183" cm="1">
        <f t="array" ref="CF12">MAX(FREQUENCY(IF((B12:CC12=INT(B12:CC12))*(B12:CC12&gt;0),COLUMN(B12:CC12)),IF((B12:CC12&lt;&gt;INT(B12:CC12))+(B12:CC12&lt;=0),COLUMN(B12:CC12))))</f>
        <v>1</v>
      </c>
      <c r="CG12" s="184" cm="1">
        <f t="array" ref="CG12">SUMPRODUCT(--(B12:CC12=INT(B12:CC12)),--(B12:CC12&gt;0))/80*100%</f>
        <v>0.025</v>
      </c>
      <c r="CH12" s="185">
        <f t="shared" si="0"/>
        <v>35</v>
      </c>
      <c r="CI12" s="185">
        <f t="shared" si="1"/>
        <v>34</v>
      </c>
      <c r="CJ12" s="185">
        <f t="shared" si="2"/>
        <v>27</v>
      </c>
    </row>
    <row r="13" customHeight="1" spans="1:88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5"/>
      <c r="CC13" s="115"/>
      <c r="CD13" s="183">
        <f t="shared" si="3"/>
        <v>20</v>
      </c>
      <c r="CE13" s="183" cm="1">
        <f t="array" ref="CE13">SUMPRODUCT(--(B13:CC13=INT(B13:CC13)),--(B13:CC13&gt;0))</f>
        <v>19</v>
      </c>
      <c r="CF13" s="183" cm="1">
        <f t="array" ref="CF13">MAX(FREQUENCY(IF((B13:CC13=INT(B13:CC13))*(B13:CC13&gt;0),COLUMN(B13:CC13)),IF((B13:CC13&lt;&gt;INT(B13:CC13))+(B13:CC13&lt;=0),COLUMN(B13:CC13))))</f>
        <v>4</v>
      </c>
      <c r="CG13" s="184" cm="1">
        <f t="array" ref="CG13">SUMPRODUCT(--(B13:CC13=INT(B13:CC13)),--(B13:CC13&gt;0))/80*100%</f>
        <v>0.2375</v>
      </c>
      <c r="CH13" s="185">
        <f t="shared" si="0"/>
        <v>14</v>
      </c>
      <c r="CI13" s="185">
        <f t="shared" si="1"/>
        <v>14</v>
      </c>
      <c r="CJ13" s="185">
        <f t="shared" si="2"/>
        <v>13</v>
      </c>
    </row>
    <row r="14" customHeight="1" spans="1:88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115"/>
      <c r="CC14" s="115"/>
      <c r="CD14" s="183">
        <f t="shared" si="3"/>
        <v>5</v>
      </c>
      <c r="CE14" s="183" cm="1">
        <f t="array" ref="CE14">SUMPRODUCT(--(B14:CC14=INT(B14:CC14)),--(B14:CC14&gt;0))</f>
        <v>5</v>
      </c>
      <c r="CF14" s="183" cm="1">
        <f t="array" ref="CF14">MAX(FREQUENCY(IF((B14:CC14=INT(B14:CC14))*(B14:CC14&gt;0),COLUMN(B14:CC14)),IF((B14:CC14&lt;&gt;INT(B14:CC14))+(B14:CC14&lt;=0),COLUMN(B14:CC14))))</f>
        <v>1</v>
      </c>
      <c r="CG14" s="184" cm="1">
        <f t="array" ref="CG14">SUMPRODUCT(--(B14:CC14=INT(B14:CC14)),--(B14:CC14&gt;0))/80*100%</f>
        <v>0.0625</v>
      </c>
      <c r="CH14" s="185">
        <f t="shared" si="0"/>
        <v>28</v>
      </c>
      <c r="CI14" s="185">
        <f t="shared" si="1"/>
        <v>27</v>
      </c>
      <c r="CJ14" s="185">
        <f t="shared" si="2"/>
        <v>27</v>
      </c>
    </row>
    <row r="15" customHeight="1" spans="1:88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115"/>
      <c r="CC15" s="115"/>
      <c r="CD15" s="183">
        <f t="shared" si="3"/>
        <v>30</v>
      </c>
      <c r="CE15" s="183" cm="1">
        <f t="array" ref="CE15">SUMPRODUCT(--(B15:CC15=INT(B15:CC15)),--(B15:CC15&gt;0))</f>
        <v>26</v>
      </c>
      <c r="CF15" s="183" cm="1">
        <f t="array" ref="CF15">MAX(FREQUENCY(IF((B15:CC15=INT(B15:CC15))*(B15:CC15&gt;0),COLUMN(B15:CC15)),IF((B15:CC15&lt;&gt;INT(B15:CC15))+(B15:CC15&lt;=0),COLUMN(B15:CC15))))</f>
        <v>4</v>
      </c>
      <c r="CG15" s="184" cm="1">
        <f t="array" ref="CG15">SUMPRODUCT(--(B15:CC15=INT(B15:CC15)),--(B15:CC15&gt;0))/80*100%</f>
        <v>0.325</v>
      </c>
      <c r="CH15" s="185">
        <f t="shared" si="0"/>
        <v>7</v>
      </c>
      <c r="CI15" s="185">
        <f t="shared" si="1"/>
        <v>9</v>
      </c>
      <c r="CJ15" s="185">
        <f t="shared" si="2"/>
        <v>13</v>
      </c>
    </row>
    <row r="16" customHeight="1" spans="1:88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83">
        <f t="shared" si="3"/>
        <v>5</v>
      </c>
      <c r="CE16" s="183" cm="1">
        <f t="array" ref="CE16">SUMPRODUCT(--(B16:CC16=INT(B16:CC16)),--(B16:CC16&gt;0))</f>
        <v>5</v>
      </c>
      <c r="CF16" s="183" cm="1">
        <f t="array" ref="CF16">MAX(FREQUENCY(IF((B16:CC16=INT(B16:CC16))*(B16:CC16&gt;0),COLUMN(B16:CC16)),IF((B16:CC16&lt;&gt;INT(B16:CC16))+(B16:CC16&lt;=0),COLUMN(B16:CC16))))</f>
        <v>1</v>
      </c>
      <c r="CG16" s="184" cm="1">
        <f t="array" ref="CG16">SUMPRODUCT(--(B16:CC16=INT(B16:CC16)),--(B16:CC16&gt;0))/80*100%</f>
        <v>0.0625</v>
      </c>
      <c r="CH16" s="185">
        <f t="shared" si="0"/>
        <v>28</v>
      </c>
      <c r="CI16" s="185">
        <f t="shared" si="1"/>
        <v>27</v>
      </c>
      <c r="CJ16" s="185">
        <f t="shared" si="2"/>
        <v>27</v>
      </c>
    </row>
    <row r="17" customHeight="1" spans="1:88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115"/>
      <c r="CC17" s="115"/>
      <c r="CD17" s="183">
        <f t="shared" si="3"/>
        <v>5</v>
      </c>
      <c r="CE17" s="183" cm="1">
        <f t="array" ref="CE17">SUMPRODUCT(--(B17:CC17=INT(B17:CC17)),--(B17:CC17&gt;0))</f>
        <v>5</v>
      </c>
      <c r="CF17" s="183" cm="1">
        <f t="array" ref="CF17">MAX(FREQUENCY(IF((B17:CC17=INT(B17:CC17))*(B17:CC17&gt;0),COLUMN(B17:CC17)),IF((B17:CC17&lt;&gt;INT(B17:CC17))+(B17:CC17&lt;=0),COLUMN(B17:CC17))))</f>
        <v>1</v>
      </c>
      <c r="CG17" s="184" cm="1">
        <f t="array" ref="CG17">SUMPRODUCT(--(B17:CC17=INT(B17:CC17)),--(B17:CC17&gt;0))/80*100%</f>
        <v>0.0625</v>
      </c>
      <c r="CH17" s="185">
        <f t="shared" si="0"/>
        <v>28</v>
      </c>
      <c r="CI17" s="185">
        <f t="shared" si="1"/>
        <v>27</v>
      </c>
      <c r="CJ17" s="185">
        <f t="shared" si="2"/>
        <v>27</v>
      </c>
    </row>
    <row r="18" customHeight="1" spans="1:88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83">
        <f t="shared" si="3"/>
        <v>1</v>
      </c>
      <c r="CE18" s="183" cm="1">
        <f t="array" ref="CE18">SUMPRODUCT(--(B18:CC18=INT(B18:CC18)),--(B18:CC18&gt;0))</f>
        <v>1</v>
      </c>
      <c r="CF18" s="183" cm="1">
        <f t="array" ref="CF18">MAX(FREQUENCY(IF((B18:CC18=INT(B18:CC18))*(B18:CC18&gt;0),COLUMN(B18:CC18)),IF((B18:CC18&lt;&gt;INT(B18:CC18))+(B18:CC18&lt;=0),COLUMN(B18:CC18))))</f>
        <v>1</v>
      </c>
      <c r="CG18" s="184" cm="1">
        <f t="array" ref="CG18">SUMPRODUCT(--(B18:CC18=INT(B18:CC18)),--(B18:CC18&gt;0))/80*100%</f>
        <v>0.0125</v>
      </c>
      <c r="CH18" s="185">
        <f t="shared" si="0"/>
        <v>39</v>
      </c>
      <c r="CI18" s="185">
        <f t="shared" si="1"/>
        <v>39</v>
      </c>
      <c r="CJ18" s="185">
        <f t="shared" si="2"/>
        <v>27</v>
      </c>
    </row>
    <row r="19" customHeight="1" spans="1:88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5"/>
      <c r="CC19" s="115"/>
      <c r="CD19" s="183">
        <f t="shared" si="3"/>
        <v>13</v>
      </c>
      <c r="CE19" s="183" cm="1">
        <f t="array" ref="CE19">SUMPRODUCT(--(B19:CC19=INT(B19:CC19)),--(B19:CC19&gt;0))</f>
        <v>12</v>
      </c>
      <c r="CF19" s="183" cm="1">
        <f t="array" ref="CF19">MAX(FREQUENCY(IF((B19:CC19=INT(B19:CC19))*(B19:CC19&gt;0),COLUMN(B19:CC19)),IF((B19:CC19&lt;&gt;INT(B19:CC19))+(B19:CC19&lt;=0),COLUMN(B19:CC19))))</f>
        <v>2</v>
      </c>
      <c r="CG19" s="184" cm="1">
        <f t="array" ref="CG19">SUMPRODUCT(--(B19:CC19=INT(B19:CC19)),--(B19:CC19&gt;0))/80*100%</f>
        <v>0.15</v>
      </c>
      <c r="CH19" s="185">
        <f t="shared" si="0"/>
        <v>20</v>
      </c>
      <c r="CI19" s="185">
        <f t="shared" si="1"/>
        <v>20</v>
      </c>
      <c r="CJ19" s="185">
        <f t="shared" si="2"/>
        <v>24</v>
      </c>
    </row>
    <row r="20" customHeight="1" spans="1:88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83">
        <f t="shared" si="3"/>
        <v>2</v>
      </c>
      <c r="CE20" s="183" cm="1">
        <f t="array" ref="CE20">SUMPRODUCT(--(B20:CC20=INT(B20:CC20)),--(B20:CC20&gt;0))</f>
        <v>2</v>
      </c>
      <c r="CF20" s="183" cm="1">
        <f t="array" ref="CF20">MAX(FREQUENCY(IF((B20:CC20=INT(B20:CC20))*(B20:CC20&gt;0),COLUMN(B20:CC20)),IF((B20:CC20&lt;&gt;INT(B20:CC20))+(B20:CC20&lt;=0),COLUMN(B20:CC20))))</f>
        <v>1</v>
      </c>
      <c r="CG20" s="184" cm="1">
        <f t="array" ref="CG20">SUMPRODUCT(--(B20:CC20=INT(B20:CC20)),--(B20:CC20&gt;0))/80*100%</f>
        <v>0.025</v>
      </c>
      <c r="CH20" s="185">
        <f t="shared" si="0"/>
        <v>35</v>
      </c>
      <c r="CI20" s="185">
        <f t="shared" si="1"/>
        <v>34</v>
      </c>
      <c r="CJ20" s="185">
        <f t="shared" si="2"/>
        <v>27</v>
      </c>
    </row>
    <row r="21" customHeight="1" spans="1:88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83">
        <f t="shared" si="3"/>
        <v>6</v>
      </c>
      <c r="CE21" s="183" cm="1">
        <f t="array" ref="CE21">SUMPRODUCT(--(B21:CC21=INT(B21:CC21)),--(B21:CC21&gt;0))</f>
        <v>5</v>
      </c>
      <c r="CF21" s="183" cm="1">
        <f t="array" ref="CF21">MAX(FREQUENCY(IF((B21:CC21=INT(B21:CC21))*(B21:CC21&gt;0),COLUMN(B21:CC21)),IF((B21:CC21&lt;&gt;INT(B21:CC21))+(B21:CC21&lt;=0),COLUMN(B21:CC21))))</f>
        <v>1</v>
      </c>
      <c r="CG21" s="184" cm="1">
        <f t="array" ref="CG21">SUMPRODUCT(--(B21:CC21=INT(B21:CC21)),--(B21:CC21&gt;0))/80*100%</f>
        <v>0.0625</v>
      </c>
      <c r="CH21" s="185">
        <f t="shared" si="0"/>
        <v>27</v>
      </c>
      <c r="CI21" s="185">
        <f t="shared" si="1"/>
        <v>27</v>
      </c>
      <c r="CJ21" s="185">
        <f t="shared" si="2"/>
        <v>27</v>
      </c>
    </row>
    <row r="22" customHeight="1" spans="1:88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115"/>
      <c r="CC22" s="115"/>
      <c r="CD22" s="183">
        <f t="shared" si="3"/>
        <v>29</v>
      </c>
      <c r="CE22" s="183" cm="1">
        <f t="array" ref="CE22">SUMPRODUCT(--(B22:CC22=INT(B22:CC22)),--(B22:CC22&gt;0))</f>
        <v>25</v>
      </c>
      <c r="CF22" s="183" cm="1">
        <f t="array" ref="CF22">MAX(FREQUENCY(IF((B22:CC22=INT(B22:CC22))*(B22:CC22&gt;0),COLUMN(B22:CC22)),IF((B22:CC22&lt;&gt;INT(B22:CC22))+(B22:CC22&lt;=0),COLUMN(B22:CC22))))</f>
        <v>5</v>
      </c>
      <c r="CG22" s="184" cm="1">
        <f t="array" ref="CG22">SUMPRODUCT(--(B22:CC22=INT(B22:CC22)),--(B22:CC22&gt;0))/80*100%</f>
        <v>0.3125</v>
      </c>
      <c r="CH22" s="185">
        <f t="shared" si="0"/>
        <v>9</v>
      </c>
      <c r="CI22" s="185">
        <f t="shared" si="1"/>
        <v>10</v>
      </c>
      <c r="CJ22" s="185">
        <f t="shared" si="2"/>
        <v>7</v>
      </c>
    </row>
    <row r="23" customHeight="1" spans="1:88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83">
        <f t="shared" si="3"/>
        <v>1</v>
      </c>
      <c r="CE23" s="183" cm="1">
        <f t="array" ref="CE23">SUMPRODUCT(--(B23:CC23=INT(B23:CC23)),--(B23:CC23&gt;0))</f>
        <v>1</v>
      </c>
      <c r="CF23" s="183" cm="1">
        <f t="array" ref="CF23">MAX(FREQUENCY(IF((B23:CC23=INT(B23:CC23))*(B23:CC23&gt;0),COLUMN(B23:CC23)),IF((B23:CC23&lt;&gt;INT(B23:CC23))+(B23:CC23&lt;=0),COLUMN(B23:CC23))))</f>
        <v>1</v>
      </c>
      <c r="CG23" s="184" cm="1">
        <f t="array" ref="CG23">SUMPRODUCT(--(B23:CC23=INT(B23:CC23)),--(B23:CC23&gt;0))/80*100%</f>
        <v>0.0125</v>
      </c>
      <c r="CH23" s="185">
        <f t="shared" si="0"/>
        <v>39</v>
      </c>
      <c r="CI23" s="185">
        <f t="shared" si="1"/>
        <v>39</v>
      </c>
      <c r="CJ23" s="185">
        <f t="shared" si="2"/>
        <v>27</v>
      </c>
    </row>
    <row r="24" customHeight="1" spans="1:88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115"/>
      <c r="CC24" s="115"/>
      <c r="CD24" s="183">
        <f t="shared" si="3"/>
        <v>18</v>
      </c>
      <c r="CE24" s="183" cm="1">
        <f t="array" ref="CE24">SUMPRODUCT(--(B24:CC24=INT(B24:CC24)),--(B24:CC24&gt;0))</f>
        <v>18</v>
      </c>
      <c r="CF24" s="183" cm="1">
        <f t="array" ref="CF24">MAX(FREQUENCY(IF((B24:CC24=INT(B24:CC24))*(B24:CC24&gt;0),COLUMN(B24:CC24)),IF((B24:CC24&lt;&gt;INT(B24:CC24))+(B24:CC24&lt;=0),COLUMN(B24:CC24))))</f>
        <v>4</v>
      </c>
      <c r="CG24" s="184" cm="1">
        <f t="array" ref="CG24">SUMPRODUCT(--(B24:CC24=INT(B24:CC24)),--(B24:CC24&gt;0))/80*100%</f>
        <v>0.225</v>
      </c>
      <c r="CH24" s="185">
        <f t="shared" si="0"/>
        <v>17</v>
      </c>
      <c r="CI24" s="185">
        <f t="shared" si="1"/>
        <v>15</v>
      </c>
      <c r="CJ24" s="185">
        <f t="shared" si="2"/>
        <v>13</v>
      </c>
    </row>
    <row r="25" customHeight="1" spans="1:88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83">
        <f t="shared" si="3"/>
        <v>1</v>
      </c>
      <c r="CE25" s="183" cm="1">
        <f t="array" ref="CE25">SUMPRODUCT(--(B25:CC25=INT(B25:CC25)),--(B25:CC25&gt;0))</f>
        <v>1</v>
      </c>
      <c r="CF25" s="183" cm="1">
        <f t="array" ref="CF25">MAX(FREQUENCY(IF((B25:CC25=INT(B25:CC25))*(B25:CC25&gt;0),COLUMN(B25:CC25)),IF((B25:CC25&lt;&gt;INT(B25:CC25))+(B25:CC25&lt;=0),COLUMN(B25:CC25))))</f>
        <v>1</v>
      </c>
      <c r="CG25" s="184" cm="1">
        <f t="array" ref="CG25">SUMPRODUCT(--(B25:CC25=INT(B25:CC25)),--(B25:CC25&gt;0))/80*100%</f>
        <v>0.0125</v>
      </c>
      <c r="CH25" s="185">
        <f t="shared" si="0"/>
        <v>39</v>
      </c>
      <c r="CI25" s="185">
        <f t="shared" si="1"/>
        <v>39</v>
      </c>
      <c r="CJ25" s="185">
        <f t="shared" si="2"/>
        <v>27</v>
      </c>
    </row>
    <row r="26" customHeight="1" spans="1:88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83">
        <f t="shared" si="3"/>
        <v>0</v>
      </c>
      <c r="CE26" s="183" cm="1">
        <f t="array" ref="CE26">SUMPRODUCT(--(B26:CC26=INT(B26:CC26)),--(B26:CC26&gt;0))</f>
        <v>0</v>
      </c>
      <c r="CF26" s="183" cm="1">
        <f t="array" ref="CF26">MAX(FREQUENCY(IF((B26:CC26=INT(B26:CC26))*(B26:CC26&gt;0),COLUMN(B26:CC26)),IF((B26:CC26&lt;&gt;INT(B26:CC26))+(B26:CC26&lt;=0),COLUMN(B26:CC26))))</f>
        <v>0</v>
      </c>
      <c r="CG26" s="184" cm="1">
        <f t="array" ref="CG26">SUMPRODUCT(--(B26:CC26=INT(B26:CC26)),--(B26:CC26&gt;0))/80*100%</f>
        <v>0</v>
      </c>
      <c r="CH26" s="185">
        <f t="shared" si="0"/>
        <v>43</v>
      </c>
      <c r="CI26" s="185">
        <f t="shared" si="1"/>
        <v>43</v>
      </c>
      <c r="CJ26" s="185">
        <f t="shared" si="2"/>
        <v>43</v>
      </c>
    </row>
    <row r="27" customHeight="1" spans="1:88">
      <c r="A27" s="112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/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83">
        <f t="shared" si="3"/>
        <v>0</v>
      </c>
      <c r="CE27" s="183" cm="1">
        <f t="array" ref="CE27">SUMPRODUCT(--(B27:CC27=INT(B27:CC27)),--(B27:CC27&gt;0))</f>
        <v>0</v>
      </c>
      <c r="CF27" s="183" cm="1">
        <f t="array" ref="CF27">MAX(FREQUENCY(IF((B27:CC27=INT(B27:CC27))*(B27:CC27&gt;0),COLUMN(B27:CC27)),IF((B27:CC27&lt;&gt;INT(B27:CC27))+(B27:CC27&lt;=0),COLUMN(B27:CC27))))</f>
        <v>0</v>
      </c>
      <c r="CG27" s="184" cm="1">
        <f t="array" ref="CG27">SUMPRODUCT(--(B27:CC27=INT(B27:CC27)),--(B27:CC27&gt;0))/80*100%</f>
        <v>0</v>
      </c>
      <c r="CH27" s="185">
        <f t="shared" si="0"/>
        <v>43</v>
      </c>
      <c r="CI27" s="185">
        <f t="shared" si="1"/>
        <v>43</v>
      </c>
      <c r="CJ27" s="185">
        <f t="shared" si="2"/>
        <v>43</v>
      </c>
    </row>
    <row r="28" customHeight="1" spans="1:88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115"/>
      <c r="CC28" s="115"/>
      <c r="CD28" s="183">
        <f t="shared" si="3"/>
        <v>24</v>
      </c>
      <c r="CE28" s="183" cm="1">
        <f t="array" ref="CE28">SUMPRODUCT(--(B28:CC28=INT(B28:CC28)),--(B28:CC28&gt;0))</f>
        <v>21</v>
      </c>
      <c r="CF28" s="183" cm="1">
        <f t="array" ref="CF28">MAX(FREQUENCY(IF((B28:CC28=INT(B28:CC28))*(B28:CC28&gt;0),COLUMN(B28:CC28)),IF((B28:CC28&lt;&gt;INT(B28:CC28))+(B28:CC28&lt;=0),COLUMN(B28:CC28))))</f>
        <v>5</v>
      </c>
      <c r="CG28" s="184" cm="1">
        <f t="array" ref="CG28">SUMPRODUCT(--(B28:CC28=INT(B28:CC28)),--(B28:CC28&gt;0))/80*100%</f>
        <v>0.2625</v>
      </c>
      <c r="CH28" s="185">
        <f t="shared" si="0"/>
        <v>12</v>
      </c>
      <c r="CI28" s="185">
        <f t="shared" si="1"/>
        <v>12</v>
      </c>
      <c r="CJ28" s="185">
        <f t="shared" si="2"/>
        <v>7</v>
      </c>
    </row>
    <row r="29" customHeight="1" spans="1:88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115"/>
      <c r="CC29" s="115"/>
      <c r="CD29" s="183">
        <f t="shared" si="3"/>
        <v>16</v>
      </c>
      <c r="CE29" s="183" cm="1">
        <f t="array" ref="CE29">SUMPRODUCT(--(B29:CC29=INT(B29:CC29)),--(B29:CC29&gt;0))</f>
        <v>16</v>
      </c>
      <c r="CF29" s="183" cm="1">
        <f t="array" ref="CF29">MAX(FREQUENCY(IF((B29:CC29=INT(B29:CC29))*(B29:CC29&gt;0),COLUMN(B29:CC29)),IF((B29:CC29&lt;&gt;INT(B29:CC29))+(B29:CC29&lt;=0),COLUMN(B29:CC29))))</f>
        <v>5</v>
      </c>
      <c r="CG29" s="184" cm="1">
        <f t="array" ref="CG29">SUMPRODUCT(--(B29:CC29=INT(B29:CC29)),--(B29:CC29&gt;0))/80*100%</f>
        <v>0.2</v>
      </c>
      <c r="CH29" s="185">
        <f t="shared" si="0"/>
        <v>18</v>
      </c>
      <c r="CI29" s="185">
        <f t="shared" si="1"/>
        <v>17</v>
      </c>
      <c r="CJ29" s="185">
        <f t="shared" si="2"/>
        <v>7</v>
      </c>
    </row>
    <row r="30" customHeight="1" spans="1:88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83">
        <f t="shared" si="3"/>
        <v>12</v>
      </c>
      <c r="CE30" s="183" cm="1">
        <f t="array" ref="CE30">SUMPRODUCT(--(B30:CC30=INT(B30:CC30)),--(B30:CC30&gt;0))</f>
        <v>11</v>
      </c>
      <c r="CF30" s="183" cm="1">
        <f t="array" ref="CF30">MAX(FREQUENCY(IF((B30:CC30=INT(B30:CC30))*(B30:CC30&gt;0),COLUMN(B30:CC30)),IF((B30:CC30&lt;&gt;INT(B30:CC30))+(B30:CC30&lt;=0),COLUMN(B30:CC30))))</f>
        <v>4</v>
      </c>
      <c r="CG30" s="184" cm="1">
        <f t="array" ref="CG30">SUMPRODUCT(--(B30:CC30=INT(B30:CC30)),--(B30:CC30&gt;0))/80*100%</f>
        <v>0.1375</v>
      </c>
      <c r="CH30" s="185">
        <f t="shared" si="0"/>
        <v>21</v>
      </c>
      <c r="CI30" s="185">
        <f t="shared" si="1"/>
        <v>21</v>
      </c>
      <c r="CJ30" s="185">
        <f t="shared" si="2"/>
        <v>13</v>
      </c>
    </row>
    <row r="31" customHeight="1" spans="1:88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115"/>
      <c r="CC31" s="115"/>
      <c r="CD31" s="183">
        <f t="shared" si="3"/>
        <v>20</v>
      </c>
      <c r="CE31" s="183" cm="1">
        <f t="array" ref="CE31">SUMPRODUCT(--(B31:CC31=INT(B31:CC31)),--(B31:CC31&gt;0))</f>
        <v>18</v>
      </c>
      <c r="CF31" s="183" cm="1">
        <f t="array" ref="CF31">MAX(FREQUENCY(IF((B31:CC31=INT(B31:CC31))*(B31:CC31&gt;0),COLUMN(B31:CC31)),IF((B31:CC31&lt;&gt;INT(B31:CC31))+(B31:CC31&lt;=0),COLUMN(B31:CC31))))</f>
        <v>3</v>
      </c>
      <c r="CG31" s="184" cm="1">
        <f t="array" ref="CG31">SUMPRODUCT(--(B31:CC31=INT(B31:CC31)),--(B31:CC31&gt;0))/80*100%</f>
        <v>0.225</v>
      </c>
      <c r="CH31" s="185">
        <f t="shared" si="0"/>
        <v>14</v>
      </c>
      <c r="CI31" s="185">
        <f t="shared" si="1"/>
        <v>15</v>
      </c>
      <c r="CJ31" s="185">
        <f t="shared" si="2"/>
        <v>18</v>
      </c>
    </row>
    <row r="32" customHeight="1" spans="1:88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115"/>
      <c r="CC32" s="115"/>
      <c r="CD32" s="183">
        <f t="shared" si="3"/>
        <v>24</v>
      </c>
      <c r="CE32" s="183" cm="1">
        <f t="array" ref="CE32">SUMPRODUCT(--(B32:CC32=INT(B32:CC32)),--(B32:CC32&gt;0))</f>
        <v>22</v>
      </c>
      <c r="CF32" s="183" cm="1">
        <f t="array" ref="CF32">MAX(FREQUENCY(IF((B32:CC32=INT(B32:CC32))*(B32:CC32&gt;0),COLUMN(B32:CC32)),IF((B32:CC32&lt;&gt;INT(B32:CC32))+(B32:CC32&lt;=0),COLUMN(B32:CC32))))</f>
        <v>7</v>
      </c>
      <c r="CG32" s="184" cm="1">
        <f t="array" ref="CG32">SUMPRODUCT(--(B32:CC32=INT(B32:CC32)),--(B32:CC32&gt;0))/80*100%</f>
        <v>0.275</v>
      </c>
      <c r="CH32" s="185">
        <f t="shared" si="0"/>
        <v>12</v>
      </c>
      <c r="CI32" s="185">
        <f t="shared" si="1"/>
        <v>11</v>
      </c>
      <c r="CJ32" s="185">
        <f t="shared" si="2"/>
        <v>3</v>
      </c>
    </row>
    <row r="33" customHeight="1" spans="1:88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115"/>
      <c r="CC33" s="115"/>
      <c r="CD33" s="183">
        <f t="shared" si="3"/>
        <v>8</v>
      </c>
      <c r="CE33" s="183" cm="1">
        <f t="array" ref="CE33">SUMPRODUCT(--(B33:CC33=INT(B33:CC33)),--(B33:CC33&gt;0))</f>
        <v>8</v>
      </c>
      <c r="CF33" s="183" cm="1">
        <f t="array" ref="CF33">MAX(FREQUENCY(IF((B33:CC33=INT(B33:CC33))*(B33:CC33&gt;0),COLUMN(B33:CC33)),IF((B33:CC33&lt;&gt;INT(B33:CC33))+(B33:CC33&lt;=0),COLUMN(B33:CC33))))</f>
        <v>1</v>
      </c>
      <c r="CG33" s="184" cm="1">
        <f t="array" ref="CG33">SUMPRODUCT(--(B33:CC33=INT(B33:CC33)),--(B33:CC33&gt;0))/80*100%</f>
        <v>0.1</v>
      </c>
      <c r="CH33" s="185">
        <f t="shared" si="0"/>
        <v>25</v>
      </c>
      <c r="CI33" s="185">
        <f t="shared" si="1"/>
        <v>24</v>
      </c>
      <c r="CJ33" s="185">
        <f t="shared" si="2"/>
        <v>27</v>
      </c>
    </row>
    <row r="34" customHeight="1" spans="1:88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83">
        <f t="shared" si="3"/>
        <v>0</v>
      </c>
      <c r="CE34" s="183" cm="1">
        <f t="array" ref="CE34">SUMPRODUCT(--(B34:CC34=INT(B34:CC34)),--(B34:CC34&gt;0))</f>
        <v>0</v>
      </c>
      <c r="CF34" s="183" cm="1">
        <f t="array" ref="CF34">MAX(FREQUENCY(IF((B34:CC34=INT(B34:CC34))*(B34:CC34&gt;0),COLUMN(B34:CC34)),IF((B34:CC34&lt;&gt;INT(B34:CC34))+(B34:CC34&lt;=0),COLUMN(B34:CC34))))</f>
        <v>0</v>
      </c>
      <c r="CG34" s="184" cm="1">
        <f t="array" ref="CG34">SUMPRODUCT(--(B34:CC34=INT(B34:CC34)),--(B34:CC34&gt;0))/80*100%</f>
        <v>0</v>
      </c>
      <c r="CH34" s="185">
        <f t="shared" si="0"/>
        <v>43</v>
      </c>
      <c r="CI34" s="185">
        <f t="shared" si="1"/>
        <v>43</v>
      </c>
      <c r="CJ34" s="185">
        <f t="shared" si="2"/>
        <v>43</v>
      </c>
    </row>
    <row r="35" customHeight="1" spans="1:88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6"/>
      <c r="CB35" s="186"/>
      <c r="CC35" s="186"/>
      <c r="CD35" s="183">
        <f t="shared" si="3"/>
        <v>0</v>
      </c>
      <c r="CE35" s="183" cm="1">
        <f t="array" ref="CE35">SUMPRODUCT(--(B35:CC35=INT(B35:CC35)),--(B35:CC35&gt;0))</f>
        <v>0</v>
      </c>
      <c r="CF35" s="183" cm="1">
        <f t="array" ref="CF35">MAX(FREQUENCY(IF((B35:CC35=INT(B35:CC35))*(B35:CC35&gt;0),COLUMN(B35:CC35)),IF((B35:CC35&lt;&gt;INT(B35:CC35))+(B35:CC35&lt;=0),COLUMN(B35:CC35))))</f>
        <v>0</v>
      </c>
      <c r="CG35" s="184" cm="1">
        <f t="array" ref="CG35">SUMPRODUCT(--(B35:CC35=INT(B35:CC35)),--(B35:CC35&gt;0))/80*100%</f>
        <v>0</v>
      </c>
      <c r="CH35" s="185">
        <f t="shared" si="0"/>
        <v>43</v>
      </c>
      <c r="CI35" s="185">
        <f t="shared" si="1"/>
        <v>43</v>
      </c>
      <c r="CJ35" s="185">
        <f t="shared" si="2"/>
        <v>43</v>
      </c>
    </row>
    <row r="36" customHeight="1" spans="1:88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83">
        <f t="shared" ref="CD36:CD53" si="4">SUM(B36:CC36)</f>
        <v>2</v>
      </c>
      <c r="CE36" s="183" cm="1">
        <f t="array" ref="CE36">SUMPRODUCT(--(B36:CC36=INT(B36:CC36)),--(B36:CC36&gt;0))</f>
        <v>2</v>
      </c>
      <c r="CF36" s="183" cm="1">
        <f t="array" ref="CF36">MAX(FREQUENCY(IF((B36:CC36=INT(B36:CC36))*(B36:CC36&gt;0),COLUMN(B36:CC36)),IF((B36:CC36&lt;&gt;INT(B36:CC36))+(B36:CC36&lt;=0),COLUMN(B36:CC36))))</f>
        <v>1</v>
      </c>
      <c r="CG36" s="184" cm="1">
        <f t="array" ref="CG36">SUMPRODUCT(--(B36:CC36=INT(B36:CC36)),--(B36:CC36&gt;0))/80*100%</f>
        <v>0.025</v>
      </c>
      <c r="CH36" s="185">
        <f t="shared" si="0"/>
        <v>35</v>
      </c>
      <c r="CI36" s="185">
        <f t="shared" si="1"/>
        <v>34</v>
      </c>
      <c r="CJ36" s="185">
        <f t="shared" si="2"/>
        <v>27</v>
      </c>
    </row>
    <row r="37" customHeight="1" spans="1:88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/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115"/>
      <c r="CC37" s="115"/>
      <c r="CD37" s="183">
        <f t="shared" si="4"/>
        <v>15</v>
      </c>
      <c r="CE37" s="183" cm="1">
        <f t="array" ref="CE37">SUMPRODUCT(--(B37:CC37=INT(B37:CC37)),--(B37:CC37&gt;0))</f>
        <v>14</v>
      </c>
      <c r="CF37" s="183" cm="1">
        <f t="array" ref="CF37">MAX(FREQUENCY(IF((B37:CC37=INT(B37:CC37))*(B37:CC37&gt;0),COLUMN(B37:CC37)),IF((B37:CC37&lt;&gt;INT(B37:CC37))+(B37:CC37&lt;=0),COLUMN(B37:CC37))))</f>
        <v>3</v>
      </c>
      <c r="CG37" s="184" cm="1">
        <f t="array" ref="CG37">SUMPRODUCT(--(B37:CC37=INT(B37:CC37)),--(B37:CC37&gt;0))/80*100%</f>
        <v>0.175</v>
      </c>
      <c r="CH37" s="185">
        <f t="shared" si="0"/>
        <v>19</v>
      </c>
      <c r="CI37" s="185">
        <f t="shared" si="1"/>
        <v>19</v>
      </c>
      <c r="CJ37" s="185">
        <f t="shared" si="2"/>
        <v>18</v>
      </c>
    </row>
    <row r="38" customHeight="1" spans="1:88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115"/>
      <c r="CC38" s="115"/>
      <c r="CD38" s="183">
        <f t="shared" si="4"/>
        <v>9</v>
      </c>
      <c r="CE38" s="183" cm="1">
        <f t="array" ref="CE38">SUMPRODUCT(--(B38:CC38=INT(B38:CC38)),--(B38:CC38&gt;0))</f>
        <v>8</v>
      </c>
      <c r="CF38" s="183" cm="1">
        <f t="array" ref="CF38">MAX(FREQUENCY(IF((B38:CC38=INT(B38:CC38))*(B38:CC38&gt;0),COLUMN(B38:CC38)),IF((B38:CC38&lt;&gt;INT(B38:CC38))+(B38:CC38&lt;=0),COLUMN(B38:CC38))))</f>
        <v>3</v>
      </c>
      <c r="CG38" s="184" cm="1">
        <f t="array" ref="CG38">SUMPRODUCT(--(B38:CC38=INT(B38:CC38)),--(B38:CC38&gt;0))/80*100%</f>
        <v>0.1</v>
      </c>
      <c r="CH38" s="185">
        <f t="shared" si="0"/>
        <v>23</v>
      </c>
      <c r="CI38" s="185">
        <f t="shared" si="1"/>
        <v>24</v>
      </c>
      <c r="CJ38" s="185">
        <f t="shared" si="2"/>
        <v>18</v>
      </c>
    </row>
    <row r="39" customHeight="1" spans="1:88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6"/>
      <c r="CB39" s="186"/>
      <c r="CC39" s="186"/>
      <c r="CD39" s="183">
        <f t="shared" si="4"/>
        <v>0</v>
      </c>
      <c r="CE39" s="183" cm="1">
        <f t="array" ref="CE39">SUMPRODUCT(--(B39:CC39=INT(B39:CC39)),--(B39:CC39&gt;0))</f>
        <v>0</v>
      </c>
      <c r="CF39" s="183" cm="1">
        <f t="array" ref="CF39">MAX(FREQUENCY(IF((B39:CC39=INT(B39:CC39))*(B39:CC39&gt;0),COLUMN(B39:CC39)),IF((B39:CC39&lt;&gt;INT(B39:CC39))+(B39:CC39&lt;=0),COLUMN(B39:CC39))))</f>
        <v>0</v>
      </c>
      <c r="CG39" s="184" cm="1">
        <f t="array" ref="CG39">SUMPRODUCT(--(B39:CC39=INT(B39:CC39)),--(B39:CC39&gt;0))/80*100%</f>
        <v>0</v>
      </c>
      <c r="CH39" s="187">
        <f t="shared" si="0"/>
        <v>43</v>
      </c>
      <c r="CI39" s="187">
        <f t="shared" si="1"/>
        <v>43</v>
      </c>
      <c r="CJ39" s="187">
        <f t="shared" si="2"/>
        <v>43</v>
      </c>
    </row>
    <row r="40" customHeight="1" spans="1:88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/>
      <c r="BO40" s="115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115"/>
      <c r="CC40" s="115"/>
      <c r="CD40" s="183">
        <f t="shared" si="4"/>
        <v>45</v>
      </c>
      <c r="CE40" s="183" cm="1">
        <f t="array" ref="CE40">SUMPRODUCT(--(B40:CC40=INT(B40:CC40)),--(B40:CC40&gt;0))</f>
        <v>37</v>
      </c>
      <c r="CF40" s="183" cm="1">
        <f t="array" ref="CF40">MAX(FREQUENCY(IF((B40:CC40=INT(B40:CC40))*(B40:CC40&gt;0),COLUMN(B40:CC40)),IF((B40:CC40&lt;&gt;INT(B40:CC40))+(B40:CC40&lt;=0),COLUMN(B40:CC40))))</f>
        <v>12</v>
      </c>
      <c r="CG40" s="184" cm="1">
        <f t="array" ref="CG40">SUMPRODUCT(--(B40:CC40=INT(B40:CC40)),--(B40:CC40&gt;0))/80*100%</f>
        <v>0.4625</v>
      </c>
      <c r="CH40" s="185">
        <f t="shared" si="0"/>
        <v>2</v>
      </c>
      <c r="CI40" s="185">
        <f t="shared" si="1"/>
        <v>2</v>
      </c>
      <c r="CJ40" s="185">
        <f t="shared" si="2"/>
        <v>2</v>
      </c>
    </row>
    <row r="41" customHeight="1" spans="1:88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/>
      <c r="BO41" s="115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115"/>
      <c r="CC41" s="115"/>
      <c r="CD41" s="183">
        <f t="shared" si="4"/>
        <v>36</v>
      </c>
      <c r="CE41" s="183" cm="1">
        <f t="array" ref="CE41">SUMPRODUCT(--(B41:CC41=INT(B41:CC41)),--(B41:CC41&gt;0))</f>
        <v>27</v>
      </c>
      <c r="CF41" s="183" cm="1">
        <f t="array" ref="CF41">MAX(FREQUENCY(IF((B41:CC41=INT(B41:CC41))*(B41:CC41&gt;0),COLUMN(B41:CC41)),IF((B41:CC41&lt;&gt;INT(B41:CC41))+(B41:CC41&lt;=0),COLUMN(B41:CC41))))</f>
        <v>6</v>
      </c>
      <c r="CG41" s="184" cm="1">
        <f t="array" ref="CG41">SUMPRODUCT(--(B41:CC41=INT(B41:CC41)),--(B41:CC41&gt;0))/80*100%</f>
        <v>0.3375</v>
      </c>
      <c r="CH41" s="185">
        <f t="shared" si="0"/>
        <v>4</v>
      </c>
      <c r="CI41" s="185">
        <f t="shared" si="1"/>
        <v>8</v>
      </c>
      <c r="CJ41" s="185">
        <f t="shared" si="2"/>
        <v>4</v>
      </c>
    </row>
    <row r="42" customHeight="1" spans="1:88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/>
      <c r="BO42" s="115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115"/>
      <c r="CC42" s="115"/>
      <c r="CD42" s="183">
        <f t="shared" si="4"/>
        <v>41</v>
      </c>
      <c r="CE42" s="183" cm="1">
        <f t="array" ref="CE42">SUMPRODUCT(--(B42:CC42=INT(B42:CC42)),--(B42:CC42&gt;0))</f>
        <v>29</v>
      </c>
      <c r="CF42" s="183" cm="1">
        <f t="array" ref="CF42">MAX(FREQUENCY(IF((B42:CC42=INT(B42:CC42))*(B42:CC42&gt;0),COLUMN(B42:CC42)),IF((B42:CC42&lt;&gt;INT(B42:CC42))+(B42:CC42&lt;=0),COLUMN(B42:CC42))))</f>
        <v>5</v>
      </c>
      <c r="CG42" s="184" cm="1">
        <f t="array" ref="CG42">SUMPRODUCT(--(B42:CC42=INT(B42:CC42)),--(B42:CC42&gt;0))/80*100%</f>
        <v>0.3625</v>
      </c>
      <c r="CH42" s="185">
        <f t="shared" si="0"/>
        <v>3</v>
      </c>
      <c r="CI42" s="185">
        <f t="shared" si="1"/>
        <v>4</v>
      </c>
      <c r="CJ42" s="185">
        <f t="shared" si="2"/>
        <v>7</v>
      </c>
    </row>
    <row r="43" customHeight="1" spans="1:88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15"/>
      <c r="CB43" s="115"/>
      <c r="CC43" s="115"/>
      <c r="CD43" s="183">
        <f t="shared" si="4"/>
        <v>0</v>
      </c>
      <c r="CE43" s="183" cm="1">
        <f t="array" ref="CE43">SUMPRODUCT(--(B43:CC43=INT(B43:CC43)),--(B43:CC43&gt;0))</f>
        <v>0</v>
      </c>
      <c r="CF43" s="183" cm="1">
        <f t="array" ref="CF43">MAX(FREQUENCY(IF((B43:CC43=INT(B43:CC43))*(B43:CC43&gt;0),COLUMN(B43:CC43)),IF((B43:CC43&lt;&gt;INT(B43:CC43))+(B43:CC43&lt;=0),COLUMN(B43:CC43))))</f>
        <v>0</v>
      </c>
      <c r="CG43" s="184" cm="1">
        <f t="array" ref="CG43">SUMPRODUCT(--(B43:CC43=INT(B43:CC43)),--(B43:CC43&gt;0))/80*100%</f>
        <v>0</v>
      </c>
      <c r="CH43" s="185">
        <f t="shared" si="0"/>
        <v>43</v>
      </c>
      <c r="CI43" s="185">
        <f t="shared" si="1"/>
        <v>43</v>
      </c>
      <c r="CJ43" s="185">
        <f t="shared" si="2"/>
        <v>43</v>
      </c>
    </row>
    <row r="44" customHeight="1" spans="1:88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/>
      <c r="BP44" s="115"/>
      <c r="BQ44" s="115"/>
      <c r="BR44" s="115"/>
      <c r="BS44" s="115"/>
      <c r="BT44" s="115"/>
      <c r="BU44" s="115"/>
      <c r="BV44" s="115"/>
      <c r="BW44" s="115"/>
      <c r="BX44" s="115"/>
      <c r="BY44" s="115"/>
      <c r="BZ44" s="115"/>
      <c r="CA44" s="115"/>
      <c r="CB44" s="115"/>
      <c r="CC44" s="115"/>
      <c r="CD44" s="183">
        <f t="shared" si="4"/>
        <v>35</v>
      </c>
      <c r="CE44" s="183" cm="1">
        <f t="array" ref="CE44">SUMPRODUCT(--(B44:CC44=INT(B44:CC44)),--(B44:CC44&gt;0))</f>
        <v>28</v>
      </c>
      <c r="CF44" s="183" cm="1">
        <f t="array" ref="CF44">MAX(FREQUENCY(IF((B44:CC44=INT(B44:CC44))*(B44:CC44&gt;0),COLUMN(B44:CC44)),IF((B44:CC44&lt;&gt;INT(B44:CC44))+(B44:CC44&lt;=0),COLUMN(B44:CC44))))</f>
        <v>6</v>
      </c>
      <c r="CG44" s="184" cm="1">
        <f t="array" ref="CG44">SUMPRODUCT(--(B44:CC44=INT(B44:CC44)),--(B44:CC44&gt;0))/80*100%</f>
        <v>0.35</v>
      </c>
      <c r="CH44" s="185">
        <f t="shared" si="0"/>
        <v>5</v>
      </c>
      <c r="CI44" s="185">
        <f t="shared" si="1"/>
        <v>5</v>
      </c>
      <c r="CJ44" s="185">
        <f t="shared" si="2"/>
        <v>4</v>
      </c>
    </row>
    <row r="45" customHeight="1" spans="1:88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83">
        <f t="shared" si="4"/>
        <v>0</v>
      </c>
      <c r="CE45" s="183" cm="1">
        <f t="array" ref="CE45">SUMPRODUCT(--(B45:CC45=INT(B45:CC45)),--(B45:CC45&gt;0))</f>
        <v>0</v>
      </c>
      <c r="CF45" s="183" cm="1">
        <f t="array" ref="CF45">MAX(FREQUENCY(IF((B45:CC45=INT(B45:CC45))*(B45:CC45&gt;0),COLUMN(B45:CC45)),IF((B45:CC45&lt;&gt;INT(B45:CC45))+(B45:CC45&lt;=0),COLUMN(B45:CC45))))</f>
        <v>0</v>
      </c>
      <c r="CG45" s="184" cm="1">
        <f t="array" ref="CG45">SUMPRODUCT(--(B45:CC45=INT(B45:CC45)),--(B45:CC45&gt;0))/80*100%</f>
        <v>0</v>
      </c>
      <c r="CH45" s="185">
        <f t="shared" si="0"/>
        <v>43</v>
      </c>
      <c r="CI45" s="185">
        <f t="shared" si="1"/>
        <v>43</v>
      </c>
      <c r="CJ45" s="185">
        <f t="shared" si="2"/>
        <v>43</v>
      </c>
    </row>
    <row r="46" customHeight="1" spans="1:88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/>
      <c r="BP46" s="115"/>
      <c r="BQ46" s="115"/>
      <c r="BR46" s="115"/>
      <c r="BS46" s="115"/>
      <c r="BT46" s="115"/>
      <c r="BU46" s="115"/>
      <c r="BV46" s="115"/>
      <c r="BW46" s="115"/>
      <c r="BX46" s="115"/>
      <c r="BY46" s="115"/>
      <c r="BZ46" s="115"/>
      <c r="CA46" s="115"/>
      <c r="CB46" s="115"/>
      <c r="CC46" s="115"/>
      <c r="CD46" s="183">
        <f t="shared" si="4"/>
        <v>59</v>
      </c>
      <c r="CE46" s="183" cm="1">
        <f t="array" ref="CE46">SUMPRODUCT(--(B46:CC46=INT(B46:CC46)),--(B46:CC46&gt;0))</f>
        <v>44</v>
      </c>
      <c r="CF46" s="183" cm="1">
        <f t="array" ref="CF46">MAX(FREQUENCY(IF((B46:CC46=INT(B46:CC46))*(B46:CC46&gt;0),COLUMN(B46:CC46)),IF((B46:CC46&lt;&gt;INT(B46:CC46))+(B46:CC46&lt;=0),COLUMN(B46:CC46))))</f>
        <v>17</v>
      </c>
      <c r="CG46" s="184" cm="1">
        <f t="array" ref="CG46">SUMPRODUCT(--(B46:CC46=INT(B46:CC46)),--(B46:CC46&gt;0))/80*100%</f>
        <v>0.55</v>
      </c>
      <c r="CH46" s="185">
        <f t="shared" si="0"/>
        <v>1</v>
      </c>
      <c r="CI46" s="185">
        <f t="shared" si="1"/>
        <v>1</v>
      </c>
      <c r="CJ46" s="185">
        <f t="shared" si="2"/>
        <v>1</v>
      </c>
    </row>
    <row r="47" customHeight="1" spans="1:88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83">
        <f t="shared" si="4"/>
        <v>0</v>
      </c>
      <c r="CE47" s="183" cm="1">
        <f t="array" ref="CE47">SUMPRODUCT(--(B47:CC47=INT(B47:CC47)),--(B47:CC47&gt;0))</f>
        <v>0</v>
      </c>
      <c r="CF47" s="183" cm="1">
        <f t="array" ref="CF47">MAX(FREQUENCY(IF((B47:CC47=INT(B47:CC47))*(B47:CC47&gt;0),COLUMN(B47:CC47)),IF((B47:CC47&lt;&gt;INT(B47:CC47))+(B47:CC47&lt;=0),COLUMN(B47:CC47))))</f>
        <v>0</v>
      </c>
      <c r="CG47" s="184" cm="1">
        <f t="array" ref="CG47">SUMPRODUCT(--(B47:CC47=INT(B47:CC47)),--(B47:CC47&gt;0))/80*100%</f>
        <v>0</v>
      </c>
      <c r="CH47" s="185">
        <f t="shared" si="0"/>
        <v>43</v>
      </c>
      <c r="CI47" s="185">
        <f t="shared" si="1"/>
        <v>43</v>
      </c>
      <c r="CJ47" s="185">
        <f t="shared" si="2"/>
        <v>43</v>
      </c>
    </row>
    <row r="48" customHeight="1" spans="1:88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/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15"/>
      <c r="CB48" s="115"/>
      <c r="CC48" s="115"/>
      <c r="CD48" s="183">
        <f t="shared" si="4"/>
        <v>25</v>
      </c>
      <c r="CE48" s="183" cm="1">
        <f t="array" ref="CE48">SUMPRODUCT(--(B48:CC48=INT(B48:CC48)),--(B48:CC48&gt;0))</f>
        <v>21</v>
      </c>
      <c r="CF48" s="183" cm="1">
        <f t="array" ref="CF48">MAX(FREQUENCY(IF((B48:CC48=INT(B48:CC48))*(B48:CC48&gt;0),COLUMN(B48:CC48)),IF((B48:CC48&lt;&gt;INT(B48:CC48))+(B48:CC48&lt;=0),COLUMN(B48:CC48))))</f>
        <v>3</v>
      </c>
      <c r="CG48" s="184" cm="1">
        <f t="array" ref="CG48">SUMPRODUCT(--(B48:CC48=INT(B48:CC48)),--(B48:CC48&gt;0))/80*100%</f>
        <v>0.2625</v>
      </c>
      <c r="CH48" s="185">
        <f t="shared" si="0"/>
        <v>11</v>
      </c>
      <c r="CI48" s="185">
        <f t="shared" si="1"/>
        <v>12</v>
      </c>
      <c r="CJ48" s="185">
        <f t="shared" si="2"/>
        <v>18</v>
      </c>
    </row>
    <row r="49" customHeight="1" spans="1:88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15"/>
      <c r="CB49" s="115"/>
      <c r="CC49" s="115"/>
      <c r="CD49" s="183">
        <f t="shared" si="4"/>
        <v>4</v>
      </c>
      <c r="CE49" s="183" cm="1">
        <f t="array" ref="CE49">SUMPRODUCT(--(B49:CC49=INT(B49:CC49)),--(B49:CC49&gt;0))</f>
        <v>4</v>
      </c>
      <c r="CF49" s="183" cm="1">
        <f t="array" ref="CF49">MAX(FREQUENCY(IF((B49:CC49=INT(B49:CC49))*(B49:CC49&gt;0),COLUMN(B49:CC49)),IF((B49:CC49&lt;&gt;INT(B49:CC49))+(B49:CC49&lt;=0),COLUMN(B49:CC49))))</f>
        <v>1</v>
      </c>
      <c r="CG49" s="184" cm="1">
        <f t="array" ref="CG49">SUMPRODUCT(--(B49:CC49=INT(B49:CC49)),--(B49:CC49&gt;0))/80*100%</f>
        <v>0.05</v>
      </c>
      <c r="CH49" s="185">
        <f t="shared" si="0"/>
        <v>32</v>
      </c>
      <c r="CI49" s="185">
        <f t="shared" si="1"/>
        <v>32</v>
      </c>
      <c r="CJ49" s="185">
        <f t="shared" si="2"/>
        <v>27</v>
      </c>
    </row>
    <row r="50" customHeight="1" spans="1:88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15"/>
      <c r="CB50" s="115"/>
      <c r="CC50" s="115"/>
      <c r="CD50" s="183">
        <f t="shared" si="4"/>
        <v>5</v>
      </c>
      <c r="CE50" s="183" cm="1">
        <f t="array" ref="CE50">SUMPRODUCT(--(B50:CC50=INT(B50:CC50)),--(B50:CC50&gt;0))</f>
        <v>5</v>
      </c>
      <c r="CF50" s="183" cm="1">
        <f t="array" ref="CF50">MAX(FREQUENCY(IF((B50:CC50=INT(B50:CC50))*(B50:CC50&gt;0),COLUMN(B50:CC50)),IF((B50:CC50&lt;&gt;INT(B50:CC50))+(B50:CC50&lt;=0),COLUMN(B50:CC50))))</f>
        <v>1</v>
      </c>
      <c r="CG50" s="184" cm="1">
        <f t="array" ref="CG50">SUMPRODUCT(--(B50:CC50=INT(B50:CC50)),--(B50:CC50&gt;0))/80*100%</f>
        <v>0.0625</v>
      </c>
      <c r="CH50" s="185">
        <f t="shared" si="0"/>
        <v>28</v>
      </c>
      <c r="CI50" s="185">
        <f t="shared" si="1"/>
        <v>27</v>
      </c>
      <c r="CJ50" s="185">
        <f t="shared" si="2"/>
        <v>27</v>
      </c>
    </row>
    <row r="51" customHeight="1" spans="1:88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83">
        <f t="shared" si="4"/>
        <v>1</v>
      </c>
      <c r="CE51" s="183" cm="1">
        <f t="array" ref="CE51">SUMPRODUCT(--(B51:CC51=INT(B51:CC51)),--(B51:CC51&gt;0))</f>
        <v>1</v>
      </c>
      <c r="CF51" s="183" cm="1">
        <f t="array" ref="CF51">MAX(FREQUENCY(IF((B51:CC51=INT(B51:CC51))*(B51:CC51&gt;0),COLUMN(B51:CC51)),IF((B51:CC51&lt;&gt;INT(B51:CC51))+(B51:CC51&lt;=0),COLUMN(B51:CC51))))</f>
        <v>1</v>
      </c>
      <c r="CG51" s="184" cm="1">
        <f t="array" ref="CG51">SUMPRODUCT(--(B51:CC51=INT(B51:CC51)),--(B51:CC51&gt;0))/80*100%</f>
        <v>0.0125</v>
      </c>
      <c r="CH51" s="185">
        <f t="shared" si="0"/>
        <v>39</v>
      </c>
      <c r="CI51" s="185">
        <f t="shared" si="1"/>
        <v>39</v>
      </c>
      <c r="CJ51" s="185">
        <f t="shared" si="2"/>
        <v>27</v>
      </c>
    </row>
    <row r="52" customHeight="1" spans="1:88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83">
        <f t="shared" si="4"/>
        <v>0</v>
      </c>
      <c r="CE52" s="183" cm="1">
        <f t="array" ref="CE52">SUMPRODUCT(--(B52:CC52=INT(B52:CC52)),--(B52:CC52&gt;0))</f>
        <v>0</v>
      </c>
      <c r="CF52" s="183" cm="1">
        <f t="array" ref="CF52">MAX(FREQUENCY(IF((B52:CC52=INT(B52:CC52))*(B52:CC52&gt;0),COLUMN(B52:CC52)),IF((B52:CC52&lt;&gt;INT(B52:CC52))+(B52:CC52&lt;=0),COLUMN(B52:CC52))))</f>
        <v>0</v>
      </c>
      <c r="CG52" s="184" cm="1">
        <f t="array" ref="CG52">SUMPRODUCT(--(B52:CC52=INT(B52:CC52)),--(B52:CC52&gt;0))/80*100%</f>
        <v>0</v>
      </c>
      <c r="CH52" s="185">
        <f t="shared" si="0"/>
        <v>43</v>
      </c>
      <c r="CI52" s="185">
        <f t="shared" si="1"/>
        <v>43</v>
      </c>
      <c r="CJ52" s="185">
        <f t="shared" si="2"/>
        <v>43</v>
      </c>
    </row>
    <row r="53" customHeight="1" spans="1:88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83">
        <f t="shared" si="4"/>
        <v>2</v>
      </c>
      <c r="CE53" s="183" cm="1">
        <f t="array" ref="CE53">SUMPRODUCT(--(B53:CC53=INT(B53:CC53)),--(B53:CC53&gt;0))</f>
        <v>2</v>
      </c>
      <c r="CF53" s="183" cm="1">
        <f t="array" ref="CF53">MAX(FREQUENCY(IF((B53:CC53=INT(B53:CC53))*(B53:CC53&gt;0),COLUMN(B53:CC53)),IF((B53:CC53&lt;&gt;INT(B53:CC53))+(B53:CC53&lt;=0),COLUMN(B53:CC53))))</f>
        <v>1</v>
      </c>
      <c r="CG53" s="184" cm="1">
        <f t="array" ref="CG53">SUMPRODUCT(--(B53:CC53=INT(B53:CC53)),--(B53:CC53&gt;0))/80*100%</f>
        <v>0.025</v>
      </c>
      <c r="CH53" s="185">
        <f t="shared" si="0"/>
        <v>35</v>
      </c>
      <c r="CI53" s="185">
        <f t="shared" si="1"/>
        <v>34</v>
      </c>
      <c r="CJ53" s="185">
        <f t="shared" si="2"/>
        <v>27</v>
      </c>
    </row>
    <row r="54" s="170" customFormat="1" ht="28" spans="1:88">
      <c r="A54" s="188" t="s">
        <v>367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0</v>
      </c>
      <c r="BO54" s="17" cm="1">
        <f t="array" ref="BO54">SUMPRODUCT(--(BO3:BO53=INT(BO3:BO53)),--(BO3:BO53&gt;0))</f>
        <v>0</v>
      </c>
      <c r="BP54" s="17" cm="1">
        <f t="array" ref="BP54">SUMPRODUCT(--(BP3:BP53=INT(BP3:BP53)),--(BP3:BP53&gt;0))</f>
        <v>0</v>
      </c>
      <c r="BQ54" s="17" cm="1">
        <f t="array" ref="BQ54">SUMPRODUCT(--(BQ3:BQ53=INT(BQ3:BQ53)),--(BQ3:BQ53&gt;0))</f>
        <v>0</v>
      </c>
      <c r="BR54" s="17" cm="1">
        <f t="array" ref="BR54">SUMPRODUCT(--(BR3:BR53=INT(BR3:BR53)),--(BR3:BR53&gt;0))</f>
        <v>0</v>
      </c>
      <c r="BS54" s="17" cm="1">
        <f t="array" ref="BS54">SUMPRODUCT(--(BS3:BS53=INT(BS3:BS53)),--(BS3:BS53&gt;0))</f>
        <v>0</v>
      </c>
      <c r="BT54" s="17" cm="1">
        <f t="array" ref="BT54">SUMPRODUCT(--(BT3:BT53=INT(BT3:BT53)),--(BT3:BT53&gt;0))</f>
        <v>0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7" cm="1">
        <f t="array" ref="CA54">SUMPRODUCT(--(CA3:CA53=INT(CA3:CA53)),--(CA3:CA53&gt;0))</f>
        <v>0</v>
      </c>
      <c r="CB54" s="17" cm="1">
        <f t="array" ref="CB54">SUMPRODUCT(--(CB3:CB53=INT(CB3:CB53)),--(CB3:CB53&gt;0))</f>
        <v>0</v>
      </c>
      <c r="CC54" s="17" cm="1">
        <f t="array" ref="CC54">SUMPRODUCT(--(CC3:CC53=INT(CC3:CC53)),--(CC3:CC53&gt;0))</f>
        <v>0</v>
      </c>
      <c r="CD54" s="189" t="s">
        <v>368</v>
      </c>
      <c r="CE54" s="190"/>
      <c r="CF54" s="190"/>
      <c r="CG54" s="190"/>
      <c r="CH54" s="190"/>
      <c r="CI54" s="190"/>
      <c r="CJ54" s="191"/>
    </row>
    <row r="55" s="170" customFormat="1" ht="28" spans="1:88">
      <c r="A55" s="188" t="s">
        <v>369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0</v>
      </c>
      <c r="BO55" s="17">
        <f t="shared" si="7"/>
        <v>0</v>
      </c>
      <c r="BP55" s="17">
        <f t="shared" si="7"/>
        <v>0</v>
      </c>
      <c r="BQ55" s="17">
        <f t="shared" si="7"/>
        <v>0</v>
      </c>
      <c r="BR55" s="17">
        <f t="shared" si="7"/>
        <v>0</v>
      </c>
      <c r="BS55" s="17">
        <f t="shared" si="7"/>
        <v>0</v>
      </c>
      <c r="BT55" s="17">
        <f t="shared" si="7"/>
        <v>0</v>
      </c>
      <c r="BU55" s="17">
        <f t="shared" si="7"/>
        <v>0</v>
      </c>
      <c r="BV55" s="17">
        <f t="shared" si="7"/>
        <v>0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7">
        <f t="shared" si="7"/>
        <v>0</v>
      </c>
      <c r="CB55" s="17">
        <f t="shared" si="7"/>
        <v>0</v>
      </c>
      <c r="CC55" s="17">
        <f t="shared" si="7"/>
        <v>0</v>
      </c>
      <c r="CD55" s="192"/>
      <c r="CE55" s="193"/>
      <c r="CF55" s="193"/>
      <c r="CG55" s="193"/>
      <c r="CH55" s="193"/>
      <c r="CI55" s="193"/>
      <c r="CJ55" s="194"/>
    </row>
    <row r="57" spans="1:88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</row>
  </sheetData>
  <mergeCells count="8">
    <mergeCell ref="B1:S1"/>
    <mergeCell ref="T1:AI1"/>
    <mergeCell ref="AJ1:AL1"/>
    <mergeCell ref="AM1:BH1"/>
    <mergeCell ref="BI1:CC1"/>
    <mergeCell ref="CD1:CJ1"/>
    <mergeCell ref="A1:A2"/>
    <mergeCell ref="CD54:CJ55"/>
  </mergeCells>
  <conditionalFormatting sqref="B54:CC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CC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145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  <cfRule type="colorScale" priority="35">
      <colorScale>
        <cfvo type="num" val="1"/>
        <cfvo type="num" val="3"/>
        <color theme="4" tint="0.8"/>
        <color theme="4" tint="-0.25"/>
      </colorScale>
    </cfRule>
  </conditionalFormatting>
  <conditionalFormatting sqref="BU26:BU53">
    <cfRule type="colorScale" priority="57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144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  <cfRule type="colorScale" priority="34">
      <colorScale>
        <cfvo type="num" val="1"/>
        <cfvo type="num" val="3"/>
        <color theme="4" tint="0.8"/>
        <color theme="4" tint="-0.25"/>
      </colorScale>
    </cfRule>
  </conditionalFormatting>
  <conditionalFormatting sqref="BV26:BV53">
    <cfRule type="colorScale" priority="56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143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  <cfRule type="colorScale" priority="33">
      <colorScale>
        <cfvo type="num" val="1"/>
        <cfvo type="num" val="3"/>
        <color theme="4" tint="0.8"/>
        <color theme="4" tint="-0.25"/>
      </colorScale>
    </cfRule>
  </conditionalFormatting>
  <conditionalFormatting sqref="BW26:BW53">
    <cfRule type="colorScale" priority="55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142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32">
      <colorScale>
        <cfvo type="num" val="1"/>
        <cfvo type="num" val="3"/>
        <color theme="4" tint="0.8"/>
        <color theme="4" tint="-0.25"/>
      </colorScale>
    </cfRule>
  </conditionalFormatting>
  <conditionalFormatting sqref="BX26:BX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141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31">
      <colorScale>
        <cfvo type="num" val="1"/>
        <cfvo type="num" val="3"/>
        <color theme="4" tint="0.8"/>
        <color theme="4" tint="-0.25"/>
      </colorScale>
    </cfRule>
  </conditionalFormatting>
  <conditionalFormatting sqref="BY26:BY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140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30">
      <colorScale>
        <cfvo type="num" val="1"/>
        <cfvo type="num" val="3"/>
        <color theme="4" tint="0.8"/>
        <color theme="4" tint="-0.25"/>
      </colorScale>
    </cfRule>
  </conditionalFormatting>
  <conditionalFormatting sqref="BZ26:BZ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39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29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38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28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37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27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I3:CI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J3:CJ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CC53">
    <cfRule type="colorScale" priority="2">
      <colorScale>
        <cfvo type="min"/>
        <cfvo type="max"/>
        <color theme="4" tint="0.8"/>
        <color theme="4" tint="-0.25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A24:X24 CD1:CJ1" unlockedFormula="1"/>
    <ignoredError sqref="CH7:CJ8 Z4:AE4 Z10:AF10 Z15 AB15:AE15 A16:AF16 A8:V8 X8:AF8 Z9:AB9 AD9:AF9 A26:AF27 A42:X42 Z36:AF36 A36:X36 Z41:AE42 CH25:CJ28 A25:X25 A12:X15 A9:X10 A5:AF7 A3:X4 CD2:CJ2 CD1:CJ1 A51:AF51 A2:AF2 Z48:AB48 AE48 A47:AF47 AF46 AC46:AD46 AA46 A46:X46 A45:AF45 AF44 Z44:AD44 A44:W44 A43:AF43 A40:V40 AC40:AD40 X41 A37:AF37 CI35:CJ35 A34:AF35 CH38:CJ39 A39:AF39 AD38:AF38 Z38:AB38 A38:X38 A32:X32 Z29:AF29 A28:X28 Z24:AF24 A23:AF23 AF22 AA22:AD22 A22:X22 A19:AF21 Z17:AF18 A17:X18 CH11:CJ14 Z12:AF12 Z13 AB13:AF13 Z14:AF14 AE11 AB11:AC11 A11:Z11 CI9:CJ9 CH4:CJ4 Z3:AF3 CI3 A1 AA52:AF52 Y52 V52 P52 A52 A53:AF53 AF50 A50:AD50 A49:X49 Z49:AF49" formulaRange="1" unlockedFormula="1"/>
    <ignoredError sqref="Y41:Y42 AG5:CF6 AG7:BK8 BM7:CF8 CH36:CJ37 A54:CJ57 BL4:CF4 BL9:CF9 AG19:BJ19 BL19:CF19 AG20:CF21 BL22:CF22 BL28:CF28 BM29:CF29 A30:CF30 A31:BJ31 BL31:CF32 BM40:CF41 BL42:CF42 BL46:CF46 AG34:CF38 CH15:CJ24 AG49:CF53 AG43:CF45 A33:CF33 A29:Y29 AG23:CF24 CH3 CH4:CJ6 AF4:BJ4 AG10:CF10 A12:CF14 A15:Y15 AA15:CF15 A16:CF18 A5:AF7 W8:AF8 AC9 AG9:BJ9 AG26:CF27 A34:AF35 A36:Y36 AF41:BJ42 CH29:CJ34 Y25:CF25 Y3:Y4 A2:CC2 AC48:AD48 AF48:CF48 AG47:CF47 AG46:BJ46 A46:AB46 AE46 A43:AF43 A44:AE44 W40:AB40 AE40:BJ40 A41:W41 CH35 CH40:CJ53 AG39:CF39 A38:AC38 Y32:BJ32 AG29:BJ29 Y28:BJ28 Y24 AG22:BJ22 A22:Z22 AE22 CH10:CJ10 A11:AD11 AF11:CF11 CH9 AG3:CF3 CJ3 A52:Z52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370</v>
      </c>
      <c r="B2" s="148" t="s">
        <v>371</v>
      </c>
      <c r="C2" s="149" t="s">
        <v>372</v>
      </c>
      <c r="D2" s="150"/>
      <c r="E2" s="148" t="s">
        <v>371</v>
      </c>
      <c r="F2" s="148"/>
      <c r="G2" s="151" t="s">
        <v>373</v>
      </c>
      <c r="H2" s="143"/>
      <c r="I2" s="143"/>
      <c r="J2" s="152"/>
    </row>
    <row r="3" ht="16.5" spans="1:10">
      <c r="A3" s="144" t="s">
        <v>374</v>
      </c>
      <c r="B3" s="153" t="s">
        <v>375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376</v>
      </c>
      <c r="B4" s="154" t="s">
        <v>262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377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378</v>
      </c>
      <c r="B6" s="157">
        <v>1</v>
      </c>
      <c r="C6" s="157"/>
      <c r="D6" s="157"/>
      <c r="E6" s="157"/>
      <c r="F6" s="157"/>
      <c r="G6" s="158" t="s">
        <v>379</v>
      </c>
      <c r="H6" s="143"/>
      <c r="I6" s="143"/>
      <c r="J6" s="152"/>
    </row>
    <row r="7" ht="16.5" spans="1:10">
      <c r="A7" s="144" t="s">
        <v>380</v>
      </c>
      <c r="B7" s="159" t="s">
        <v>381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382</v>
      </c>
      <c r="B8" s="161">
        <v>1</v>
      </c>
      <c r="C8" s="161"/>
      <c r="D8" s="162" t="s">
        <v>383</v>
      </c>
      <c r="E8" s="162"/>
      <c r="F8" s="162"/>
      <c r="G8" s="161"/>
      <c r="H8" s="143"/>
      <c r="I8" s="143"/>
      <c r="J8" s="152"/>
    </row>
    <row r="9" ht="16.5" spans="1:10">
      <c r="A9" s="144" t="s">
        <v>384</v>
      </c>
      <c r="B9" s="148" t="s">
        <v>385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386</v>
      </c>
      <c r="B10" s="153">
        <v>1</v>
      </c>
      <c r="C10" s="153"/>
      <c r="D10" s="163" t="s">
        <v>387</v>
      </c>
      <c r="E10" s="153">
        <v>1</v>
      </c>
      <c r="F10" s="163" t="s">
        <v>387</v>
      </c>
      <c r="G10" s="143" t="s">
        <v>388</v>
      </c>
      <c r="H10" s="143"/>
      <c r="I10" s="143"/>
      <c r="J10" s="152"/>
    </row>
    <row r="11" ht="16.5" spans="1:10">
      <c r="A11" s="144" t="s">
        <v>389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390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391</v>
      </c>
      <c r="B13" s="2" t="s">
        <v>388</v>
      </c>
      <c r="C13" s="2"/>
      <c r="D13" s="2"/>
      <c r="E13" s="2"/>
      <c r="F13" s="2"/>
      <c r="G13" s="164" t="s">
        <v>392</v>
      </c>
      <c r="H13" s="1"/>
      <c r="I13" s="1"/>
      <c r="J13" s="165"/>
    </row>
    <row r="14" s="1" customFormat="1" ht="16.5" spans="1:10">
      <c r="A14" s="144" t="s">
        <v>393</v>
      </c>
      <c r="B14" s="166" t="s">
        <v>388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394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395</v>
      </c>
      <c r="B2" s="121" t="s">
        <v>396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397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398</v>
      </c>
      <c r="C5" s="122" t="s">
        <v>33</v>
      </c>
      <c r="D5" s="123"/>
      <c r="E5" s="123"/>
      <c r="F5" s="123"/>
      <c r="G5" s="124"/>
    </row>
    <row r="6" s="113" customFormat="1" spans="1:9">
      <c r="A6" s="125"/>
      <c r="B6" s="121" t="s">
        <v>399</v>
      </c>
      <c r="C6" s="15" t="s">
        <v>20</v>
      </c>
      <c r="D6" s="126" t="s">
        <v>107</v>
      </c>
      <c r="E6" s="127"/>
      <c r="F6" s="127"/>
      <c r="G6" s="128"/>
    </row>
    <row r="7" s="113" customFormat="1" spans="1:9">
      <c r="A7" s="125"/>
      <c r="B7" s="121"/>
      <c r="C7" s="15" t="s">
        <v>52</v>
      </c>
      <c r="D7" s="113" t="s">
        <v>81</v>
      </c>
      <c r="E7" s="126" t="s">
        <v>94</v>
      </c>
      <c r="F7" s="127"/>
      <c r="G7" s="128"/>
    </row>
    <row r="8" s="113" customFormat="1" spans="1:9">
      <c r="A8" s="125"/>
      <c r="B8" s="121" t="s">
        <v>400</v>
      </c>
      <c r="C8" s="15" t="s">
        <v>15</v>
      </c>
      <c r="D8" s="126" t="s">
        <v>86</v>
      </c>
      <c r="E8" s="127"/>
      <c r="F8" s="127"/>
      <c r="G8" s="128"/>
    </row>
    <row r="9" s="113" customFormat="1" spans="1:9">
      <c r="A9" s="125"/>
      <c r="B9" s="121" t="s">
        <v>401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402</v>
      </c>
      <c r="C10" s="122" t="s">
        <v>36</v>
      </c>
      <c r="D10" s="123"/>
      <c r="E10" s="123"/>
      <c r="F10" s="123"/>
      <c r="G10" s="124"/>
    </row>
    <row r="11" s="113" customFormat="1" spans="1:9">
      <c r="A11" s="129"/>
      <c r="B11" s="121" t="s">
        <v>403</v>
      </c>
      <c r="C11" s="122" t="s">
        <v>74</v>
      </c>
      <c r="D11" s="123"/>
      <c r="E11" s="123"/>
      <c r="F11" s="123"/>
      <c r="G11" s="124"/>
    </row>
    <row r="12" s="114" customFormat="1" spans="1:9">
      <c r="A12" s="130" t="s">
        <v>404</v>
      </c>
      <c r="B12" s="131" t="s">
        <v>405</v>
      </c>
      <c r="C12" s="132" t="s">
        <v>94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40</v>
      </c>
      <c r="D13" s="138"/>
      <c r="E13" s="138"/>
      <c r="F13" s="138"/>
      <c r="G13" s="133"/>
    </row>
    <row r="14" s="114" customFormat="1" spans="1:9">
      <c r="A14" s="137"/>
      <c r="B14" s="131" t="s">
        <v>406</v>
      </c>
      <c r="C14" s="132" t="s">
        <v>407</v>
      </c>
      <c r="D14" s="138"/>
      <c r="E14" s="133"/>
      <c r="F14" s="135" t="s">
        <v>36</v>
      </c>
      <c r="G14" s="136"/>
    </row>
    <row r="15" s="114" customFormat="1" spans="1:9">
      <c r="A15" s="137"/>
      <c r="B15" s="131" t="s">
        <v>408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409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410</v>
      </c>
      <c r="C18" s="132" t="s">
        <v>44</v>
      </c>
      <c r="D18" s="138"/>
      <c r="E18" s="138"/>
      <c r="F18" s="138"/>
      <c r="G18" s="133"/>
    </row>
    <row r="19" s="114" customFormat="1" spans="1:7">
      <c r="A19" s="137"/>
      <c r="B19" s="131" t="s">
        <v>411</v>
      </c>
      <c r="C19" s="132" t="s">
        <v>86</v>
      </c>
      <c r="D19" s="138"/>
      <c r="E19" s="138"/>
      <c r="F19" s="138"/>
      <c r="G19" s="133"/>
    </row>
    <row r="20" s="114" customFormat="1" spans="1:7">
      <c r="A20" s="137"/>
      <c r="B20" s="131" t="s">
        <v>412</v>
      </c>
      <c r="C20" s="132" t="s">
        <v>89</v>
      </c>
      <c r="D20" s="138"/>
      <c r="E20" s="138"/>
      <c r="F20" s="138"/>
      <c r="G20" s="133"/>
    </row>
    <row r="21" s="114" customFormat="1" spans="1:7">
      <c r="A21" s="137"/>
      <c r="B21" s="131" t="s">
        <v>413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414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415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416</v>
      </c>
      <c r="B2" s="96"/>
      <c r="C2" s="97"/>
      <c r="D2" s="98" t="s">
        <v>44</v>
      </c>
      <c r="E2" s="98" t="s">
        <v>111</v>
      </c>
      <c r="F2" s="99"/>
      <c r="G2" s="99"/>
      <c r="H2" s="100"/>
      <c r="I2" s="100"/>
    </row>
    <row r="3" s="92" customFormat="1" customHeight="1" spans="1:16">
      <c r="A3" s="101"/>
      <c r="B3" s="97" t="s">
        <v>35</v>
      </c>
      <c r="C3" s="97" t="s">
        <v>44</v>
      </c>
      <c r="D3" s="98" t="s">
        <v>29</v>
      </c>
      <c r="E3" s="98" t="s">
        <v>7</v>
      </c>
      <c r="F3" s="99" t="s">
        <v>69</v>
      </c>
      <c r="G3" s="99" t="s">
        <v>81</v>
      </c>
      <c r="H3" s="100" t="s">
        <v>111</v>
      </c>
      <c r="I3" s="100" t="s">
        <v>94</v>
      </c>
    </row>
    <row r="4" s="92" customFormat="1" customHeight="1" spans="1:16">
      <c r="A4" s="101"/>
      <c r="B4" s="97" t="s">
        <v>40</v>
      </c>
      <c r="C4" s="97" t="s">
        <v>38</v>
      </c>
      <c r="D4" s="98" t="s">
        <v>121</v>
      </c>
      <c r="E4" s="98" t="s">
        <v>84</v>
      </c>
      <c r="F4" s="99" t="s">
        <v>20</v>
      </c>
      <c r="G4" s="99" t="s">
        <v>60</v>
      </c>
      <c r="H4" s="100" t="s">
        <v>51</v>
      </c>
      <c r="I4" s="100" t="s">
        <v>31</v>
      </c>
    </row>
    <row r="5" s="92" customFormat="1" customHeight="1" spans="1:16">
      <c r="A5" s="101"/>
      <c r="B5" s="97" t="s">
        <v>75</v>
      </c>
      <c r="C5" s="97" t="s">
        <v>30</v>
      </c>
      <c r="D5" s="98" t="s">
        <v>42</v>
      </c>
      <c r="E5" s="98" t="s">
        <v>78</v>
      </c>
      <c r="F5" s="99" t="s">
        <v>74</v>
      </c>
      <c r="G5" s="99" t="s">
        <v>27</v>
      </c>
      <c r="H5" s="100" t="s">
        <v>36</v>
      </c>
      <c r="I5" s="100" t="s">
        <v>112</v>
      </c>
    </row>
    <row r="6" s="92" customFormat="1" customHeight="1" spans="1:16">
      <c r="A6" s="101"/>
      <c r="B6" s="97" t="s">
        <v>24</v>
      </c>
      <c r="C6" s="97" t="s">
        <v>77</v>
      </c>
      <c r="D6" s="98" t="s">
        <v>10</v>
      </c>
      <c r="E6" s="98" t="s">
        <v>76</v>
      </c>
      <c r="F6" s="99" t="s">
        <v>89</v>
      </c>
      <c r="G6" s="99" t="s">
        <v>119</v>
      </c>
      <c r="H6" s="100" t="s">
        <v>64</v>
      </c>
      <c r="I6" s="100" t="s">
        <v>18</v>
      </c>
    </row>
    <row r="7" s="92" customFormat="1" customHeight="1" spans="1:16">
      <c r="A7" s="101"/>
      <c r="B7" s="97" t="s">
        <v>105</v>
      </c>
      <c r="C7" s="97" t="s">
        <v>33</v>
      </c>
      <c r="D7" s="98" t="s">
        <v>61</v>
      </c>
      <c r="E7" s="98" t="s">
        <v>13</v>
      </c>
      <c r="F7" s="99" t="s">
        <v>101</v>
      </c>
      <c r="G7" s="99" t="s">
        <v>52</v>
      </c>
      <c r="H7" s="100" t="s">
        <v>79</v>
      </c>
      <c r="I7" s="100" t="s">
        <v>102</v>
      </c>
    </row>
    <row r="8" s="92" customFormat="1" customHeight="1" spans="1:16">
      <c r="A8" s="101"/>
      <c r="B8" s="97" t="s">
        <v>118</v>
      </c>
      <c r="C8" s="97" t="s">
        <v>59</v>
      </c>
      <c r="D8" s="98" t="s">
        <v>71</v>
      </c>
      <c r="E8" s="98" t="s">
        <v>107</v>
      </c>
      <c r="F8" s="99" t="s">
        <v>47</v>
      </c>
      <c r="G8" s="99" t="s">
        <v>114</v>
      </c>
      <c r="H8" s="100" t="s">
        <v>55</v>
      </c>
      <c r="I8" s="100" t="s">
        <v>86</v>
      </c>
    </row>
    <row r="9" s="92" customFormat="1" customHeight="1" spans="1:16">
      <c r="A9" s="102"/>
      <c r="B9" s="103"/>
      <c r="C9" s="104"/>
      <c r="D9" s="105" t="s">
        <v>122</v>
      </c>
      <c r="E9" s="106"/>
      <c r="F9" s="107"/>
      <c r="G9" s="107"/>
      <c r="H9" s="107"/>
      <c r="I9" s="108"/>
    </row>
    <row r="10" s="92" customFormat="1" customHeight="1" spans="1:16">
      <c r="A10" s="95" t="s">
        <v>417</v>
      </c>
      <c r="B10" s="96"/>
      <c r="C10" s="97"/>
      <c r="D10" s="98" t="s">
        <v>44</v>
      </c>
      <c r="E10" s="98" t="s">
        <v>111</v>
      </c>
      <c r="F10" s="99"/>
      <c r="G10" s="99"/>
      <c r="H10" s="100"/>
      <c r="I10" s="100"/>
    </row>
    <row r="11" s="92" customFormat="1" customHeight="1" spans="1:16">
      <c r="A11" s="101"/>
      <c r="B11" s="97" t="s">
        <v>51</v>
      </c>
      <c r="C11" s="97" t="s">
        <v>94</v>
      </c>
      <c r="D11" s="98" t="s">
        <v>60</v>
      </c>
      <c r="E11" s="98" t="s">
        <v>121</v>
      </c>
      <c r="F11" s="99" t="s">
        <v>15</v>
      </c>
      <c r="G11" s="99" t="s">
        <v>81</v>
      </c>
      <c r="H11" s="100" t="s">
        <v>35</v>
      </c>
      <c r="I11" s="100" t="s">
        <v>26</v>
      </c>
    </row>
    <row r="12" s="92" customFormat="1" customHeight="1" spans="1:16">
      <c r="A12" s="101"/>
      <c r="B12" s="97" t="s">
        <v>84</v>
      </c>
      <c r="C12" s="97" t="s">
        <v>31</v>
      </c>
      <c r="D12" s="98" t="s">
        <v>7</v>
      </c>
      <c r="E12" s="98" t="s">
        <v>29</v>
      </c>
      <c r="F12" s="99" t="s">
        <v>20</v>
      </c>
      <c r="G12" s="99" t="s">
        <v>69</v>
      </c>
      <c r="H12" s="100" t="s">
        <v>40</v>
      </c>
      <c r="I12" s="100" t="s">
        <v>38</v>
      </c>
    </row>
    <row r="13" s="92" customFormat="1" customHeight="1" spans="1:16">
      <c r="A13" s="101"/>
      <c r="B13" s="97" t="s">
        <v>75</v>
      </c>
      <c r="C13" s="97" t="s">
        <v>42</v>
      </c>
      <c r="D13" s="98" t="s">
        <v>36</v>
      </c>
      <c r="E13" s="98" t="s">
        <v>112</v>
      </c>
      <c r="F13" s="99" t="s">
        <v>119</v>
      </c>
      <c r="G13" s="99" t="s">
        <v>76</v>
      </c>
      <c r="H13" s="100" t="s">
        <v>78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77</v>
      </c>
      <c r="D14" s="98" t="s">
        <v>10</v>
      </c>
      <c r="E14" s="98" t="s">
        <v>64</v>
      </c>
      <c r="F14" s="99" t="s">
        <v>27</v>
      </c>
      <c r="G14" s="99" t="s">
        <v>74</v>
      </c>
      <c r="H14" s="100" t="s">
        <v>18</v>
      </c>
      <c r="I14" s="100" t="s">
        <v>89</v>
      </c>
    </row>
    <row r="15" s="92" customFormat="1" customHeight="1" spans="1:16">
      <c r="A15" s="101"/>
      <c r="B15" s="97" t="s">
        <v>33</v>
      </c>
      <c r="C15" s="97" t="s">
        <v>105</v>
      </c>
      <c r="D15" s="98" t="s">
        <v>102</v>
      </c>
      <c r="E15" s="98" t="s">
        <v>101</v>
      </c>
      <c r="F15" s="99" t="s">
        <v>13</v>
      </c>
      <c r="G15" s="99" t="s">
        <v>52</v>
      </c>
      <c r="H15" s="100" t="s">
        <v>79</v>
      </c>
      <c r="I15" s="100" t="s">
        <v>61</v>
      </c>
    </row>
    <row r="16" s="92" customFormat="1" customHeight="1" spans="1:16">
      <c r="A16" s="101"/>
      <c r="B16" s="97" t="s">
        <v>118</v>
      </c>
      <c r="C16" s="97" t="s">
        <v>59</v>
      </c>
      <c r="D16" s="98" t="s">
        <v>114</v>
      </c>
      <c r="E16" s="98" t="s">
        <v>107</v>
      </c>
      <c r="F16" s="99" t="s">
        <v>47</v>
      </c>
      <c r="G16" s="99" t="s">
        <v>71</v>
      </c>
      <c r="H16" s="100" t="s">
        <v>122</v>
      </c>
      <c r="I16" s="100" t="s">
        <v>86</v>
      </c>
    </row>
    <row r="17" s="92" customFormat="1" customHeight="1" spans="1:9">
      <c r="A17" s="102"/>
      <c r="B17" s="103"/>
      <c r="C17" s="104"/>
      <c r="D17" s="105" t="s">
        <v>55</v>
      </c>
      <c r="E17" s="106"/>
      <c r="F17" s="107"/>
      <c r="G17" s="107"/>
      <c r="H17" s="107"/>
      <c r="I17" s="108"/>
    </row>
    <row r="18" s="92" customFormat="1" customHeight="1" spans="1:9">
      <c r="A18" s="95" t="s">
        <v>418</v>
      </c>
      <c r="B18" s="96"/>
      <c r="C18" s="97"/>
      <c r="D18" s="98" t="s">
        <v>44</v>
      </c>
      <c r="E18" s="98"/>
      <c r="F18" s="99" t="s">
        <v>111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35</v>
      </c>
      <c r="D19" s="98" t="s">
        <v>121</v>
      </c>
      <c r="E19" s="98" t="s">
        <v>81</v>
      </c>
      <c r="F19" s="99" t="s">
        <v>51</v>
      </c>
      <c r="G19" s="99" t="s">
        <v>94</v>
      </c>
      <c r="H19" s="100" t="s">
        <v>15</v>
      </c>
      <c r="I19" s="100" t="s">
        <v>60</v>
      </c>
    </row>
    <row r="20" s="92" customFormat="1" customHeight="1" spans="1:9">
      <c r="A20" s="101"/>
      <c r="B20" s="97" t="s">
        <v>69</v>
      </c>
      <c r="C20" s="97" t="s">
        <v>29</v>
      </c>
      <c r="D20" s="98" t="s">
        <v>84</v>
      </c>
      <c r="E20" s="98" t="s">
        <v>31</v>
      </c>
      <c r="F20" s="99" t="s">
        <v>38</v>
      </c>
      <c r="G20" s="99" t="s">
        <v>42</v>
      </c>
      <c r="H20" s="100" t="s">
        <v>40</v>
      </c>
      <c r="I20" s="100" t="s">
        <v>7</v>
      </c>
    </row>
    <row r="21" s="92" customFormat="1" customHeight="1" spans="1:9">
      <c r="A21" s="101"/>
      <c r="B21" s="97" t="s">
        <v>78</v>
      </c>
      <c r="C21" s="97" t="s">
        <v>75</v>
      </c>
      <c r="D21" s="98" t="s">
        <v>74</v>
      </c>
      <c r="E21" s="98" t="s">
        <v>36</v>
      </c>
      <c r="F21" s="99" t="s">
        <v>27</v>
      </c>
      <c r="G21" s="99" t="s">
        <v>20</v>
      </c>
      <c r="H21" s="100" t="s">
        <v>79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89</v>
      </c>
      <c r="D22" s="98" t="s">
        <v>76</v>
      </c>
      <c r="E22" s="98" t="s">
        <v>64</v>
      </c>
      <c r="F22" s="99" t="s">
        <v>119</v>
      </c>
      <c r="G22" s="99" t="s">
        <v>101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61</v>
      </c>
      <c r="C23" s="97" t="s">
        <v>105</v>
      </c>
      <c r="D23" s="98" t="s">
        <v>77</v>
      </c>
      <c r="E23" s="98" t="s">
        <v>33</v>
      </c>
      <c r="F23" s="99" t="s">
        <v>107</v>
      </c>
      <c r="G23" s="99" t="s">
        <v>10</v>
      </c>
      <c r="H23" s="100" t="s">
        <v>52</v>
      </c>
      <c r="I23" s="100" t="s">
        <v>47</v>
      </c>
    </row>
    <row r="24" s="92" customFormat="1" customHeight="1" spans="1:9">
      <c r="A24" s="101"/>
      <c r="B24" s="97" t="s">
        <v>114</v>
      </c>
      <c r="C24" s="97" t="s">
        <v>86</v>
      </c>
      <c r="D24" s="98" t="s">
        <v>71</v>
      </c>
      <c r="E24" s="98" t="s">
        <v>59</v>
      </c>
      <c r="F24" s="99" t="s">
        <v>77</v>
      </c>
      <c r="G24" s="99" t="s">
        <v>102</v>
      </c>
      <c r="H24" s="100" t="s">
        <v>118</v>
      </c>
      <c r="I24" s="100" t="s">
        <v>47</v>
      </c>
    </row>
    <row r="25" s="92" customFormat="1" customHeight="1" spans="1:9">
      <c r="A25" s="102"/>
      <c r="B25" s="110"/>
      <c r="C25" s="111"/>
      <c r="D25" s="105" t="s">
        <v>122</v>
      </c>
      <c r="E25" s="106"/>
      <c r="F25" s="107"/>
      <c r="G25" s="107"/>
      <c r="H25" s="107"/>
      <c r="I25" s="108"/>
    </row>
    <row r="26" customHeight="1" spans="1:9">
      <c r="A26" s="95" t="s">
        <v>419</v>
      </c>
      <c r="B26" s="96"/>
      <c r="C26" s="97"/>
      <c r="D26" s="98"/>
      <c r="E26" s="98"/>
      <c r="F26" s="99"/>
      <c r="G26" s="99"/>
      <c r="H26" s="100" t="s">
        <v>77</v>
      </c>
      <c r="I26" s="100"/>
    </row>
    <row r="27" customHeight="1" spans="1:9">
      <c r="A27" s="101"/>
      <c r="B27" s="109" t="s">
        <v>15</v>
      </c>
      <c r="C27" s="97" t="s">
        <v>35</v>
      </c>
      <c r="D27" s="98" t="s">
        <v>26</v>
      </c>
      <c r="E27" s="98" t="s">
        <v>38</v>
      </c>
      <c r="F27" s="99" t="s">
        <v>111</v>
      </c>
      <c r="G27" s="99" t="s">
        <v>81</v>
      </c>
      <c r="H27" s="100" t="s">
        <v>121</v>
      </c>
      <c r="I27" s="100" t="s">
        <v>51</v>
      </c>
    </row>
    <row r="28" customHeight="1" spans="1:9">
      <c r="A28" s="101"/>
      <c r="B28" s="97" t="s">
        <v>40</v>
      </c>
      <c r="C28" s="97" t="s">
        <v>7</v>
      </c>
      <c r="D28" s="98" t="s">
        <v>69</v>
      </c>
      <c r="E28" s="98" t="s">
        <v>29</v>
      </c>
      <c r="F28" s="99" t="s">
        <v>76</v>
      </c>
      <c r="G28" s="99" t="s">
        <v>78</v>
      </c>
      <c r="H28" s="100" t="s">
        <v>60</v>
      </c>
      <c r="I28" s="100" t="s">
        <v>44</v>
      </c>
    </row>
    <row r="29" customHeight="1" spans="1:9">
      <c r="A29" s="101"/>
      <c r="B29" s="97" t="s">
        <v>79</v>
      </c>
      <c r="C29" s="97" t="s">
        <v>55</v>
      </c>
      <c r="D29" s="98" t="s">
        <v>119</v>
      </c>
      <c r="E29" s="98" t="s">
        <v>75</v>
      </c>
      <c r="F29" s="99" t="s">
        <v>31</v>
      </c>
      <c r="G29" s="99" t="s">
        <v>36</v>
      </c>
      <c r="H29" s="100" t="s">
        <v>27</v>
      </c>
      <c r="I29" s="100" t="s">
        <v>30</v>
      </c>
    </row>
    <row r="30" customHeight="1" spans="1:9">
      <c r="A30" s="101"/>
      <c r="B30" s="97" t="s">
        <v>47</v>
      </c>
      <c r="C30" s="97" t="s">
        <v>20</v>
      </c>
      <c r="D30" s="98" t="s">
        <v>89</v>
      </c>
      <c r="E30" s="98" t="s">
        <v>74</v>
      </c>
      <c r="F30" s="99" t="s">
        <v>64</v>
      </c>
      <c r="G30" s="99" t="s">
        <v>18</v>
      </c>
      <c r="H30" s="100" t="s">
        <v>112</v>
      </c>
      <c r="I30" s="100" t="s">
        <v>24</v>
      </c>
    </row>
    <row r="31" customHeight="1" spans="1:9">
      <c r="A31" s="101"/>
      <c r="B31" s="97" t="s">
        <v>114</v>
      </c>
      <c r="C31" s="97" t="s">
        <v>52</v>
      </c>
      <c r="D31" s="98" t="s">
        <v>10</v>
      </c>
      <c r="E31" s="98" t="s">
        <v>61</v>
      </c>
      <c r="F31" s="99" t="s">
        <v>71</v>
      </c>
      <c r="G31" s="99" t="s">
        <v>33</v>
      </c>
      <c r="H31" s="100" t="s">
        <v>42</v>
      </c>
      <c r="I31" s="100" t="s">
        <v>101</v>
      </c>
    </row>
    <row r="32" customHeight="1" spans="1:9">
      <c r="A32" s="101"/>
      <c r="B32" s="97" t="s">
        <v>105</v>
      </c>
      <c r="C32" s="97" t="s">
        <v>102</v>
      </c>
      <c r="D32" s="98" t="s">
        <v>118</v>
      </c>
      <c r="E32" s="98" t="s">
        <v>94</v>
      </c>
      <c r="F32" s="99" t="s">
        <v>13</v>
      </c>
      <c r="G32" s="99" t="s">
        <v>86</v>
      </c>
      <c r="H32" s="100" t="s">
        <v>59</v>
      </c>
      <c r="I32" s="100" t="s">
        <v>107</v>
      </c>
    </row>
    <row r="33" customHeight="1" spans="1:9">
      <c r="A33" s="102"/>
      <c r="B33" s="110"/>
      <c r="C33" s="111"/>
      <c r="D33" s="105" t="s">
        <v>122</v>
      </c>
      <c r="E33" s="106"/>
      <c r="F33" s="107"/>
      <c r="G33" s="107"/>
      <c r="H33" s="107"/>
      <c r="I33" s="108"/>
    </row>
    <row r="34" customHeight="1" spans="1:9">
      <c r="A34" s="95" t="s">
        <v>420</v>
      </c>
      <c r="B34" s="96"/>
      <c r="C34" s="97"/>
      <c r="D34" s="98"/>
      <c r="E34" s="98"/>
      <c r="F34" s="99" t="s">
        <v>77</v>
      </c>
      <c r="G34" s="99" t="s">
        <v>55</v>
      </c>
      <c r="H34" s="100"/>
      <c r="I34" s="100"/>
    </row>
    <row r="35" customHeight="1" spans="1:9">
      <c r="A35" s="101"/>
      <c r="B35" s="109" t="s">
        <v>76</v>
      </c>
      <c r="C35" s="97" t="s">
        <v>121</v>
      </c>
      <c r="D35" s="98" t="s">
        <v>44</v>
      </c>
      <c r="E35" s="98" t="s">
        <v>26</v>
      </c>
      <c r="F35" s="99" t="s">
        <v>38</v>
      </c>
      <c r="G35" s="99" t="s">
        <v>15</v>
      </c>
      <c r="H35" s="100" t="s">
        <v>111</v>
      </c>
      <c r="I35" s="100" t="s">
        <v>60</v>
      </c>
    </row>
    <row r="36" customHeight="1" spans="1:9">
      <c r="A36" s="101"/>
      <c r="B36" s="97" t="s">
        <v>112</v>
      </c>
      <c r="C36" s="97" t="s">
        <v>119</v>
      </c>
      <c r="D36" s="98" t="s">
        <v>78</v>
      </c>
      <c r="E36" s="98" t="s">
        <v>51</v>
      </c>
      <c r="F36" s="99" t="s">
        <v>81</v>
      </c>
      <c r="G36" s="99" t="s">
        <v>35</v>
      </c>
      <c r="H36" s="100" t="s">
        <v>40</v>
      </c>
      <c r="I36" s="100" t="s">
        <v>69</v>
      </c>
    </row>
    <row r="37" customHeight="1" spans="1:9">
      <c r="A37" s="101"/>
      <c r="B37" s="97" t="s">
        <v>31</v>
      </c>
      <c r="C37" s="97" t="s">
        <v>29</v>
      </c>
      <c r="D37" s="98" t="s">
        <v>79</v>
      </c>
      <c r="E37" s="98" t="s">
        <v>75</v>
      </c>
      <c r="F37" s="99" t="s">
        <v>7</v>
      </c>
      <c r="G37" s="99" t="s">
        <v>30</v>
      </c>
      <c r="H37" s="100" t="s">
        <v>89</v>
      </c>
      <c r="I37" s="100" t="s">
        <v>36</v>
      </c>
    </row>
    <row r="38" customHeight="1" spans="1:9">
      <c r="A38" s="101"/>
      <c r="B38" s="97" t="s">
        <v>64</v>
      </c>
      <c r="C38" s="97" t="s">
        <v>20</v>
      </c>
      <c r="D38" s="98" t="s">
        <v>27</v>
      </c>
      <c r="E38" s="98" t="s">
        <v>42</v>
      </c>
      <c r="F38" s="99" t="s">
        <v>47</v>
      </c>
      <c r="G38" s="99" t="s">
        <v>74</v>
      </c>
      <c r="H38" s="100" t="s">
        <v>101</v>
      </c>
      <c r="I38" s="100" t="s">
        <v>10</v>
      </c>
    </row>
    <row r="39" customHeight="1" spans="1:9">
      <c r="A39" s="101"/>
      <c r="B39" s="97" t="s">
        <v>102</v>
      </c>
      <c r="C39" s="97" t="s">
        <v>114</v>
      </c>
      <c r="D39" s="98" t="s">
        <v>61</v>
      </c>
      <c r="E39" s="98" t="s">
        <v>18</v>
      </c>
      <c r="F39" s="99" t="s">
        <v>107</v>
      </c>
      <c r="G39" s="99" t="s">
        <v>13</v>
      </c>
      <c r="H39" s="100" t="s">
        <v>24</v>
      </c>
      <c r="I39" s="100" t="s">
        <v>52</v>
      </c>
    </row>
    <row r="40" customHeight="1" spans="1:9">
      <c r="A40" s="101"/>
      <c r="B40" s="97" t="s">
        <v>94</v>
      </c>
      <c r="C40" s="97" t="s">
        <v>105</v>
      </c>
      <c r="D40" s="98" t="s">
        <v>86</v>
      </c>
      <c r="E40" s="98" t="s">
        <v>118</v>
      </c>
      <c r="F40" s="99" t="s">
        <v>122</v>
      </c>
      <c r="G40" s="99" t="s">
        <v>59</v>
      </c>
      <c r="H40" s="100" t="s">
        <v>33</v>
      </c>
      <c r="I40" s="100" t="s">
        <v>71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421</v>
      </c>
      <c r="B1" s="83" t="s">
        <v>422</v>
      </c>
      <c r="C1" s="84" t="s">
        <v>211</v>
      </c>
    </row>
    <row r="2" spans="1:3">
      <c r="A2" s="85" t="s">
        <v>1</v>
      </c>
      <c r="B2" s="80" t="s">
        <v>423</v>
      </c>
      <c r="C2" s="81" t="s">
        <v>424</v>
      </c>
    </row>
    <row r="3" spans="1:3">
      <c r="A3" s="85"/>
      <c r="B3" s="80" t="s">
        <v>425</v>
      </c>
      <c r="C3" s="81" t="s">
        <v>426</v>
      </c>
    </row>
    <row r="4" spans="1:3">
      <c r="A4" s="85"/>
      <c r="B4" s="80" t="s">
        <v>427</v>
      </c>
      <c r="C4" s="81" t="s">
        <v>428</v>
      </c>
    </row>
    <row r="5" spans="1:3">
      <c r="A5" s="85"/>
      <c r="B5" s="80" t="s">
        <v>429</v>
      </c>
      <c r="C5" s="81" t="s">
        <v>430</v>
      </c>
    </row>
    <row r="6" spans="1:3">
      <c r="A6" s="85"/>
      <c r="B6" s="80" t="s">
        <v>431</v>
      </c>
      <c r="C6" s="81" t="s">
        <v>432</v>
      </c>
    </row>
    <row r="7" spans="1:3">
      <c r="A7" s="85"/>
      <c r="B7" s="80" t="s">
        <v>433</v>
      </c>
      <c r="C7" s="81" t="s">
        <v>434</v>
      </c>
    </row>
    <row r="8" spans="1:3">
      <c r="A8" s="85"/>
      <c r="B8" s="80" t="s">
        <v>435</v>
      </c>
      <c r="C8" s="81" t="s">
        <v>436</v>
      </c>
    </row>
    <row r="9" spans="1:3">
      <c r="A9" s="85"/>
      <c r="B9" s="80" t="s">
        <v>437</v>
      </c>
      <c r="C9" s="81" t="s">
        <v>438</v>
      </c>
    </row>
    <row r="10" spans="1:3">
      <c r="A10" s="85"/>
      <c r="B10" s="80" t="s">
        <v>439</v>
      </c>
      <c r="C10" s="81" t="s">
        <v>440</v>
      </c>
    </row>
    <row r="11" spans="1:3">
      <c r="A11" s="85"/>
      <c r="B11" s="80" t="s">
        <v>441</v>
      </c>
      <c r="C11" s="81" t="s">
        <v>442</v>
      </c>
    </row>
    <row r="12" spans="1:3">
      <c r="A12" s="85"/>
      <c r="B12" s="80" t="s">
        <v>443</v>
      </c>
      <c r="C12" s="81" t="s">
        <v>444</v>
      </c>
    </row>
    <row r="13" spans="1:3">
      <c r="A13" s="85"/>
      <c r="B13" s="80" t="s">
        <v>445</v>
      </c>
      <c r="C13" s="81" t="s">
        <v>446</v>
      </c>
    </row>
    <row r="14" spans="1:3">
      <c r="A14" s="85"/>
      <c r="B14" s="80" t="s">
        <v>447</v>
      </c>
      <c r="C14" s="81" t="s">
        <v>448</v>
      </c>
    </row>
    <row r="15" spans="1:3">
      <c r="A15" s="85"/>
      <c r="B15" s="80" t="s">
        <v>449</v>
      </c>
      <c r="C15" s="81" t="s">
        <v>450</v>
      </c>
    </row>
    <row r="16" spans="1:3">
      <c r="A16" s="85"/>
      <c r="B16" s="80" t="s">
        <v>451</v>
      </c>
      <c r="C16" s="81" t="s">
        <v>452</v>
      </c>
    </row>
    <row r="17" spans="1:3">
      <c r="A17" s="85"/>
      <c r="B17" s="80" t="s">
        <v>453</v>
      </c>
      <c r="C17" s="81" t="s">
        <v>454</v>
      </c>
    </row>
    <row r="18" spans="1:3">
      <c r="A18" s="85"/>
      <c r="B18" s="80" t="s">
        <v>455</v>
      </c>
      <c r="C18" s="81" t="s">
        <v>456</v>
      </c>
    </row>
    <row r="19" spans="1:3">
      <c r="A19" s="85"/>
      <c r="B19" s="80" t="s">
        <v>457</v>
      </c>
      <c r="C19" s="81" t="s">
        <v>458</v>
      </c>
    </row>
    <row r="20" spans="1:3">
      <c r="A20" s="85"/>
      <c r="B20" s="80" t="s">
        <v>459</v>
      </c>
      <c r="C20" s="81" t="s">
        <v>460</v>
      </c>
    </row>
    <row r="21" spans="1:3">
      <c r="A21" s="85"/>
      <c r="B21" s="80" t="s">
        <v>459</v>
      </c>
      <c r="C21" s="81" t="s">
        <v>461</v>
      </c>
    </row>
    <row r="22" spans="1:3">
      <c r="A22" s="85"/>
      <c r="B22" s="80" t="s">
        <v>462</v>
      </c>
      <c r="C22" s="81" t="s">
        <v>463</v>
      </c>
    </row>
    <row r="23" spans="1:3">
      <c r="A23" s="85"/>
      <c r="B23" s="80" t="s">
        <v>464</v>
      </c>
      <c r="C23" s="81" t="s">
        <v>465</v>
      </c>
    </row>
    <row r="24" spans="1:3">
      <c r="A24" s="85"/>
      <c r="B24" s="80" t="s">
        <v>466</v>
      </c>
      <c r="C24" s="81" t="s">
        <v>467</v>
      </c>
    </row>
    <row r="25" spans="1:3">
      <c r="A25" s="86" t="s">
        <v>2</v>
      </c>
      <c r="B25" s="80" t="s">
        <v>468</v>
      </c>
      <c r="C25" s="81" t="s">
        <v>469</v>
      </c>
    </row>
    <row r="26" spans="1:3">
      <c r="A26" s="86"/>
      <c r="B26" s="80" t="s">
        <v>470</v>
      </c>
      <c r="C26" s="81" t="s">
        <v>471</v>
      </c>
    </row>
    <row r="27" spans="1:3">
      <c r="A27" s="86"/>
      <c r="B27" s="80" t="s">
        <v>472</v>
      </c>
      <c r="C27" s="81" t="s">
        <v>473</v>
      </c>
    </row>
    <row r="28" spans="1:3">
      <c r="A28" s="86"/>
      <c r="B28" s="80" t="s">
        <v>474</v>
      </c>
      <c r="C28" s="81" t="s">
        <v>475</v>
      </c>
    </row>
    <row r="29" spans="1:3">
      <c r="A29" s="86"/>
      <c r="B29" s="80" t="s">
        <v>476</v>
      </c>
      <c r="C29" s="81" t="s">
        <v>477</v>
      </c>
    </row>
    <row r="30" spans="1:3">
      <c r="A30" s="86"/>
      <c r="B30" s="80" t="s">
        <v>478</v>
      </c>
      <c r="C30" s="81" t="s">
        <v>479</v>
      </c>
    </row>
    <row r="31" spans="1:3">
      <c r="A31" s="86"/>
      <c r="B31" s="80" t="s">
        <v>480</v>
      </c>
      <c r="C31" s="81" t="s">
        <v>481</v>
      </c>
    </row>
    <row r="32" spans="1:3">
      <c r="A32" s="86"/>
      <c r="B32" s="80" t="s">
        <v>482</v>
      </c>
      <c r="C32" s="81" t="s">
        <v>483</v>
      </c>
    </row>
    <row r="33" spans="1:3">
      <c r="A33" s="86"/>
      <c r="B33" s="80" t="s">
        <v>484</v>
      </c>
      <c r="C33" s="81" t="s">
        <v>485</v>
      </c>
    </row>
    <row r="34" spans="1:3">
      <c r="A34" s="86"/>
      <c r="B34" s="80" t="s">
        <v>486</v>
      </c>
      <c r="C34" s="81" t="s">
        <v>487</v>
      </c>
    </row>
    <row r="35" spans="1:3">
      <c r="A35" s="86"/>
      <c r="B35" s="80" t="s">
        <v>488</v>
      </c>
      <c r="C35" s="81" t="s">
        <v>489</v>
      </c>
    </row>
    <row r="36" spans="1:3">
      <c r="A36" s="86"/>
      <c r="B36" s="80" t="s">
        <v>490</v>
      </c>
      <c r="C36" s="81" t="s">
        <v>491</v>
      </c>
    </row>
    <row r="37" spans="1:3">
      <c r="A37" s="87"/>
      <c r="B37" s="80" t="s">
        <v>492</v>
      </c>
      <c r="C37" s="81" t="s">
        <v>493</v>
      </c>
    </row>
    <row r="38" spans="1:3">
      <c r="A38" s="88" t="s">
        <v>3</v>
      </c>
      <c r="B38" s="80" t="s">
        <v>494</v>
      </c>
      <c r="C38" s="81" t="s">
        <v>495</v>
      </c>
    </row>
    <row r="39" spans="1:3">
      <c r="A39" s="89"/>
      <c r="B39" s="80" t="s">
        <v>496</v>
      </c>
      <c r="C39" s="81" t="s">
        <v>497</v>
      </c>
    </row>
    <row r="40" spans="1:3">
      <c r="A40" s="89"/>
      <c r="B40" s="80" t="s">
        <v>498</v>
      </c>
      <c r="C40" s="81" t="s">
        <v>499</v>
      </c>
    </row>
    <row r="41" spans="1:3">
      <c r="A41" s="89"/>
      <c r="B41" s="80" t="s">
        <v>500</v>
      </c>
      <c r="C41" s="81" t="s">
        <v>432</v>
      </c>
    </row>
    <row r="42" spans="1:3">
      <c r="A42" s="89"/>
      <c r="B42" s="80" t="s">
        <v>501</v>
      </c>
      <c r="C42" s="81" t="s">
        <v>502</v>
      </c>
    </row>
    <row r="43" spans="1:3">
      <c r="A43" s="89"/>
      <c r="B43" s="80" t="s">
        <v>503</v>
      </c>
      <c r="C43" s="81" t="s">
        <v>504</v>
      </c>
    </row>
    <row r="44" spans="1:3">
      <c r="A44" s="89"/>
      <c r="B44" s="80" t="s">
        <v>505</v>
      </c>
      <c r="C44" s="81" t="s">
        <v>506</v>
      </c>
    </row>
    <row r="45" spans="1:3">
      <c r="A45" s="89"/>
      <c r="B45" s="80" t="s">
        <v>507</v>
      </c>
      <c r="C45" s="81" t="s">
        <v>508</v>
      </c>
    </row>
    <row r="46" spans="1:3">
      <c r="A46" s="89"/>
      <c r="B46" s="80" t="s">
        <v>509</v>
      </c>
      <c r="C46" s="81" t="s">
        <v>510</v>
      </c>
    </row>
    <row r="47" spans="1:3">
      <c r="A47" s="89"/>
      <c r="B47" s="80" t="s">
        <v>511</v>
      </c>
      <c r="C47" s="81" t="s">
        <v>512</v>
      </c>
    </row>
    <row r="48" spans="1:3">
      <c r="A48" s="89"/>
      <c r="B48" s="80" t="s">
        <v>513</v>
      </c>
      <c r="C48" s="81" t="s">
        <v>514</v>
      </c>
    </row>
    <row r="49" spans="1:3">
      <c r="A49" s="89"/>
      <c r="B49" s="80" t="s">
        <v>515</v>
      </c>
      <c r="C49" s="81" t="s">
        <v>516</v>
      </c>
    </row>
    <row r="50" spans="1:3">
      <c r="A50" s="90"/>
      <c r="B50" s="80" t="s">
        <v>517</v>
      </c>
      <c r="C50" s="81" t="s">
        <v>518</v>
      </c>
    </row>
    <row r="51" customFormat="1" spans="1:3">
      <c r="A51" s="79"/>
      <c r="B51" s="80" t="s">
        <v>519</v>
      </c>
      <c r="C51" s="81"/>
    </row>
    <row r="52" customFormat="1" spans="1:3">
      <c r="A52" s="79"/>
      <c r="B52" s="80" t="s">
        <v>519</v>
      </c>
      <c r="C52" s="81"/>
    </row>
    <row r="53" customFormat="1" spans="1:3">
      <c r="A53" s="79"/>
      <c r="B53" s="80" t="s">
        <v>519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6" workbookViewId="0">
      <selection activeCell="G37" sqref="G37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353</v>
      </c>
      <c r="B1" s="68" t="s">
        <v>0</v>
      </c>
      <c r="C1" s="69" t="s">
        <v>520</v>
      </c>
      <c r="D1" s="70" t="s">
        <v>521</v>
      </c>
    </row>
    <row r="2" spans="1:4">
      <c r="A2" s="71">
        <v>1</v>
      </c>
      <c r="B2" s="72" t="s">
        <v>7</v>
      </c>
      <c r="C2" s="73">
        <v>20111216</v>
      </c>
      <c r="D2" s="66" t="s">
        <v>522</v>
      </c>
    </row>
    <row r="3" spans="1:4">
      <c r="A3" s="71">
        <v>2</v>
      </c>
      <c r="B3" s="72" t="s">
        <v>10</v>
      </c>
      <c r="C3" s="74">
        <v>20111227</v>
      </c>
      <c r="D3" s="66" t="s">
        <v>523</v>
      </c>
    </row>
    <row r="4" spans="1:4">
      <c r="A4" s="71">
        <v>3</v>
      </c>
      <c r="B4" s="72" t="s">
        <v>13</v>
      </c>
      <c r="C4" s="74">
        <v>20120518</v>
      </c>
      <c r="D4" s="66" t="s">
        <v>524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371</v>
      </c>
    </row>
    <row r="7" spans="1:4">
      <c r="A7" s="71">
        <v>6</v>
      </c>
      <c r="B7" s="72" t="s">
        <v>20</v>
      </c>
      <c r="C7" s="74">
        <v>20120809</v>
      </c>
      <c r="D7" s="66" t="s">
        <v>525</v>
      </c>
    </row>
    <row r="8" spans="1:4">
      <c r="A8" s="71">
        <v>7</v>
      </c>
      <c r="B8" s="72" t="s">
        <v>24</v>
      </c>
      <c r="C8" s="74">
        <v>20120227</v>
      </c>
      <c r="D8" s="66" t="s">
        <v>526</v>
      </c>
    </row>
    <row r="9" spans="1:4">
      <c r="A9" s="71">
        <v>8</v>
      </c>
      <c r="B9" s="72" t="s">
        <v>26</v>
      </c>
      <c r="C9" s="74">
        <v>20120127</v>
      </c>
      <c r="D9" s="66" t="s">
        <v>527</v>
      </c>
    </row>
    <row r="10" spans="1:4">
      <c r="A10" s="71">
        <v>9</v>
      </c>
      <c r="B10" s="72" t="s">
        <v>27</v>
      </c>
      <c r="C10" s="74">
        <v>20111202</v>
      </c>
      <c r="D10" s="66" t="s">
        <v>528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529</v>
      </c>
    </row>
    <row r="13" spans="1:4">
      <c r="A13" s="71">
        <v>12</v>
      </c>
      <c r="B13" s="72" t="s">
        <v>31</v>
      </c>
      <c r="C13" s="74">
        <v>20110908</v>
      </c>
      <c r="D13" s="66" t="s">
        <v>530</v>
      </c>
    </row>
    <row r="14" spans="1:4">
      <c r="A14" s="71">
        <v>13</v>
      </c>
      <c r="B14" s="72" t="s">
        <v>33</v>
      </c>
      <c r="C14" s="74">
        <v>20120228</v>
      </c>
      <c r="D14" s="66" t="s">
        <v>531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532</v>
      </c>
    </row>
    <row r="17" spans="1:4">
      <c r="A17" s="71">
        <v>16</v>
      </c>
      <c r="B17" s="72" t="s">
        <v>38</v>
      </c>
      <c r="C17" s="74">
        <v>20120722</v>
      </c>
      <c r="D17" s="66" t="s">
        <v>533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534</v>
      </c>
    </row>
    <row r="21" spans="1:4">
      <c r="A21" s="71">
        <v>20</v>
      </c>
      <c r="B21" s="72" t="s">
        <v>47</v>
      </c>
      <c r="C21" s="74">
        <v>20120827</v>
      </c>
      <c r="D21" s="66" t="s">
        <v>535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536</v>
      </c>
    </row>
    <row r="24" spans="1:4">
      <c r="A24" s="71">
        <v>23</v>
      </c>
      <c r="B24" s="72" t="s">
        <v>55</v>
      </c>
      <c r="C24" s="74">
        <v>20120413</v>
      </c>
      <c r="D24" s="66" t="s">
        <v>537</v>
      </c>
    </row>
    <row r="25" spans="1:4">
      <c r="A25" s="71">
        <v>24</v>
      </c>
      <c r="B25" s="72" t="s">
        <v>59</v>
      </c>
      <c r="C25" s="74">
        <v>20120629</v>
      </c>
      <c r="D25" s="66" t="s">
        <v>538</v>
      </c>
    </row>
    <row r="26" spans="1:4">
      <c r="A26" s="71">
        <v>25</v>
      </c>
      <c r="B26" s="72" t="s">
        <v>60</v>
      </c>
      <c r="C26" s="74">
        <v>20111105</v>
      </c>
      <c r="D26" s="66" t="s">
        <v>539</v>
      </c>
    </row>
    <row r="27" spans="1:4">
      <c r="A27" s="71">
        <v>26</v>
      </c>
      <c r="B27" s="72" t="s">
        <v>61</v>
      </c>
      <c r="C27" s="74">
        <v>20120112</v>
      </c>
      <c r="D27" s="66" t="s">
        <v>540</v>
      </c>
    </row>
    <row r="28" spans="1:4">
      <c r="A28" s="71">
        <v>27</v>
      </c>
      <c r="B28" s="72" t="s">
        <v>64</v>
      </c>
      <c r="C28" s="74">
        <v>20111119</v>
      </c>
      <c r="D28" s="66" t="s">
        <v>541</v>
      </c>
    </row>
    <row r="29" customFormat="1" spans="1:4">
      <c r="A29" s="71">
        <v>28</v>
      </c>
      <c r="B29" s="72" t="s">
        <v>69</v>
      </c>
      <c r="C29" s="74">
        <v>20120110</v>
      </c>
      <c r="D29" s="66"/>
    </row>
    <row r="30" spans="1:4">
      <c r="A30" s="71">
        <v>29</v>
      </c>
      <c r="B30" s="72" t="s">
        <v>71</v>
      </c>
      <c r="C30" s="74">
        <v>20120331</v>
      </c>
      <c r="D30" s="66" t="s">
        <v>542</v>
      </c>
    </row>
    <row r="31" spans="1:4">
      <c r="A31" s="71">
        <v>30</v>
      </c>
      <c r="B31" s="72" t="s">
        <v>74</v>
      </c>
      <c r="C31" s="74">
        <v>20111109</v>
      </c>
      <c r="D31" s="66" t="s">
        <v>543</v>
      </c>
    </row>
    <row r="32" spans="1:4">
      <c r="A32" s="71">
        <v>31</v>
      </c>
      <c r="B32" s="72" t="s">
        <v>75</v>
      </c>
      <c r="C32" s="74">
        <v>20120824</v>
      </c>
      <c r="D32" s="66" t="s">
        <v>544</v>
      </c>
    </row>
    <row r="33" customFormat="1" spans="1:5">
      <c r="A33" s="71">
        <v>32</v>
      </c>
      <c r="B33" s="72" t="s">
        <v>76</v>
      </c>
      <c r="C33" s="74">
        <v>20120425</v>
      </c>
      <c r="D33" s="66"/>
    </row>
    <row r="34" spans="1:5">
      <c r="A34" s="71">
        <v>33</v>
      </c>
      <c r="B34" s="72" t="s">
        <v>77</v>
      </c>
      <c r="C34" s="74">
        <v>20120624</v>
      </c>
      <c r="D34" s="66" t="s">
        <v>545</v>
      </c>
    </row>
    <row r="35" customFormat="1" spans="1:5">
      <c r="A35" s="71">
        <v>34</v>
      </c>
      <c r="B35" s="72" t="s">
        <v>78</v>
      </c>
      <c r="C35" s="74">
        <v>20120507</v>
      </c>
      <c r="D35" s="66"/>
    </row>
    <row r="36" spans="1:5">
      <c r="A36" s="71">
        <v>35</v>
      </c>
      <c r="B36" s="72" t="s">
        <v>79</v>
      </c>
      <c r="C36" s="74">
        <v>20120603</v>
      </c>
      <c r="D36" s="66" t="s">
        <v>546</v>
      </c>
    </row>
    <row r="37" spans="1:5">
      <c r="A37" s="71">
        <v>36</v>
      </c>
      <c r="B37" s="72" t="s">
        <v>81</v>
      </c>
      <c r="C37" s="73">
        <v>20120326</v>
      </c>
      <c r="D37" s="66" t="s">
        <v>547</v>
      </c>
    </row>
    <row r="38" spans="1:5">
      <c r="A38" s="75">
        <v>37</v>
      </c>
      <c r="B38" s="75" t="s">
        <v>84</v>
      </c>
      <c r="C38" s="76">
        <v>20111106</v>
      </c>
      <c r="D38" s="77" t="s">
        <v>548</v>
      </c>
      <c r="E38" t="s">
        <v>549</v>
      </c>
    </row>
    <row r="39" spans="1:5">
      <c r="A39" s="71">
        <v>38</v>
      </c>
      <c r="B39" s="72" t="s">
        <v>86</v>
      </c>
      <c r="C39" s="74">
        <v>20120811</v>
      </c>
      <c r="D39" s="78" t="s">
        <v>550</v>
      </c>
    </row>
    <row r="40" spans="1:5">
      <c r="A40" s="71">
        <v>39</v>
      </c>
      <c r="B40" s="72" t="s">
        <v>89</v>
      </c>
      <c r="C40" s="74">
        <v>20111217</v>
      </c>
      <c r="D40" s="78" t="s">
        <v>551</v>
      </c>
    </row>
    <row r="41" spans="1:5">
      <c r="A41" s="71">
        <v>40</v>
      </c>
      <c r="B41" s="72" t="s">
        <v>94</v>
      </c>
      <c r="C41" s="74">
        <v>20111013</v>
      </c>
      <c r="D41" s="66" t="s">
        <v>552</v>
      </c>
      <c r="E41" t="s">
        <v>549</v>
      </c>
    </row>
    <row r="42" customFormat="1" spans="1:5">
      <c r="A42" s="71">
        <v>41</v>
      </c>
      <c r="B42" s="72" t="s">
        <v>101</v>
      </c>
      <c r="C42" s="74">
        <v>20111027</v>
      </c>
      <c r="D42" s="66"/>
    </row>
    <row r="43" spans="1:5">
      <c r="A43" s="71">
        <v>42</v>
      </c>
      <c r="B43" s="72" t="s">
        <v>102</v>
      </c>
      <c r="C43" s="74">
        <v>20120207</v>
      </c>
      <c r="D43" s="66" t="s">
        <v>553</v>
      </c>
    </row>
    <row r="44" customFormat="1" spans="1:5">
      <c r="A44" s="71">
        <v>43</v>
      </c>
      <c r="B44" s="72" t="s">
        <v>105</v>
      </c>
      <c r="C44" s="73">
        <v>20120508</v>
      </c>
      <c r="D44" s="66"/>
    </row>
    <row r="45" spans="1:5">
      <c r="A45" s="71">
        <v>44</v>
      </c>
      <c r="B45" s="72" t="s">
        <v>107</v>
      </c>
      <c r="C45" s="74">
        <v>20110929</v>
      </c>
      <c r="D45" s="66" t="s">
        <v>554</v>
      </c>
    </row>
    <row r="46" customFormat="1" spans="1:5">
      <c r="A46" s="71">
        <v>45</v>
      </c>
      <c r="B46" s="72" t="s">
        <v>111</v>
      </c>
      <c r="C46" s="74">
        <v>20111205</v>
      </c>
      <c r="D46" s="66"/>
    </row>
    <row r="47" spans="1:5">
      <c r="A47" s="71">
        <v>46</v>
      </c>
      <c r="B47" s="72" t="s">
        <v>112</v>
      </c>
      <c r="C47" s="74">
        <v>20120108</v>
      </c>
      <c r="D47" s="66" t="s">
        <v>555</v>
      </c>
      <c r="E47" t="s">
        <v>549</v>
      </c>
    </row>
    <row r="48" spans="1:5">
      <c r="A48" s="71">
        <v>47</v>
      </c>
      <c r="B48" s="72" t="s">
        <v>114</v>
      </c>
      <c r="C48" s="74">
        <v>20120311</v>
      </c>
      <c r="D48" s="66" t="s">
        <v>556</v>
      </c>
    </row>
    <row r="49" customFormat="1" spans="1:4">
      <c r="A49" s="71">
        <v>48</v>
      </c>
      <c r="B49" s="72" t="s">
        <v>118</v>
      </c>
      <c r="C49" s="74">
        <v>20110902</v>
      </c>
      <c r="D49" s="66"/>
    </row>
    <row r="50" spans="1:4">
      <c r="A50" s="71">
        <v>49</v>
      </c>
      <c r="B50" s="72" t="s">
        <v>119</v>
      </c>
      <c r="C50" s="74">
        <v>20120723</v>
      </c>
      <c r="D50" s="66" t="s">
        <v>557</v>
      </c>
    </row>
    <row r="51" customFormat="1" spans="1:4">
      <c r="A51" s="71">
        <v>50</v>
      </c>
      <c r="B51" s="72" t="s">
        <v>121</v>
      </c>
      <c r="C51" s="74">
        <v>20120101</v>
      </c>
      <c r="D51" s="66"/>
    </row>
    <row r="52" spans="1:4">
      <c r="A52" s="71">
        <v>51</v>
      </c>
      <c r="B52" s="72" t="s">
        <v>122</v>
      </c>
      <c r="C52" s="74">
        <v>20111220</v>
      </c>
      <c r="D52" s="66" t="s">
        <v>558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559</v>
      </c>
      <c r="B1" s="35" t="s">
        <v>560</v>
      </c>
      <c r="C1" s="36" t="s">
        <v>561</v>
      </c>
      <c r="D1" s="37"/>
      <c r="E1" s="38" t="s">
        <v>562</v>
      </c>
    </row>
    <row r="2" s="28" customFormat="1" ht="409" customHeight="1" spans="1:5">
      <c r="A2" s="39" t="s">
        <v>376</v>
      </c>
      <c r="B2" s="40" t="s">
        <v>262</v>
      </c>
      <c r="C2" s="41" t="s">
        <v>563</v>
      </c>
      <c r="D2" s="32" t="s">
        <v>564</v>
      </c>
      <c r="E2" s="33" t="s">
        <v>565</v>
      </c>
    </row>
    <row r="3" s="28" customFormat="1" ht="56" spans="1:5">
      <c r="A3" s="42"/>
      <c r="B3" s="43"/>
      <c r="C3" s="44"/>
      <c r="D3" s="32" t="s">
        <v>566</v>
      </c>
      <c r="E3" s="33" t="s">
        <v>567</v>
      </c>
    </row>
    <row r="4" s="28" customFormat="1" spans="1:5">
      <c r="A4" s="42"/>
      <c r="B4" s="43"/>
      <c r="C4" s="44"/>
      <c r="D4" s="32" t="s">
        <v>568</v>
      </c>
      <c r="E4" s="33" t="s">
        <v>569</v>
      </c>
    </row>
    <row r="5" s="28" customFormat="1" ht="56" spans="1:5">
      <c r="A5" s="42"/>
      <c r="B5" s="43"/>
      <c r="C5" s="44"/>
      <c r="D5" s="32" t="s">
        <v>570</v>
      </c>
      <c r="E5" s="33" t="s">
        <v>571</v>
      </c>
    </row>
    <row r="6" s="28" customFormat="1" ht="238" spans="1:5">
      <c r="A6" s="42"/>
      <c r="B6" s="43"/>
      <c r="C6" s="44"/>
      <c r="D6" s="32" t="s">
        <v>572</v>
      </c>
      <c r="E6" s="33" t="s">
        <v>573</v>
      </c>
    </row>
    <row r="7" s="28" customFormat="1" ht="238" spans="1:5">
      <c r="A7" s="42"/>
      <c r="B7" s="43"/>
      <c r="C7" s="41" t="s">
        <v>574</v>
      </c>
      <c r="D7" s="32" t="s">
        <v>575</v>
      </c>
      <c r="E7" s="33" t="s">
        <v>576</v>
      </c>
    </row>
    <row r="8" s="28" customFormat="1" ht="56" spans="1:5">
      <c r="A8" s="42"/>
      <c r="B8" s="43"/>
      <c r="C8" s="44"/>
      <c r="D8" s="32" t="s">
        <v>577</v>
      </c>
      <c r="E8" s="33" t="s">
        <v>578</v>
      </c>
    </row>
    <row r="9" s="28" customFormat="1" ht="84" spans="1:5">
      <c r="A9" s="42"/>
      <c r="B9" s="43"/>
      <c r="C9" s="44"/>
      <c r="D9" s="32" t="s">
        <v>579</v>
      </c>
      <c r="E9" s="33" t="s">
        <v>580</v>
      </c>
    </row>
    <row r="10" s="28" customFormat="1" ht="28" spans="1:5">
      <c r="A10" s="42"/>
      <c r="B10" s="43"/>
      <c r="C10" s="44"/>
      <c r="D10" s="32" t="s">
        <v>581</v>
      </c>
      <c r="E10" s="33" t="s">
        <v>582</v>
      </c>
    </row>
    <row r="11" s="28" customFormat="1" spans="1:5">
      <c r="A11" s="42"/>
      <c r="B11" s="43"/>
      <c r="C11" s="45"/>
      <c r="D11" s="32" t="s">
        <v>583</v>
      </c>
      <c r="E11" s="33" t="s">
        <v>584</v>
      </c>
    </row>
    <row r="12" s="28" customFormat="1" ht="154" spans="1:5">
      <c r="A12" s="42"/>
      <c r="B12" s="43"/>
      <c r="C12" s="31"/>
      <c r="D12" s="32" t="s">
        <v>585</v>
      </c>
      <c r="E12" s="33" t="s">
        <v>586</v>
      </c>
    </row>
    <row r="13" s="28" customFormat="1" ht="56" spans="1:5">
      <c r="A13" s="42"/>
      <c r="B13" s="43"/>
      <c r="C13" s="46" t="s">
        <v>587</v>
      </c>
      <c r="D13" s="37"/>
      <c r="E13" s="33" t="s">
        <v>588</v>
      </c>
    </row>
    <row r="14" s="28" customFormat="1" ht="84" spans="1:5">
      <c r="A14" s="42"/>
      <c r="B14" s="43"/>
      <c r="C14" s="46" t="s">
        <v>589</v>
      </c>
      <c r="D14" s="37"/>
      <c r="E14" s="33" t="s">
        <v>590</v>
      </c>
    </row>
    <row r="15" s="28" customFormat="1" ht="28" spans="1:5">
      <c r="A15" s="42"/>
      <c r="B15" s="43"/>
      <c r="C15" s="46" t="s">
        <v>591</v>
      </c>
      <c r="D15" s="37"/>
      <c r="E15" s="33" t="s">
        <v>592</v>
      </c>
    </row>
    <row r="16" s="28" customFormat="1" spans="1:5">
      <c r="A16" s="42"/>
      <c r="B16" s="43"/>
      <c r="C16" s="46" t="s">
        <v>593</v>
      </c>
      <c r="D16" s="37"/>
      <c r="E16" s="33"/>
    </row>
    <row r="17" s="28" customFormat="1" spans="1:5">
      <c r="A17" s="42"/>
      <c r="B17" s="43"/>
      <c r="C17" s="46" t="s">
        <v>594</v>
      </c>
      <c r="D17" s="37"/>
      <c r="E17" s="33" t="s">
        <v>595</v>
      </c>
    </row>
    <row r="18" s="28" customFormat="1" spans="1:5">
      <c r="A18" s="42"/>
      <c r="B18" s="43"/>
      <c r="C18" s="41" t="s">
        <v>596</v>
      </c>
      <c r="D18" s="32" t="s">
        <v>597</v>
      </c>
      <c r="E18" s="33" t="s">
        <v>598</v>
      </c>
    </row>
    <row r="19" s="28" customFormat="1" spans="1:5">
      <c r="A19" s="42"/>
      <c r="B19" s="43"/>
      <c r="C19" s="45"/>
      <c r="D19" s="32" t="s">
        <v>599</v>
      </c>
      <c r="E19" s="33" t="s">
        <v>600</v>
      </c>
    </row>
    <row r="20" s="28" customFormat="1" spans="1:5">
      <c r="A20" s="42"/>
      <c r="B20" s="43"/>
      <c r="C20" s="46" t="s">
        <v>601</v>
      </c>
      <c r="D20" s="37"/>
      <c r="E20" s="33"/>
    </row>
    <row r="21" s="28" customFormat="1" spans="1:5">
      <c r="A21" s="42"/>
      <c r="B21" s="43"/>
      <c r="C21" s="46" t="s">
        <v>602</v>
      </c>
      <c r="D21" s="37"/>
      <c r="E21" s="33" t="s">
        <v>603</v>
      </c>
    </row>
    <row r="22" s="28" customFormat="1" ht="28" spans="1:5">
      <c r="A22" s="42"/>
      <c r="B22" s="43"/>
      <c r="C22" s="46" t="s">
        <v>604</v>
      </c>
      <c r="D22" s="47"/>
      <c r="E22" s="33" t="s">
        <v>605</v>
      </c>
    </row>
    <row r="23" s="28" customFormat="1" spans="1:5">
      <c r="A23" s="42"/>
      <c r="B23" s="43"/>
      <c r="C23" s="31" t="s">
        <v>323</v>
      </c>
      <c r="D23" s="31"/>
      <c r="E23" s="33" t="s">
        <v>606</v>
      </c>
    </row>
    <row r="24" s="28" customFormat="1" spans="1:5">
      <c r="A24" s="42"/>
      <c r="B24" s="43"/>
      <c r="C24" s="31" t="s">
        <v>607</v>
      </c>
      <c r="D24" s="31"/>
      <c r="E24" s="33" t="s">
        <v>608</v>
      </c>
    </row>
    <row r="25" s="28" customFormat="1" ht="28" spans="1:5">
      <c r="A25" s="39" t="s">
        <v>374</v>
      </c>
      <c r="B25" s="40" t="s">
        <v>375</v>
      </c>
      <c r="C25" s="44" t="s">
        <v>563</v>
      </c>
      <c r="D25" s="48" t="s">
        <v>609</v>
      </c>
      <c r="E25" s="33" t="s">
        <v>610</v>
      </c>
    </row>
    <row r="26" s="28" customFormat="1" spans="1:5">
      <c r="A26" s="42"/>
      <c r="B26" s="43"/>
      <c r="C26" s="44"/>
      <c r="D26" s="32" t="s">
        <v>611</v>
      </c>
      <c r="E26" s="33" t="s">
        <v>612</v>
      </c>
    </row>
    <row r="27" s="28" customFormat="1" ht="28" spans="1:5">
      <c r="A27" s="42"/>
      <c r="B27" s="43"/>
      <c r="C27" s="44"/>
      <c r="D27" s="32" t="s">
        <v>613</v>
      </c>
      <c r="E27" s="33" t="s">
        <v>614</v>
      </c>
    </row>
    <row r="28" s="28" customFormat="1" ht="42" spans="1:5">
      <c r="A28" s="42"/>
      <c r="B28" s="43"/>
      <c r="C28" s="44"/>
      <c r="D28" s="32" t="s">
        <v>615</v>
      </c>
      <c r="E28" s="33" t="s">
        <v>616</v>
      </c>
    </row>
    <row r="29" s="28" customFormat="1" ht="42" spans="1:5">
      <c r="A29" s="39" t="s">
        <v>370</v>
      </c>
      <c r="B29" s="40" t="s">
        <v>371</v>
      </c>
      <c r="C29" s="41" t="s">
        <v>563</v>
      </c>
      <c r="D29" s="32" t="s">
        <v>564</v>
      </c>
      <c r="E29" s="33" t="s">
        <v>617</v>
      </c>
    </row>
    <row r="30" s="28" customFormat="1" ht="70" spans="1:5">
      <c r="A30" s="42"/>
      <c r="B30" s="43"/>
      <c r="C30" s="44"/>
      <c r="D30" s="32" t="s">
        <v>618</v>
      </c>
      <c r="E30" s="33" t="s">
        <v>619</v>
      </c>
    </row>
    <row r="31" s="28" customFormat="1" spans="1:5">
      <c r="A31" s="42"/>
      <c r="B31" s="43"/>
      <c r="C31" s="44"/>
      <c r="D31" s="32" t="s">
        <v>609</v>
      </c>
      <c r="E31" s="33" t="s">
        <v>620</v>
      </c>
    </row>
    <row r="32" s="28" customFormat="1" ht="28" spans="1:5">
      <c r="A32" s="42"/>
      <c r="B32" s="43"/>
      <c r="C32" s="45"/>
      <c r="D32" s="32" t="s">
        <v>621</v>
      </c>
      <c r="E32" s="33" t="s">
        <v>622</v>
      </c>
    </row>
    <row r="33" s="28" customFormat="1" ht="42" spans="1:5">
      <c r="A33" s="42"/>
      <c r="B33" s="49"/>
      <c r="C33" s="46" t="s">
        <v>574</v>
      </c>
      <c r="D33" s="47"/>
      <c r="E33" s="33" t="s">
        <v>623</v>
      </c>
    </row>
    <row r="34" s="28" customFormat="1" ht="42" spans="1:5">
      <c r="A34" s="42"/>
      <c r="B34" s="50" t="s">
        <v>624</v>
      </c>
      <c r="C34" s="36" t="s">
        <v>574</v>
      </c>
      <c r="D34" s="51"/>
      <c r="E34" s="52" t="s">
        <v>625</v>
      </c>
    </row>
    <row r="35" s="28" customFormat="1" ht="42" spans="1:5">
      <c r="A35" s="53"/>
      <c r="B35" s="54"/>
      <c r="C35" s="36" t="s">
        <v>563</v>
      </c>
      <c r="D35" s="51"/>
      <c r="E35" s="52" t="s">
        <v>626</v>
      </c>
    </row>
    <row r="36" s="28" customFormat="1" spans="1:5">
      <c r="A36" s="39" t="s">
        <v>377</v>
      </c>
      <c r="B36" s="55" t="s">
        <v>627</v>
      </c>
      <c r="C36" s="56"/>
      <c r="D36" s="57"/>
      <c r="E36" s="52" t="s">
        <v>142</v>
      </c>
    </row>
    <row r="37" s="28" customFormat="1" spans="1:5">
      <c r="A37" s="53"/>
      <c r="B37" s="58" t="s">
        <v>628</v>
      </c>
      <c r="C37" s="59"/>
      <c r="D37" s="60"/>
      <c r="E37" s="33" t="s">
        <v>629</v>
      </c>
    </row>
    <row r="38" s="28" customFormat="1" spans="1:5">
      <c r="A38" s="29" t="s">
        <v>378</v>
      </c>
      <c r="B38" s="58" t="s">
        <v>630</v>
      </c>
      <c r="C38" s="59"/>
      <c r="D38" s="60"/>
      <c r="E38" s="33" t="s">
        <v>631</v>
      </c>
    </row>
    <row r="39" s="28" customFormat="1" spans="1:5">
      <c r="A39" s="39" t="s">
        <v>380</v>
      </c>
      <c r="B39" s="40" t="s">
        <v>632</v>
      </c>
      <c r="C39" s="41" t="s">
        <v>563</v>
      </c>
      <c r="D39" s="32" t="s">
        <v>633</v>
      </c>
      <c r="E39" s="33" t="s">
        <v>634</v>
      </c>
    </row>
    <row r="40" s="28" customFormat="1" spans="1:5">
      <c r="A40" s="42"/>
      <c r="B40" s="43"/>
      <c r="C40" s="45"/>
      <c r="D40" s="32" t="s">
        <v>635</v>
      </c>
      <c r="E40" s="33" t="s">
        <v>636</v>
      </c>
    </row>
    <row r="41" s="28" customFormat="1" spans="1:5">
      <c r="A41" s="42"/>
      <c r="B41" s="43"/>
      <c r="C41" s="46" t="s">
        <v>637</v>
      </c>
      <c r="D41" s="47"/>
      <c r="E41" s="33" t="s">
        <v>638</v>
      </c>
    </row>
    <row r="42" s="28" customFormat="1" spans="1:5">
      <c r="A42" s="53"/>
      <c r="B42" s="49"/>
      <c r="C42" s="46" t="s">
        <v>574</v>
      </c>
      <c r="D42" s="47"/>
      <c r="E42" s="33" t="s">
        <v>639</v>
      </c>
    </row>
    <row r="43" s="28" customFormat="1" spans="1:5">
      <c r="A43" s="39" t="s">
        <v>382</v>
      </c>
      <c r="B43" s="50" t="s">
        <v>630</v>
      </c>
      <c r="C43" s="61" t="s">
        <v>640</v>
      </c>
      <c r="D43" s="62"/>
      <c r="E43" s="52" t="s">
        <v>641</v>
      </c>
    </row>
    <row r="44" s="28" customFormat="1" ht="28" spans="1:5">
      <c r="A44" s="42"/>
      <c r="B44" s="54"/>
      <c r="C44" s="61" t="s">
        <v>615</v>
      </c>
      <c r="D44" s="62"/>
      <c r="E44" s="52" t="s">
        <v>642</v>
      </c>
    </row>
    <row r="45" s="28" customFormat="1" spans="1:5">
      <c r="A45" s="53"/>
      <c r="B45" s="58" t="s">
        <v>643</v>
      </c>
      <c r="C45" s="59"/>
      <c r="D45" s="60"/>
      <c r="E45" s="33" t="s">
        <v>161</v>
      </c>
    </row>
    <row r="46" s="28" customFormat="1" spans="1:5">
      <c r="A46" s="39" t="s">
        <v>390</v>
      </c>
      <c r="B46" s="40" t="s">
        <v>644</v>
      </c>
      <c r="C46" s="41" t="s">
        <v>563</v>
      </c>
      <c r="D46" s="32" t="s">
        <v>645</v>
      </c>
      <c r="E46" s="33"/>
    </row>
    <row r="47" s="28" customFormat="1" spans="1:5">
      <c r="A47" s="42"/>
      <c r="B47" s="43"/>
      <c r="C47" s="44"/>
      <c r="D47" s="32" t="s">
        <v>646</v>
      </c>
      <c r="E47" s="33"/>
    </row>
    <row r="48" s="28" customFormat="1" spans="1:5">
      <c r="A48" s="53"/>
      <c r="B48" s="49"/>
      <c r="C48" s="45"/>
      <c r="D48" s="32" t="s">
        <v>615</v>
      </c>
      <c r="E48" s="33" t="s">
        <v>647</v>
      </c>
    </row>
    <row r="49" s="28" customFormat="1" spans="1:5">
      <c r="A49" s="29" t="s">
        <v>384</v>
      </c>
      <c r="B49" s="58" t="s">
        <v>385</v>
      </c>
      <c r="C49" s="59"/>
      <c r="D49" s="60"/>
      <c r="E49" s="33" t="s">
        <v>648</v>
      </c>
    </row>
    <row r="50" s="28" customFormat="1" spans="1:5">
      <c r="A50" s="39" t="s">
        <v>386</v>
      </c>
      <c r="B50" s="58" t="s">
        <v>630</v>
      </c>
      <c r="C50" s="59"/>
      <c r="D50" s="60"/>
      <c r="E50" s="33" t="s">
        <v>649</v>
      </c>
    </row>
    <row r="51" s="28" customFormat="1" spans="1:5">
      <c r="A51" s="53"/>
      <c r="B51" s="58" t="s">
        <v>630</v>
      </c>
      <c r="C51" s="59"/>
      <c r="D51" s="60"/>
      <c r="E51" s="33" t="s">
        <v>174</v>
      </c>
    </row>
    <row r="52" s="28" customFormat="1" spans="1:5">
      <c r="A52" s="29" t="s">
        <v>389</v>
      </c>
      <c r="B52" s="58" t="s">
        <v>630</v>
      </c>
      <c r="C52" s="59"/>
      <c r="D52" s="60"/>
      <c r="E52" s="33"/>
    </row>
    <row r="53" s="28" customFormat="1" spans="1:5">
      <c r="A53" s="39" t="s">
        <v>650</v>
      </c>
      <c r="B53" s="58" t="s">
        <v>630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651</v>
      </c>
    </row>
    <row r="55" s="28" customFormat="1" spans="1:5">
      <c r="A55" s="29" t="s">
        <v>391</v>
      </c>
      <c r="B55" s="30"/>
      <c r="C55" s="31"/>
      <c r="D55" s="32"/>
      <c r="E55" s="33" t="s">
        <v>652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653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654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655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656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657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658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659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660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661</v>
      </c>
      <c r="C20" s="9" t="s">
        <v>662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663</v>
      </c>
      <c r="C21" s="9" t="s">
        <v>664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665</v>
      </c>
      <c r="C23" s="9"/>
      <c r="D23" s="10"/>
      <c r="E23" s="11"/>
      <c r="F23" s="12"/>
      <c r="G23" s="13"/>
    </row>
    <row r="24" s="6" customFormat="1" ht="70" spans="1:7">
      <c r="A24" s="14" t="s">
        <v>55</v>
      </c>
      <c r="B24" s="23" t="s">
        <v>666</v>
      </c>
      <c r="C24" s="22" t="s">
        <v>667</v>
      </c>
      <c r="D24" s="10"/>
      <c r="E24" s="11"/>
      <c r="F24" s="12"/>
      <c r="G24" s="13"/>
    </row>
    <row r="25" s="6" customFormat="1" spans="1:7">
      <c r="A25" s="14" t="s">
        <v>59</v>
      </c>
      <c r="B25" s="8"/>
      <c r="C25" s="9"/>
      <c r="D25" s="10"/>
      <c r="E25" s="11"/>
      <c r="F25" s="12"/>
      <c r="G25" s="13"/>
    </row>
    <row r="26" s="6" customFormat="1" spans="1:7">
      <c r="A26" s="14" t="s">
        <v>60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61</v>
      </c>
      <c r="B27" s="8" t="s">
        <v>668</v>
      </c>
      <c r="C27" s="22" t="s">
        <v>669</v>
      </c>
      <c r="D27" s="10"/>
      <c r="E27" s="11"/>
      <c r="F27" s="12"/>
      <c r="G27" s="13"/>
    </row>
    <row r="28" s="6" customFormat="1" ht="409" customHeight="1" spans="1:7">
      <c r="A28" s="14" t="s">
        <v>64</v>
      </c>
      <c r="B28" s="8" t="s">
        <v>670</v>
      </c>
      <c r="C28" s="22" t="s">
        <v>671</v>
      </c>
      <c r="D28" s="10"/>
      <c r="E28" s="11"/>
      <c r="F28" s="12"/>
      <c r="G28" s="13"/>
    </row>
    <row r="29" s="6" customFormat="1" spans="1:7">
      <c r="A29" s="14" t="s">
        <v>69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71</v>
      </c>
      <c r="B30" s="8"/>
      <c r="C30" s="22" t="s">
        <v>672</v>
      </c>
      <c r="D30" s="10"/>
      <c r="E30" s="11"/>
      <c r="F30" s="12"/>
      <c r="G30" s="13"/>
    </row>
    <row r="31" s="6" customFormat="1" spans="1:7">
      <c r="A31" s="14" t="s">
        <v>74</v>
      </c>
      <c r="B31" s="8"/>
      <c r="C31" s="9"/>
      <c r="D31" s="10"/>
      <c r="E31" s="11"/>
      <c r="F31" s="12"/>
      <c r="G31" s="13"/>
    </row>
    <row r="32" s="6" customFormat="1" spans="1:7">
      <c r="A32" s="14" t="s">
        <v>75</v>
      </c>
      <c r="B32" s="8"/>
      <c r="C32" s="9"/>
      <c r="D32" s="10"/>
      <c r="E32" s="11"/>
      <c r="F32" s="12"/>
      <c r="G32" s="13"/>
    </row>
    <row r="33" s="6" customFormat="1" spans="1:7">
      <c r="A33" s="14" t="s">
        <v>76</v>
      </c>
      <c r="B33" s="8"/>
      <c r="C33" s="9"/>
      <c r="D33" s="10"/>
      <c r="E33" s="11"/>
      <c r="F33" s="12"/>
      <c r="G33" s="13"/>
    </row>
    <row r="34" s="6" customFormat="1" spans="1:7">
      <c r="A34" s="14" t="s">
        <v>77</v>
      </c>
      <c r="B34" s="8"/>
      <c r="C34" s="9"/>
      <c r="D34" s="10"/>
      <c r="E34" s="11"/>
      <c r="F34" s="12"/>
      <c r="G34" s="13"/>
    </row>
    <row r="35" s="6" customFormat="1" spans="1:7">
      <c r="A35" s="14" t="s">
        <v>78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79</v>
      </c>
      <c r="B36" s="23" t="s">
        <v>673</v>
      </c>
      <c r="C36" s="9"/>
      <c r="D36" s="10"/>
      <c r="E36" s="11"/>
      <c r="F36" s="12"/>
      <c r="G36" s="13"/>
    </row>
    <row r="37" s="6" customFormat="1" ht="126" spans="1:7">
      <c r="A37" s="14" t="s">
        <v>81</v>
      </c>
      <c r="B37" s="8"/>
      <c r="C37" s="22" t="s">
        <v>674</v>
      </c>
      <c r="D37" s="10"/>
      <c r="E37" s="11"/>
      <c r="F37" s="12"/>
      <c r="G37" s="13"/>
    </row>
    <row r="38" s="6" customFormat="1" ht="28" spans="1:7">
      <c r="A38" s="14" t="s">
        <v>84</v>
      </c>
      <c r="B38" s="24" t="s">
        <v>675</v>
      </c>
      <c r="C38" s="25"/>
      <c r="D38" s="26"/>
      <c r="E38" s="26"/>
      <c r="F38" s="26"/>
      <c r="G38" s="26"/>
    </row>
    <row r="39" s="6" customFormat="1" ht="42" spans="1:7">
      <c r="A39" s="14" t="s">
        <v>86</v>
      </c>
      <c r="B39" s="8"/>
      <c r="C39" s="22" t="s">
        <v>676</v>
      </c>
      <c r="D39" s="10"/>
      <c r="E39" s="11"/>
      <c r="F39" s="12"/>
      <c r="G39" s="13"/>
    </row>
    <row r="40" s="6" customFormat="1" spans="1:7">
      <c r="A40" s="14" t="s">
        <v>89</v>
      </c>
      <c r="B40" s="23" t="s">
        <v>677</v>
      </c>
      <c r="C40" s="22" t="s">
        <v>678</v>
      </c>
      <c r="D40" s="10"/>
      <c r="E40" s="11"/>
      <c r="F40" s="12"/>
      <c r="G40" s="13"/>
    </row>
    <row r="41" s="6" customFormat="1" ht="126" spans="1:7">
      <c r="A41" s="14" t="s">
        <v>94</v>
      </c>
      <c r="B41" s="8"/>
      <c r="C41" s="22" t="s">
        <v>679</v>
      </c>
      <c r="D41" s="10"/>
      <c r="E41" s="11"/>
      <c r="F41" s="12"/>
      <c r="G41" s="13"/>
    </row>
    <row r="42" s="6" customFormat="1" spans="1:7">
      <c r="A42" s="14" t="s">
        <v>101</v>
      </c>
      <c r="B42" s="8"/>
      <c r="C42" s="9"/>
      <c r="D42" s="10"/>
      <c r="E42" s="11"/>
      <c r="F42" s="12"/>
      <c r="G42" s="13"/>
    </row>
    <row r="43" s="6" customFormat="1" spans="1:7">
      <c r="A43" s="14" t="s">
        <v>102</v>
      </c>
      <c r="B43" s="23" t="s">
        <v>680</v>
      </c>
      <c r="C43" s="9"/>
      <c r="D43" s="10"/>
      <c r="E43" s="11"/>
      <c r="F43" s="12"/>
      <c r="G43" s="13"/>
    </row>
    <row r="44" s="6" customFormat="1" spans="1:7">
      <c r="A44" s="14" t="s">
        <v>105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107</v>
      </c>
      <c r="B45" s="8" t="s">
        <v>681</v>
      </c>
      <c r="C45" s="9"/>
      <c r="D45" s="10"/>
      <c r="E45" s="11"/>
      <c r="F45" s="12"/>
      <c r="G45" s="13"/>
    </row>
    <row r="46" s="6" customFormat="1" spans="1:7">
      <c r="A46" s="14" t="s">
        <v>111</v>
      </c>
      <c r="B46" s="8"/>
      <c r="C46" s="9"/>
      <c r="D46" s="10"/>
      <c r="E46" s="11"/>
      <c r="F46" s="12"/>
      <c r="G46" s="13"/>
    </row>
    <row r="47" s="6" customFormat="1" spans="1:7">
      <c r="A47" s="14" t="s">
        <v>112</v>
      </c>
      <c r="B47" s="8"/>
      <c r="C47" s="9"/>
      <c r="D47" s="10"/>
      <c r="E47" s="11"/>
      <c r="F47" s="12"/>
      <c r="G47" s="13"/>
    </row>
    <row r="48" s="6" customFormat="1" spans="1:7">
      <c r="A48" s="14" t="s">
        <v>114</v>
      </c>
      <c r="B48" s="8"/>
      <c r="C48" s="22" t="s">
        <v>682</v>
      </c>
      <c r="D48" s="10"/>
      <c r="E48" s="11"/>
      <c r="F48" s="12"/>
      <c r="G48" s="13"/>
    </row>
    <row r="49" s="6" customFormat="1" spans="1:7">
      <c r="A49" s="14" t="s">
        <v>118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119</v>
      </c>
      <c r="B50" s="8"/>
      <c r="C50" s="22" t="s">
        <v>683</v>
      </c>
      <c r="D50" s="10"/>
      <c r="E50" s="11"/>
      <c r="F50" s="12"/>
      <c r="G50" s="13"/>
    </row>
    <row r="51" s="6" customFormat="1" spans="1:7">
      <c r="A51" s="14" t="s">
        <v>121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122</v>
      </c>
      <c r="B52" s="8" t="s">
        <v>684</v>
      </c>
      <c r="C52" s="22" t="s">
        <v>685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686</v>
      </c>
      <c r="C1" s="3" t="s">
        <v>687</v>
      </c>
      <c r="E1" s="3" t="s">
        <v>505</v>
      </c>
      <c r="F1" s="3" t="s">
        <v>688</v>
      </c>
    </row>
    <row r="2" spans="2:6">
      <c r="B2" s="4" t="s">
        <v>689</v>
      </c>
      <c r="C2" s="4">
        <v>13</v>
      </c>
      <c r="E2" s="4" t="s">
        <v>690</v>
      </c>
      <c r="F2" s="4">
        <v>6</v>
      </c>
    </row>
    <row r="3" spans="2:6">
      <c r="B3" s="4" t="s">
        <v>691</v>
      </c>
      <c r="C3" s="4">
        <v>13</v>
      </c>
      <c r="E3" s="4" t="s">
        <v>692</v>
      </c>
      <c r="F3" s="4">
        <v>13</v>
      </c>
    </row>
    <row r="4" spans="2:6">
      <c r="B4" s="4" t="s">
        <v>693</v>
      </c>
      <c r="C4" s="4">
        <v>12</v>
      </c>
      <c r="E4" s="4" t="s">
        <v>560</v>
      </c>
      <c r="F4" s="4">
        <v>4</v>
      </c>
    </row>
    <row r="5" spans="2:6">
      <c r="B5" s="4" t="s">
        <v>694</v>
      </c>
      <c r="C5" s="4">
        <v>2</v>
      </c>
      <c r="E5" s="4" t="s">
        <v>695</v>
      </c>
      <c r="F5" s="4">
        <v>6</v>
      </c>
    </row>
    <row r="6" spans="2:6">
      <c r="B6" s="4" t="s">
        <v>696</v>
      </c>
      <c r="C6" s="4">
        <v>2</v>
      </c>
      <c r="E6" s="4" t="s">
        <v>697</v>
      </c>
      <c r="F6" s="4">
        <v>4</v>
      </c>
    </row>
    <row r="7" spans="2:6">
      <c r="B7" s="4" t="s">
        <v>698</v>
      </c>
      <c r="C7" s="4">
        <v>1</v>
      </c>
      <c r="E7" s="4" t="s">
        <v>699</v>
      </c>
      <c r="F7" s="4">
        <v>1</v>
      </c>
    </row>
    <row r="8" spans="2:6">
      <c r="B8" s="4" t="s">
        <v>700</v>
      </c>
      <c r="C8" s="4">
        <v>4</v>
      </c>
      <c r="E8" s="4" t="s">
        <v>701</v>
      </c>
      <c r="F8" s="4">
        <v>3</v>
      </c>
    </row>
    <row r="9" spans="2:6">
      <c r="E9" s="4" t="s">
        <v>702</v>
      </c>
      <c r="F9" s="4">
        <v>1</v>
      </c>
    </row>
    <row r="10" spans="2:6">
      <c r="E10" s="4" t="s">
        <v>703</v>
      </c>
      <c r="F10" s="4">
        <v>5</v>
      </c>
    </row>
    <row r="11" spans="2:6">
      <c r="E11" s="4" t="s">
        <v>704</v>
      </c>
      <c r="F11" s="4">
        <v>1</v>
      </c>
    </row>
    <row r="12" spans="2:6">
      <c r="E12" s="4" t="s">
        <v>700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2026-04-07T12:42:54Z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