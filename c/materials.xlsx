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<sst xmlns="http://schemas.openxmlformats.org/spreadsheetml/2006/main" count="1293" uniqueCount="746">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</sst>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5" workbookViewId="0">
      <selection activeCell="C16" sqref="C1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14" sqref="C14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ht="28" spans="1:3">
      <c r="A14" s="217"/>
      <c r="B14" s="213" t="s">
        <v>260</v>
      </c>
      <c r="C14" s="213" t="s">
        <v>261</v>
      </c>
    </row>
    <row r="15" spans="1:3">
      <c r="A15" s="213" t="s">
        <v>262</v>
      </c>
      <c r="B15" s="213" t="s">
        <v>263</v>
      </c>
      <c r="C15" s="213" t="s">
        <v>264</v>
      </c>
    </row>
    <row r="16" spans="1:3">
      <c r="A16" s="213" t="s">
        <v>265</v>
      </c>
      <c r="B16" s="213" t="s">
        <v>266</v>
      </c>
      <c r="C16" s="213" t="s">
        <v>267</v>
      </c>
    </row>
    <row r="17" spans="1:3">
      <c r="A17" s="213" t="s">
        <v>268</v>
      </c>
      <c r="B17" s="213" t="s">
        <v>269</v>
      </c>
      <c r="C17" s="218">
        <v>0.440972222222222</v>
      </c>
    </row>
    <row r="18" spans="1:3">
      <c r="A18" s="219" t="s">
        <v>74</v>
      </c>
      <c r="B18" s="213" t="s">
        <v>270</v>
      </c>
      <c r="C18" s="213" t="s">
        <v>271</v>
      </c>
    </row>
    <row r="19" spans="1:3">
      <c r="A19" s="216"/>
      <c r="B19" s="213" t="s">
        <v>272</v>
      </c>
      <c r="C19" s="213" t="s">
        <v>273</v>
      </c>
    </row>
    <row r="20" ht="56" spans="1:3">
      <c r="A20" s="216"/>
      <c r="B20" s="213" t="s">
        <v>274</v>
      </c>
      <c r="C20" s="213" t="s">
        <v>275</v>
      </c>
    </row>
    <row r="21" spans="1:3">
      <c r="A21" s="216"/>
      <c r="B21" s="213" t="s">
        <v>276</v>
      </c>
      <c r="C21" s="213" t="s">
        <v>277</v>
      </c>
    </row>
    <row r="22" ht="28" spans="1:3">
      <c r="A22" s="216"/>
      <c r="B22" s="213" t="s">
        <v>278</v>
      </c>
      <c r="C22" s="213" t="s">
        <v>279</v>
      </c>
    </row>
    <row r="23" spans="1:3">
      <c r="A23" s="216"/>
      <c r="B23" s="213" t="s">
        <v>280</v>
      </c>
      <c r="C23" s="213" t="s">
        <v>281</v>
      </c>
    </row>
    <row r="24" spans="1:3">
      <c r="A24" s="216"/>
      <c r="B24" s="213" t="s">
        <v>282</v>
      </c>
      <c r="C24" s="213" t="s">
        <v>283</v>
      </c>
    </row>
    <row r="25" spans="1:3">
      <c r="A25" s="216"/>
      <c r="B25" s="213" t="s">
        <v>284</v>
      </c>
      <c r="C25" s="213" t="s">
        <v>285</v>
      </c>
    </row>
    <row r="26" spans="1:3">
      <c r="A26" s="216"/>
      <c r="B26" s="213" t="s">
        <v>282</v>
      </c>
      <c r="C26" s="213" t="s">
        <v>286</v>
      </c>
    </row>
    <row r="27" spans="1:3">
      <c r="A27" s="216"/>
      <c r="B27" s="213" t="s">
        <v>287</v>
      </c>
      <c r="C27" s="213" t="s">
        <v>288</v>
      </c>
    </row>
    <row r="28" spans="1:3">
      <c r="A28" s="216"/>
      <c r="B28" s="213" t="s">
        <v>289</v>
      </c>
      <c r="C28" s="213" t="s">
        <v>290</v>
      </c>
    </row>
    <row r="29" spans="1:3">
      <c r="A29" s="216"/>
      <c r="B29" s="213" t="s">
        <v>291</v>
      </c>
      <c r="C29" s="213" t="s">
        <v>292</v>
      </c>
    </row>
    <row r="30" spans="1:3">
      <c r="A30" s="216"/>
      <c r="B30" s="213" t="s">
        <v>291</v>
      </c>
      <c r="C30" s="213" t="s">
        <v>293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294</v>
      </c>
      <c r="B34" s="213" t="s">
        <v>272</v>
      </c>
      <c r="C34" s="213" t="s">
        <v>295</v>
      </c>
    </row>
    <row r="35" spans="1:3">
      <c r="A35" s="215"/>
      <c r="B35" s="213" t="s">
        <v>296</v>
      </c>
      <c r="C35" s="213" t="s">
        <v>297</v>
      </c>
    </row>
    <row r="36" ht="28" spans="1:3">
      <c r="A36" s="219" t="s">
        <v>298</v>
      </c>
      <c r="B36" s="213" t="s">
        <v>299</v>
      </c>
      <c r="C36" s="213" t="s">
        <v>300</v>
      </c>
    </row>
    <row r="37" spans="1:3">
      <c r="A37" s="216"/>
      <c r="B37" s="213" t="s">
        <v>248</v>
      </c>
      <c r="C37" s="213" t="s">
        <v>301</v>
      </c>
    </row>
    <row r="38" spans="1:3">
      <c r="A38" s="216"/>
      <c r="B38" s="213" t="s">
        <v>302</v>
      </c>
      <c r="C38" s="213" t="s">
        <v>303</v>
      </c>
    </row>
    <row r="39" spans="1:3">
      <c r="A39" s="216"/>
      <c r="B39" s="213"/>
      <c r="C39" s="213"/>
    </row>
    <row r="40" spans="1:3">
      <c r="A40" s="214" t="s">
        <v>304</v>
      </c>
      <c r="B40" s="213" t="s">
        <v>305</v>
      </c>
      <c r="C40" s="213" t="s">
        <v>306</v>
      </c>
    </row>
    <row r="41" spans="1:3">
      <c r="A41" s="215"/>
      <c r="B41" s="213" t="s">
        <v>246</v>
      </c>
      <c r="C41" s="213" t="s">
        <v>307</v>
      </c>
    </row>
    <row r="42" ht="28" spans="1:3">
      <c r="A42" s="219" t="s">
        <v>53</v>
      </c>
      <c r="B42" s="213" t="s">
        <v>246</v>
      </c>
      <c r="C42" s="213" t="s">
        <v>308</v>
      </c>
    </row>
    <row r="43" spans="1:3">
      <c r="A43" s="216"/>
      <c r="B43" s="211" t="s">
        <v>309</v>
      </c>
      <c r="C43" s="211" t="s">
        <v>310</v>
      </c>
    </row>
    <row r="44" spans="1:3">
      <c r="A44" s="216"/>
      <c r="B44" s="211" t="s">
        <v>276</v>
      </c>
      <c r="C44" s="211" t="s">
        <v>311</v>
      </c>
    </row>
    <row r="45" spans="1:3">
      <c r="A45" s="216"/>
      <c r="B45" s="211" t="s">
        <v>282</v>
      </c>
      <c r="C45" s="211" t="s">
        <v>312</v>
      </c>
    </row>
    <row r="46" ht="28" spans="1:3">
      <c r="A46" s="216"/>
      <c r="B46" s="211" t="s">
        <v>282</v>
      </c>
      <c r="C46" s="211" t="s">
        <v>313</v>
      </c>
    </row>
    <row r="47" spans="1:3">
      <c r="A47" s="216"/>
      <c r="B47" s="211" t="s">
        <v>314</v>
      </c>
      <c r="C47" s="211" t="s">
        <v>315</v>
      </c>
    </row>
    <row r="48" ht="98" spans="1:3">
      <c r="A48" s="219" t="s">
        <v>316</v>
      </c>
      <c r="B48" s="211" t="s">
        <v>246</v>
      </c>
      <c r="C48" s="211" t="s">
        <v>317</v>
      </c>
    </row>
    <row r="49" ht="84" spans="1:3">
      <c r="A49" s="216"/>
      <c r="B49" s="211" t="s">
        <v>318</v>
      </c>
      <c r="C49" s="211" t="s">
        <v>319</v>
      </c>
    </row>
    <row r="50" ht="28" spans="1:3">
      <c r="A50" s="217"/>
      <c r="B50" s="211" t="s">
        <v>320</v>
      </c>
      <c r="C50" s="211" t="s">
        <v>321</v>
      </c>
    </row>
    <row r="51" spans="1:3">
      <c r="A51" s="211" t="s">
        <v>43</v>
      </c>
      <c r="B51" s="211" t="s">
        <v>322</v>
      </c>
      <c r="C51" s="211" t="s">
        <v>323</v>
      </c>
    </row>
    <row r="52" spans="1:3">
      <c r="A52" s="219" t="s">
        <v>324</v>
      </c>
      <c r="B52" s="211" t="s">
        <v>248</v>
      </c>
      <c r="C52" s="211" t="s">
        <v>325</v>
      </c>
    </row>
    <row r="53" spans="1:3">
      <c r="A53" s="217"/>
      <c r="B53" s="211" t="s">
        <v>318</v>
      </c>
      <c r="C53" s="211" t="s">
        <v>326</v>
      </c>
    </row>
    <row r="54" spans="1:3">
      <c r="A54" s="211" t="s">
        <v>63</v>
      </c>
      <c r="B54" s="211" t="s">
        <v>250</v>
      </c>
      <c r="C54" s="211" t="s">
        <v>327</v>
      </c>
    </row>
    <row r="55" spans="1:3">
      <c r="A55" s="219" t="s">
        <v>328</v>
      </c>
      <c r="B55" s="211" t="s">
        <v>329</v>
      </c>
      <c r="C55" s="211" t="s">
        <v>330</v>
      </c>
    </row>
    <row r="56" spans="1:3">
      <c r="A56" s="217"/>
      <c r="B56" s="211" t="s">
        <v>282</v>
      </c>
      <c r="C56" s="211" t="s">
        <v>331</v>
      </c>
    </row>
    <row r="57" spans="1:3">
      <c r="A57" s="211" t="s">
        <v>332</v>
      </c>
      <c r="B57" s="211" t="s">
        <v>333</v>
      </c>
      <c r="C57" s="211" t="s">
        <v>334</v>
      </c>
    </row>
    <row r="58" spans="1:3">
      <c r="A58" s="211" t="s">
        <v>10</v>
      </c>
      <c r="B58" s="211" t="s">
        <v>318</v>
      </c>
      <c r="C58" s="211" t="s">
        <v>335</v>
      </c>
    </row>
    <row r="59" spans="1:3">
      <c r="A59" s="211" t="s">
        <v>336</v>
      </c>
      <c r="B59" s="211" t="s">
        <v>337</v>
      </c>
      <c r="C59" s="211" t="s">
        <v>338</v>
      </c>
    </row>
    <row r="60" spans="1:3">
      <c r="A60" s="211" t="s">
        <v>339</v>
      </c>
      <c r="B60" s="211" t="s">
        <v>340</v>
      </c>
      <c r="C60" s="211" t="s">
        <v>341</v>
      </c>
    </row>
    <row r="61" spans="1:3">
      <c r="A61" s="211" t="s">
        <v>342</v>
      </c>
      <c r="B61" s="211" t="s">
        <v>340</v>
      </c>
      <c r="C61" s="211" t="s">
        <v>343</v>
      </c>
    </row>
    <row r="62" spans="1:3">
      <c r="A62" s="211" t="s">
        <v>344</v>
      </c>
      <c r="B62" s="211" t="s">
        <v>278</v>
      </c>
      <c r="C62" s="211" t="s">
        <v>345</v>
      </c>
    </row>
    <row r="63" ht="28" spans="1:3">
      <c r="A63" s="211" t="s">
        <v>346</v>
      </c>
      <c r="B63" s="211" t="s">
        <v>320</v>
      </c>
      <c r="C63" s="211" t="s">
        <v>347</v>
      </c>
    </row>
    <row r="64" ht="28" spans="1:3">
      <c r="A64" s="219" t="s">
        <v>348</v>
      </c>
      <c r="B64" s="211" t="s">
        <v>320</v>
      </c>
      <c r="C64" s="211" t="s">
        <v>349</v>
      </c>
    </row>
    <row r="65" spans="1:3">
      <c r="A65" s="217"/>
      <c r="B65" s="211" t="s">
        <v>350</v>
      </c>
      <c r="C65" s="211" t="s">
        <v>351</v>
      </c>
    </row>
    <row r="66" ht="140" spans="1:3">
      <c r="A66" s="211" t="s">
        <v>352</v>
      </c>
      <c r="B66" s="211" t="s">
        <v>353</v>
      </c>
      <c r="C66" s="211" t="s">
        <v>354</v>
      </c>
    </row>
    <row r="67" spans="1:3">
      <c r="A67" s="211" t="s">
        <v>10</v>
      </c>
      <c r="B67" s="211" t="s">
        <v>280</v>
      </c>
      <c r="C67" s="211" t="s">
        <v>355</v>
      </c>
    </row>
    <row r="68" spans="1:3">
      <c r="A68" s="211" t="s">
        <v>356</v>
      </c>
      <c r="B68" s="211" t="s">
        <v>357</v>
      </c>
      <c r="C68" s="211" t="s">
        <v>358</v>
      </c>
    </row>
    <row r="69" spans="1:3">
      <c r="A69" s="211" t="s">
        <v>359</v>
      </c>
      <c r="B69" s="211" t="s">
        <v>360</v>
      </c>
      <c r="C69" s="211" t="s">
        <v>361</v>
      </c>
    </row>
    <row r="70" ht="70" spans="1:3">
      <c r="A70" s="211" t="s">
        <v>362</v>
      </c>
      <c r="B70" s="211" t="s">
        <v>363</v>
      </c>
      <c r="C70" s="211" t="s">
        <v>364</v>
      </c>
    </row>
    <row r="71" spans="1:3">
      <c r="A71" s="211" t="s">
        <v>365</v>
      </c>
      <c r="B71" s="211" t="s">
        <v>287</v>
      </c>
      <c r="C71" s="211" t="s">
        <v>366</v>
      </c>
    </row>
    <row r="72" ht="28" spans="1:3">
      <c r="A72" s="211" t="s">
        <v>47</v>
      </c>
      <c r="B72" s="211" t="s">
        <v>367</v>
      </c>
      <c r="C72" s="211" t="s">
        <v>368</v>
      </c>
    </row>
    <row r="73" spans="1:3">
      <c r="A73" s="211" t="s">
        <v>369</v>
      </c>
      <c r="B73" s="211" t="s">
        <v>370</v>
      </c>
      <c r="C73" s="211" t="s">
        <v>371</v>
      </c>
    </row>
    <row r="74" spans="1:3">
      <c r="A74" s="219" t="s">
        <v>372</v>
      </c>
      <c r="B74" s="211" t="s">
        <v>373</v>
      </c>
      <c r="C74" s="211" t="s">
        <v>374</v>
      </c>
    </row>
    <row r="75" spans="1:3">
      <c r="A75" s="217"/>
      <c r="B75" s="211" t="s">
        <v>370</v>
      </c>
      <c r="C75" s="211" t="s">
        <v>375</v>
      </c>
    </row>
    <row r="76" spans="1:3">
      <c r="A76" s="219" t="s">
        <v>376</v>
      </c>
      <c r="B76" s="211" t="s">
        <v>377</v>
      </c>
      <c r="C76" s="211" t="s">
        <v>378</v>
      </c>
    </row>
    <row r="77" spans="1:3">
      <c r="A77" s="217"/>
      <c r="B77" s="211" t="s">
        <v>379</v>
      </c>
      <c r="C77" s="211" t="s">
        <v>380</v>
      </c>
    </row>
    <row r="78" spans="1:3">
      <c r="A78" s="211" t="s">
        <v>381</v>
      </c>
      <c r="B78" s="211" t="s">
        <v>382</v>
      </c>
      <c r="C78" s="211" t="s">
        <v>383</v>
      </c>
    </row>
    <row r="79" ht="56" spans="1:3">
      <c r="A79" s="211" t="s">
        <v>384</v>
      </c>
      <c r="B79" s="211" t="s">
        <v>385</v>
      </c>
      <c r="C79" s="211" t="s">
        <v>386</v>
      </c>
    </row>
    <row r="80" spans="1:3">
      <c r="A80" s="211" t="s">
        <v>387</v>
      </c>
      <c r="B80" s="211" t="s">
        <v>388</v>
      </c>
      <c r="C80" s="211" t="s">
        <v>389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390</v>
      </c>
      <c r="B2" s="187" t="s">
        <v>391</v>
      </c>
      <c r="C2" s="188" t="s">
        <v>392</v>
      </c>
      <c r="D2" s="189"/>
      <c r="E2" s="187" t="s">
        <v>391</v>
      </c>
      <c r="F2" s="187"/>
      <c r="G2" s="190" t="s">
        <v>393</v>
      </c>
      <c r="H2" s="190"/>
      <c r="I2" s="182"/>
      <c r="J2" s="191"/>
    </row>
    <row r="3" ht="16.5" spans="1:10">
      <c r="A3" s="183" t="s">
        <v>394</v>
      </c>
      <c r="B3" s="192" t="s">
        <v>395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396</v>
      </c>
      <c r="B4" s="193" t="s">
        <v>298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397</v>
      </c>
      <c r="B5" s="194">
        <v>1</v>
      </c>
      <c r="C5" s="194"/>
      <c r="D5" s="195">
        <v>2</v>
      </c>
      <c r="E5" s="195"/>
      <c r="F5" s="195"/>
      <c r="G5" s="194" t="s">
        <v>398</v>
      </c>
      <c r="H5" s="194"/>
      <c r="I5" s="182"/>
      <c r="J5" s="191"/>
    </row>
    <row r="6" ht="16.5" spans="1:10">
      <c r="A6" s="183" t="s">
        <v>399</v>
      </c>
      <c r="B6" s="196">
        <v>1</v>
      </c>
      <c r="C6" s="196"/>
      <c r="D6" s="196"/>
      <c r="E6" s="196"/>
      <c r="F6" s="196"/>
      <c r="G6" s="197" t="s">
        <v>400</v>
      </c>
      <c r="H6" s="197"/>
      <c r="I6" s="182"/>
      <c r="J6" s="191"/>
    </row>
    <row r="7" ht="16.5" spans="1:10">
      <c r="A7" s="183" t="s">
        <v>401</v>
      </c>
      <c r="B7" s="198" t="s">
        <v>402</v>
      </c>
      <c r="C7" s="198"/>
      <c r="D7" s="198"/>
      <c r="E7" s="198"/>
      <c r="F7" s="198"/>
      <c r="G7" s="199" t="s">
        <v>403</v>
      </c>
      <c r="H7" s="199"/>
      <c r="I7" s="182"/>
      <c r="J7" s="191"/>
    </row>
    <row r="8" ht="16.5" spans="1:10">
      <c r="A8" s="183" t="s">
        <v>404</v>
      </c>
      <c r="B8" s="200">
        <v>1</v>
      </c>
      <c r="C8" s="200"/>
      <c r="D8" s="201" t="s">
        <v>405</v>
      </c>
      <c r="E8" s="201"/>
      <c r="F8" s="201"/>
      <c r="G8" s="200" t="s">
        <v>406</v>
      </c>
      <c r="H8" s="200"/>
      <c r="I8" s="182"/>
      <c r="J8" s="191"/>
    </row>
    <row r="9" s="3" customFormat="1" ht="16.5" spans="1:10">
      <c r="A9" s="183" t="s">
        <v>407</v>
      </c>
      <c r="B9" s="4" t="s">
        <v>408</v>
      </c>
      <c r="C9" s="4"/>
      <c r="D9" s="4"/>
      <c r="E9" s="4"/>
      <c r="F9" s="4"/>
      <c r="G9" s="202" t="s">
        <v>409</v>
      </c>
      <c r="H9" s="202"/>
      <c r="I9" s="3"/>
      <c r="J9" s="203"/>
    </row>
    <row r="10" s="3" customFormat="1" ht="16.5" spans="1:10">
      <c r="A10" s="183" t="s">
        <v>410</v>
      </c>
      <c r="B10" s="20" t="s">
        <v>408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411</v>
      </c>
      <c r="B11" s="187" t="s">
        <v>412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413</v>
      </c>
      <c r="B12" s="192">
        <v>1</v>
      </c>
      <c r="C12" s="192"/>
      <c r="D12" s="205" t="s">
        <v>414</v>
      </c>
      <c r="E12" s="192">
        <v>1</v>
      </c>
      <c r="F12" s="205" t="s">
        <v>414</v>
      </c>
      <c r="G12" s="182" t="s">
        <v>408</v>
      </c>
      <c r="H12" s="182"/>
      <c r="I12" s="182"/>
      <c r="J12" s="191"/>
    </row>
    <row r="13" ht="16.5" spans="1:10">
      <c r="A13" s="183" t="s">
        <v>415</v>
      </c>
      <c r="B13" s="193">
        <v>1</v>
      </c>
      <c r="C13" s="193"/>
      <c r="D13" s="193"/>
      <c r="E13" s="193"/>
      <c r="F13" s="193"/>
      <c r="G13" s="193"/>
      <c r="H13" s="182" t="s">
        <v>408</v>
      </c>
      <c r="I13" s="182"/>
      <c r="J13" s="191"/>
    </row>
    <row r="14" ht="16.5" spans="1:10">
      <c r="A14" s="183" t="s">
        <v>416</v>
      </c>
      <c r="B14" s="206">
        <v>1</v>
      </c>
      <c r="C14" s="206"/>
      <c r="D14" s="206"/>
      <c r="E14" s="206"/>
      <c r="F14" s="206"/>
      <c r="G14" s="207">
        <v>2</v>
      </c>
      <c r="H14" s="208" t="s">
        <v>408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417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418</v>
      </c>
      <c r="B2" s="160" t="s">
        <v>419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420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421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422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423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424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425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426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427</v>
      </c>
      <c r="B12" s="170" t="s">
        <v>428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429</v>
      </c>
      <c r="C14" s="171" t="s">
        <v>430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431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432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433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434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435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436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437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55" zoomScaleNormal="55" workbookViewId="0">
      <selection activeCell="D6" sqref="D6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439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15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440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441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442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443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444</v>
      </c>
      <c r="B1" s="123" t="s">
        <v>445</v>
      </c>
      <c r="C1" s="124" t="s">
        <v>232</v>
      </c>
    </row>
    <row r="2" spans="1:3">
      <c r="A2" s="125" t="s">
        <v>1</v>
      </c>
      <c r="B2" s="120" t="s">
        <v>446</v>
      </c>
      <c r="C2" s="121" t="s">
        <v>447</v>
      </c>
    </row>
    <row r="3" spans="1:3">
      <c r="A3" s="125"/>
      <c r="B3" s="120" t="s">
        <v>448</v>
      </c>
      <c r="C3" s="121" t="s">
        <v>449</v>
      </c>
    </row>
    <row r="4" spans="1:3">
      <c r="A4" s="125"/>
      <c r="B4" s="120" t="s">
        <v>450</v>
      </c>
      <c r="C4" s="121" t="s">
        <v>451</v>
      </c>
    </row>
    <row r="5" spans="1:3">
      <c r="A5" s="125"/>
      <c r="B5" s="120" t="s">
        <v>452</v>
      </c>
      <c r="C5" s="121" t="s">
        <v>453</v>
      </c>
    </row>
    <row r="6" spans="1:3">
      <c r="A6" s="125"/>
      <c r="B6" s="120" t="s">
        <v>454</v>
      </c>
      <c r="C6" s="121" t="s">
        <v>455</v>
      </c>
    </row>
    <row r="7" spans="1:3">
      <c r="A7" s="125"/>
      <c r="B7" s="120" t="s">
        <v>456</v>
      </c>
      <c r="C7" s="121" t="s">
        <v>457</v>
      </c>
    </row>
    <row r="8" spans="1:3">
      <c r="A8" s="125"/>
      <c r="B8" s="120" t="s">
        <v>458</v>
      </c>
      <c r="C8" s="121" t="s">
        <v>459</v>
      </c>
    </row>
    <row r="9" spans="1:3">
      <c r="A9" s="125"/>
      <c r="B9" s="120" t="s">
        <v>460</v>
      </c>
      <c r="C9" s="121" t="s">
        <v>461</v>
      </c>
    </row>
    <row r="10" spans="1:3">
      <c r="A10" s="125"/>
      <c r="B10" s="120" t="s">
        <v>462</v>
      </c>
      <c r="C10" s="121" t="s">
        <v>463</v>
      </c>
    </row>
    <row r="11" spans="1:3">
      <c r="A11" s="125"/>
      <c r="B11" s="120" t="s">
        <v>464</v>
      </c>
      <c r="C11" s="121" t="s">
        <v>465</v>
      </c>
    </row>
    <row r="12" spans="1:3">
      <c r="A12" s="125"/>
      <c r="B12" s="120" t="s">
        <v>466</v>
      </c>
      <c r="C12" s="121" t="s">
        <v>467</v>
      </c>
    </row>
    <row r="13" spans="1:3">
      <c r="A13" s="125"/>
      <c r="B13" s="120" t="s">
        <v>468</v>
      </c>
      <c r="C13" s="121" t="s">
        <v>469</v>
      </c>
    </row>
    <row r="14" spans="1:3">
      <c r="A14" s="125"/>
      <c r="B14" s="120" t="s">
        <v>470</v>
      </c>
      <c r="C14" s="121" t="s">
        <v>471</v>
      </c>
    </row>
    <row r="15" spans="1:3">
      <c r="A15" s="125"/>
      <c r="B15" s="120" t="s">
        <v>472</v>
      </c>
      <c r="C15" s="121" t="s">
        <v>473</v>
      </c>
    </row>
    <row r="16" spans="1:3">
      <c r="A16" s="125"/>
      <c r="B16" s="120" t="s">
        <v>474</v>
      </c>
      <c r="C16" s="121" t="s">
        <v>475</v>
      </c>
    </row>
    <row r="17" spans="1:3">
      <c r="A17" s="125"/>
      <c r="B17" s="120" t="s">
        <v>476</v>
      </c>
      <c r="C17" s="121" t="s">
        <v>477</v>
      </c>
    </row>
    <row r="18" spans="1:3">
      <c r="A18" s="125"/>
      <c r="B18" s="120" t="s">
        <v>478</v>
      </c>
      <c r="C18" s="121" t="s">
        <v>479</v>
      </c>
    </row>
    <row r="19" spans="1:3">
      <c r="A19" s="125"/>
      <c r="B19" s="120" t="s">
        <v>480</v>
      </c>
      <c r="C19" s="121" t="s">
        <v>481</v>
      </c>
    </row>
    <row r="20" spans="1:3">
      <c r="A20" s="125"/>
      <c r="B20" s="120" t="s">
        <v>482</v>
      </c>
      <c r="C20" s="121" t="s">
        <v>483</v>
      </c>
    </row>
    <row r="21" spans="1:3">
      <c r="A21" s="125"/>
      <c r="B21" s="120" t="s">
        <v>482</v>
      </c>
      <c r="C21" s="121" t="s">
        <v>484</v>
      </c>
    </row>
    <row r="22" spans="1:3">
      <c r="A22" s="125"/>
      <c r="B22" s="120" t="s">
        <v>485</v>
      </c>
      <c r="C22" s="121" t="s">
        <v>486</v>
      </c>
    </row>
    <row r="23" spans="1:3">
      <c r="A23" s="125"/>
      <c r="B23" s="120" t="s">
        <v>487</v>
      </c>
      <c r="C23" s="121" t="s">
        <v>488</v>
      </c>
    </row>
    <row r="24" spans="1:3">
      <c r="A24" s="125"/>
      <c r="B24" s="120" t="s">
        <v>489</v>
      </c>
      <c r="C24" s="121" t="s">
        <v>490</v>
      </c>
    </row>
    <row r="25" spans="1:3">
      <c r="A25" s="126" t="s">
        <v>2</v>
      </c>
      <c r="B25" s="120" t="s">
        <v>491</v>
      </c>
      <c r="C25" s="121" t="s">
        <v>492</v>
      </c>
    </row>
    <row r="26" spans="1:3">
      <c r="A26" s="126"/>
      <c r="B26" s="120" t="s">
        <v>493</v>
      </c>
      <c r="C26" s="121" t="s">
        <v>494</v>
      </c>
    </row>
    <row r="27" spans="1:3">
      <c r="A27" s="126"/>
      <c r="B27" s="120" t="s">
        <v>495</v>
      </c>
      <c r="C27" s="121" t="s">
        <v>496</v>
      </c>
    </row>
    <row r="28" spans="1:3">
      <c r="A28" s="126"/>
      <c r="B28" s="120" t="s">
        <v>497</v>
      </c>
      <c r="C28" s="121" t="s">
        <v>498</v>
      </c>
    </row>
    <row r="29" spans="1:3">
      <c r="A29" s="126"/>
      <c r="B29" s="120" t="s">
        <v>499</v>
      </c>
      <c r="C29" s="121" t="s">
        <v>500</v>
      </c>
    </row>
    <row r="30" spans="1:3">
      <c r="A30" s="126"/>
      <c r="B30" s="120" t="s">
        <v>501</v>
      </c>
      <c r="C30" s="121" t="s">
        <v>502</v>
      </c>
    </row>
    <row r="31" spans="1:3">
      <c r="A31" s="126"/>
      <c r="B31" s="120" t="s">
        <v>503</v>
      </c>
      <c r="C31" s="121" t="s">
        <v>504</v>
      </c>
    </row>
    <row r="32" spans="1:3">
      <c r="A32" s="126"/>
      <c r="B32" s="120" t="s">
        <v>505</v>
      </c>
      <c r="C32" s="121" t="s">
        <v>506</v>
      </c>
    </row>
    <row r="33" spans="1:3">
      <c r="A33" s="126"/>
      <c r="B33" s="120" t="s">
        <v>507</v>
      </c>
      <c r="C33" s="121" t="s">
        <v>508</v>
      </c>
    </row>
    <row r="34" spans="1:3">
      <c r="A34" s="126"/>
      <c r="B34" s="120" t="s">
        <v>509</v>
      </c>
      <c r="C34" s="121" t="s">
        <v>510</v>
      </c>
    </row>
    <row r="35" spans="1:3">
      <c r="A35" s="126"/>
      <c r="B35" s="120" t="s">
        <v>511</v>
      </c>
      <c r="C35" s="121" t="s">
        <v>512</v>
      </c>
    </row>
    <row r="36" spans="1:3">
      <c r="A36" s="126"/>
      <c r="B36" s="120" t="s">
        <v>513</v>
      </c>
      <c r="C36" s="121" t="s">
        <v>514</v>
      </c>
    </row>
    <row r="37" spans="1:3">
      <c r="A37" s="127"/>
      <c r="B37" s="120" t="s">
        <v>515</v>
      </c>
      <c r="C37" s="121" t="s">
        <v>516</v>
      </c>
    </row>
    <row r="38" spans="1:3">
      <c r="A38" s="128" t="s">
        <v>3</v>
      </c>
      <c r="B38" s="120" t="s">
        <v>517</v>
      </c>
      <c r="C38" s="121" t="s">
        <v>518</v>
      </c>
    </row>
    <row r="39" spans="1:3">
      <c r="A39" s="129"/>
      <c r="B39" s="120" t="s">
        <v>519</v>
      </c>
      <c r="C39" s="121" t="s">
        <v>520</v>
      </c>
    </row>
    <row r="40" spans="1:3">
      <c r="A40" s="129"/>
      <c r="B40" s="120" t="s">
        <v>521</v>
      </c>
      <c r="C40" s="121" t="s">
        <v>522</v>
      </c>
    </row>
    <row r="41" spans="1:3">
      <c r="A41" s="129"/>
      <c r="B41" s="120" t="s">
        <v>523</v>
      </c>
      <c r="C41" s="121" t="s">
        <v>455</v>
      </c>
    </row>
    <row r="42" spans="1:3">
      <c r="A42" s="129"/>
      <c r="B42" s="120" t="s">
        <v>524</v>
      </c>
      <c r="C42" s="121" t="s">
        <v>525</v>
      </c>
    </row>
    <row r="43" spans="1:3">
      <c r="A43" s="129"/>
      <c r="B43" s="120" t="s">
        <v>526</v>
      </c>
      <c r="C43" s="121" t="s">
        <v>527</v>
      </c>
    </row>
    <row r="44" spans="1:3">
      <c r="A44" s="129"/>
      <c r="B44" s="120" t="s">
        <v>528</v>
      </c>
      <c r="C44" s="121" t="s">
        <v>529</v>
      </c>
    </row>
    <row r="45" spans="1:3">
      <c r="A45" s="129"/>
      <c r="B45" s="120" t="s">
        <v>530</v>
      </c>
      <c r="C45" s="121" t="s">
        <v>531</v>
      </c>
    </row>
    <row r="46" spans="1:3">
      <c r="A46" s="129"/>
      <c r="B46" s="120" t="s">
        <v>532</v>
      </c>
      <c r="C46" s="121" t="s">
        <v>533</v>
      </c>
    </row>
    <row r="47" spans="1:3">
      <c r="A47" s="129"/>
      <c r="B47" s="120" t="s">
        <v>534</v>
      </c>
      <c r="C47" s="121" t="s">
        <v>535</v>
      </c>
    </row>
    <row r="48" spans="1:3">
      <c r="A48" s="129"/>
      <c r="B48" s="120" t="s">
        <v>536</v>
      </c>
      <c r="C48" s="121" t="s">
        <v>537</v>
      </c>
    </row>
    <row r="49" spans="1:3">
      <c r="A49" s="129"/>
      <c r="B49" s="120" t="s">
        <v>538</v>
      </c>
      <c r="C49" s="121" t="s">
        <v>539</v>
      </c>
    </row>
    <row r="50" spans="1:3">
      <c r="A50" s="130"/>
      <c r="B50" s="120" t="s">
        <v>540</v>
      </c>
      <c r="C50" s="121" t="s">
        <v>541</v>
      </c>
    </row>
    <row r="51" customFormat="1" spans="1:3">
      <c r="A51" s="119"/>
      <c r="B51" s="120" t="s">
        <v>542</v>
      </c>
      <c r="C51" s="121"/>
    </row>
    <row r="52" customFormat="1" spans="1:3">
      <c r="A52" s="119"/>
      <c r="B52" s="120" t="s">
        <v>542</v>
      </c>
      <c r="C52" s="121"/>
    </row>
    <row r="53" customFormat="1" spans="1:3">
      <c r="A53" s="119"/>
      <c r="B53" s="120" t="s">
        <v>542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zoomScale="85" zoomScaleNormal="85" topLeftCell="D24" workbookViewId="0">
      <selection activeCell="D52" sqref="D52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543</v>
      </c>
      <c r="B1" s="108" t="s">
        <v>0</v>
      </c>
      <c r="C1" s="109" t="s">
        <v>544</v>
      </c>
      <c r="D1" s="110" t="s">
        <v>545</v>
      </c>
    </row>
    <row r="2" spans="1:5">
      <c r="A2" s="111">
        <v>1</v>
      </c>
      <c r="B2" s="112" t="s">
        <v>7</v>
      </c>
      <c r="C2" s="113">
        <v>20111216</v>
      </c>
      <c r="D2" s="106" t="s">
        <v>546</v>
      </c>
    </row>
    <row r="3" spans="1:5">
      <c r="A3" s="111">
        <v>2</v>
      </c>
      <c r="B3" s="112" t="s">
        <v>10</v>
      </c>
      <c r="C3" s="114">
        <v>20111227</v>
      </c>
      <c r="D3" s="106" t="s">
        <v>547</v>
      </c>
    </row>
    <row r="4" spans="1:5">
      <c r="A4" s="111">
        <v>3</v>
      </c>
      <c r="B4" s="112" t="s">
        <v>13</v>
      </c>
      <c r="C4" s="114">
        <v>20120518</v>
      </c>
      <c r="D4" s="106" t="s">
        <v>548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391</v>
      </c>
    </row>
    <row r="7" spans="1:5">
      <c r="A7" s="111">
        <v>6</v>
      </c>
      <c r="B7" s="112" t="s">
        <v>21</v>
      </c>
      <c r="C7" s="114">
        <v>20120809</v>
      </c>
      <c r="D7" s="106" t="s">
        <v>549</v>
      </c>
    </row>
    <row r="8" spans="1:5">
      <c r="A8" s="111">
        <v>7</v>
      </c>
      <c r="B8" s="112" t="s">
        <v>25</v>
      </c>
      <c r="C8" s="114">
        <v>20120227</v>
      </c>
      <c r="D8" s="106" t="s">
        <v>550</v>
      </c>
    </row>
    <row r="9" spans="1:5">
      <c r="A9" s="111">
        <v>8</v>
      </c>
      <c r="B9" s="112" t="s">
        <v>27</v>
      </c>
      <c r="C9" s="114">
        <v>20120127</v>
      </c>
      <c r="D9" s="106" t="s">
        <v>551</v>
      </c>
    </row>
    <row r="10" spans="1:5">
      <c r="A10" s="111">
        <v>9</v>
      </c>
      <c r="B10" s="112" t="s">
        <v>28</v>
      </c>
      <c r="C10" s="114">
        <v>20111202</v>
      </c>
      <c r="D10" s="106" t="s">
        <v>552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553</v>
      </c>
    </row>
    <row r="13" spans="1:5">
      <c r="A13" s="111">
        <v>12</v>
      </c>
      <c r="B13" s="112" t="s">
        <v>33</v>
      </c>
      <c r="C13" s="114">
        <v>20110908</v>
      </c>
      <c r="D13" s="106" t="s">
        <v>554</v>
      </c>
    </row>
    <row r="14" spans="1:5">
      <c r="A14" s="111">
        <v>13</v>
      </c>
      <c r="B14" s="112" t="s">
        <v>36</v>
      </c>
      <c r="C14" s="114">
        <v>20120228</v>
      </c>
      <c r="D14" s="106" t="s">
        <v>555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556</v>
      </c>
      <c r="E16" t="s">
        <v>557</v>
      </c>
    </row>
    <row r="17" spans="1:5">
      <c r="A17" s="111">
        <v>16</v>
      </c>
      <c r="B17" s="112" t="s">
        <v>43</v>
      </c>
      <c r="C17" s="114">
        <v>20120722</v>
      </c>
      <c r="D17" s="106" t="s">
        <v>558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557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559</v>
      </c>
    </row>
    <row r="21" spans="1:5">
      <c r="A21" s="111">
        <v>20</v>
      </c>
      <c r="B21" s="112" t="s">
        <v>53</v>
      </c>
      <c r="C21" s="114">
        <v>20120827</v>
      </c>
      <c r="D21" s="106" t="s">
        <v>560</v>
      </c>
      <c r="E21" t="s">
        <v>557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561</v>
      </c>
    </row>
    <row r="24" spans="1:5">
      <c r="A24" s="111">
        <v>23</v>
      </c>
      <c r="B24" s="112" t="s">
        <v>63</v>
      </c>
      <c r="C24" s="114">
        <v>20120413</v>
      </c>
      <c r="D24" s="106" t="s">
        <v>562</v>
      </c>
    </row>
    <row r="25" spans="1:5">
      <c r="A25" s="111">
        <v>24</v>
      </c>
      <c r="B25" s="112" t="s">
        <v>68</v>
      </c>
      <c r="C25" s="114">
        <v>20120629</v>
      </c>
    </row>
    <row r="26" spans="1:5">
      <c r="A26" s="111">
        <v>25</v>
      </c>
      <c r="B26" s="112" t="s">
        <v>69</v>
      </c>
      <c r="C26" s="114">
        <v>20111105</v>
      </c>
      <c r="D26" s="106" t="s">
        <v>563</v>
      </c>
    </row>
    <row r="27" spans="1:5">
      <c r="A27" s="111">
        <v>26</v>
      </c>
      <c r="B27" s="112" t="s">
        <v>70</v>
      </c>
      <c r="C27" s="114">
        <v>20120112</v>
      </c>
      <c r="D27" s="106" t="s">
        <v>564</v>
      </c>
    </row>
    <row r="28" spans="1:5">
      <c r="A28" s="111">
        <v>27</v>
      </c>
      <c r="B28" s="112" t="s">
        <v>74</v>
      </c>
      <c r="C28" s="114">
        <v>20111119</v>
      </c>
      <c r="D28" s="106" t="s">
        <v>565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566</v>
      </c>
    </row>
    <row r="30" spans="1:5">
      <c r="A30" s="111">
        <v>29</v>
      </c>
      <c r="B30" s="112" t="s">
        <v>82</v>
      </c>
      <c r="C30" s="114">
        <v>20120331</v>
      </c>
      <c r="D30" s="106" t="s">
        <v>567</v>
      </c>
    </row>
    <row r="31" spans="1:5">
      <c r="A31" s="111">
        <v>30</v>
      </c>
      <c r="B31" s="112" t="s">
        <v>85</v>
      </c>
      <c r="C31" s="114">
        <v>20111109</v>
      </c>
      <c r="D31" s="106" t="s">
        <v>568</v>
      </c>
    </row>
    <row r="32" spans="1:5">
      <c r="A32" s="111">
        <v>31</v>
      </c>
      <c r="B32" s="112" t="s">
        <v>86</v>
      </c>
      <c r="C32" s="114">
        <v>20120824</v>
      </c>
      <c r="D32" s="106" t="s">
        <v>569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570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571</v>
      </c>
    </row>
    <row r="37" spans="1:5">
      <c r="A37" s="111">
        <v>36</v>
      </c>
      <c r="B37" s="112" t="s">
        <v>92</v>
      </c>
      <c r="C37" s="113">
        <v>20120326</v>
      </c>
      <c r="D37" s="106" t="s">
        <v>572</v>
      </c>
    </row>
    <row r="38" spans="1:5">
      <c r="A38" s="115">
        <v>37</v>
      </c>
      <c r="B38" s="115" t="s">
        <v>95</v>
      </c>
      <c r="C38" s="116">
        <v>20111106</v>
      </c>
      <c r="D38" s="117" t="s">
        <v>573</v>
      </c>
      <c r="E38" t="s">
        <v>557</v>
      </c>
    </row>
    <row r="39" spans="1:5">
      <c r="A39" s="111">
        <v>38</v>
      </c>
      <c r="B39" s="112" t="s">
        <v>97</v>
      </c>
      <c r="C39" s="114">
        <v>20120811</v>
      </c>
      <c r="D39" s="118" t="s">
        <v>574</v>
      </c>
    </row>
    <row r="40" spans="1:5">
      <c r="A40" s="111">
        <v>39</v>
      </c>
      <c r="B40" s="112" t="s">
        <v>101</v>
      </c>
      <c r="C40" s="114">
        <v>20111217</v>
      </c>
      <c r="D40" s="118" t="s">
        <v>575</v>
      </c>
    </row>
    <row r="41" spans="1:5">
      <c r="A41" s="111">
        <v>40</v>
      </c>
      <c r="B41" s="112" t="s">
        <v>108</v>
      </c>
      <c r="C41" s="114">
        <v>20111013</v>
      </c>
      <c r="D41" s="106" t="s">
        <v>576</v>
      </c>
      <c r="E41" t="s">
        <v>557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577</v>
      </c>
      <c r="E43" t="s">
        <v>557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578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579</v>
      </c>
      <c r="E47" t="s">
        <v>557</v>
      </c>
    </row>
    <row r="48" spans="1:5">
      <c r="A48" s="111">
        <v>47</v>
      </c>
      <c r="B48" s="112" t="s">
        <v>129</v>
      </c>
      <c r="C48" s="114">
        <v>20120311</v>
      </c>
      <c r="D48" s="106" t="s">
        <v>580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581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14" workbookViewId="0">
      <selection activeCell="E34" sqref="E34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583</v>
      </c>
      <c r="B1" s="75" t="s">
        <v>584</v>
      </c>
      <c r="C1" s="76" t="s">
        <v>585</v>
      </c>
      <c r="D1" s="77"/>
      <c r="E1" s="78" t="s">
        <v>586</v>
      </c>
    </row>
    <row r="2" s="68" customFormat="1" ht="409" customHeight="1" spans="1:5">
      <c r="A2" s="79" t="s">
        <v>396</v>
      </c>
      <c r="B2" s="80" t="s">
        <v>298</v>
      </c>
      <c r="C2" s="81" t="s">
        <v>587</v>
      </c>
      <c r="D2" s="72" t="s">
        <v>588</v>
      </c>
      <c r="E2" s="73" t="s">
        <v>589</v>
      </c>
    </row>
    <row r="3" s="68" customFormat="1" ht="56" spans="1:5">
      <c r="A3" s="82"/>
      <c r="B3" s="83"/>
      <c r="C3" s="84"/>
      <c r="D3" s="72" t="s">
        <v>590</v>
      </c>
      <c r="E3" s="73" t="s">
        <v>591</v>
      </c>
    </row>
    <row r="4" s="68" customFormat="1" spans="1:5">
      <c r="A4" s="82"/>
      <c r="B4" s="83"/>
      <c r="C4" s="84"/>
      <c r="D4" s="72" t="s">
        <v>592</v>
      </c>
      <c r="E4" s="73" t="s">
        <v>593</v>
      </c>
    </row>
    <row r="5" s="68" customFormat="1" ht="56" spans="1:5">
      <c r="A5" s="82"/>
      <c r="B5" s="83"/>
      <c r="C5" s="84"/>
      <c r="D5" s="72" t="s">
        <v>594</v>
      </c>
      <c r="E5" s="73" t="s">
        <v>595</v>
      </c>
    </row>
    <row r="6" s="68" customFormat="1" ht="238" spans="1:5">
      <c r="A6" s="82"/>
      <c r="B6" s="83"/>
      <c r="C6" s="84"/>
      <c r="D6" s="72" t="s">
        <v>596</v>
      </c>
      <c r="E6" s="73" t="s">
        <v>597</v>
      </c>
    </row>
    <row r="7" s="68" customFormat="1" ht="238" spans="1:5">
      <c r="A7" s="82"/>
      <c r="B7" s="83"/>
      <c r="C7" s="81" t="s">
        <v>598</v>
      </c>
      <c r="D7" s="72" t="s">
        <v>599</v>
      </c>
      <c r="E7" s="73" t="s">
        <v>600</v>
      </c>
    </row>
    <row r="8" s="68" customFormat="1" ht="56" spans="1:5">
      <c r="A8" s="82"/>
      <c r="B8" s="83"/>
      <c r="C8" s="84"/>
      <c r="D8" s="72" t="s">
        <v>601</v>
      </c>
      <c r="E8" s="73" t="s">
        <v>602</v>
      </c>
    </row>
    <row r="9" s="68" customFormat="1" ht="84" spans="1:5">
      <c r="A9" s="82"/>
      <c r="B9" s="83"/>
      <c r="C9" s="84"/>
      <c r="D9" s="72" t="s">
        <v>603</v>
      </c>
      <c r="E9" s="73" t="s">
        <v>604</v>
      </c>
    </row>
    <row r="10" s="68" customFormat="1" ht="28" spans="1:5">
      <c r="A10" s="82"/>
      <c r="B10" s="83"/>
      <c r="C10" s="84"/>
      <c r="D10" s="72" t="s">
        <v>605</v>
      </c>
      <c r="E10" s="73" t="s">
        <v>606</v>
      </c>
    </row>
    <row r="11" s="68" customFormat="1" spans="1:5">
      <c r="A11" s="82"/>
      <c r="B11" s="83"/>
      <c r="C11" s="85"/>
      <c r="D11" s="72" t="s">
        <v>607</v>
      </c>
      <c r="E11" s="73" t="s">
        <v>608</v>
      </c>
    </row>
    <row r="12" s="68" customFormat="1" ht="154" spans="1:5">
      <c r="A12" s="82"/>
      <c r="B12" s="83"/>
      <c r="C12" s="71"/>
      <c r="D12" s="72" t="s">
        <v>609</v>
      </c>
      <c r="E12" s="73" t="s">
        <v>610</v>
      </c>
    </row>
    <row r="13" s="68" customFormat="1" ht="56" spans="1:5">
      <c r="A13" s="82"/>
      <c r="B13" s="83"/>
      <c r="C13" s="86" t="s">
        <v>611</v>
      </c>
      <c r="D13" s="77"/>
      <c r="E13" s="73" t="s">
        <v>612</v>
      </c>
    </row>
    <row r="14" s="68" customFormat="1" ht="84" spans="1:5">
      <c r="A14" s="82"/>
      <c r="B14" s="83"/>
      <c r="C14" s="86" t="s">
        <v>613</v>
      </c>
      <c r="D14" s="77"/>
      <c r="E14" s="73" t="s">
        <v>614</v>
      </c>
    </row>
    <row r="15" s="68" customFormat="1" ht="28" spans="1:5">
      <c r="A15" s="82"/>
      <c r="B15" s="83"/>
      <c r="C15" s="86" t="s">
        <v>615</v>
      </c>
      <c r="D15" s="77"/>
      <c r="E15" s="73" t="s">
        <v>616</v>
      </c>
    </row>
    <row r="16" s="68" customFormat="1" spans="1:5">
      <c r="A16" s="82"/>
      <c r="B16" s="83"/>
      <c r="C16" s="86" t="s">
        <v>617</v>
      </c>
      <c r="D16" s="77"/>
      <c r="E16" s="73"/>
    </row>
    <row r="17" s="68" customFormat="1" spans="1:5">
      <c r="A17" s="82"/>
      <c r="B17" s="83"/>
      <c r="C17" s="86" t="s">
        <v>618</v>
      </c>
      <c r="D17" s="77"/>
      <c r="E17" s="73" t="s">
        <v>619</v>
      </c>
    </row>
    <row r="18" s="68" customFormat="1" spans="1:5">
      <c r="A18" s="82"/>
      <c r="B18" s="83"/>
      <c r="C18" s="81" t="s">
        <v>620</v>
      </c>
      <c r="D18" s="72" t="s">
        <v>621</v>
      </c>
      <c r="E18" s="73" t="s">
        <v>622</v>
      </c>
    </row>
    <row r="19" s="68" customFormat="1" spans="1:5">
      <c r="A19" s="82"/>
      <c r="B19" s="83"/>
      <c r="C19" s="85"/>
      <c r="D19" s="72" t="s">
        <v>623</v>
      </c>
      <c r="E19" s="73" t="s">
        <v>624</v>
      </c>
    </row>
    <row r="20" s="68" customFormat="1" spans="1:5">
      <c r="A20" s="82"/>
      <c r="B20" s="83"/>
      <c r="C20" s="86" t="s">
        <v>625</v>
      </c>
      <c r="D20" s="77"/>
      <c r="E20" s="73"/>
    </row>
    <row r="21" s="68" customFormat="1" spans="1:5">
      <c r="A21" s="82"/>
      <c r="B21" s="83"/>
      <c r="C21" s="86" t="s">
        <v>626</v>
      </c>
      <c r="D21" s="77"/>
      <c r="E21" s="73" t="s">
        <v>627</v>
      </c>
    </row>
    <row r="22" s="68" customFormat="1" ht="28" spans="1:5">
      <c r="A22" s="82"/>
      <c r="B22" s="83"/>
      <c r="C22" s="86" t="s">
        <v>628</v>
      </c>
      <c r="D22" s="87"/>
      <c r="E22" s="73" t="s">
        <v>629</v>
      </c>
    </row>
    <row r="23" s="68" customFormat="1" spans="1:5">
      <c r="A23" s="82"/>
      <c r="B23" s="83"/>
      <c r="C23" s="71" t="s">
        <v>630</v>
      </c>
      <c r="D23" s="71"/>
      <c r="E23" s="73" t="s">
        <v>631</v>
      </c>
    </row>
    <row r="24" s="68" customFormat="1" spans="1:5">
      <c r="A24" s="82"/>
      <c r="B24" s="83"/>
      <c r="C24" s="71" t="s">
        <v>632</v>
      </c>
      <c r="D24" s="71"/>
      <c r="E24" s="73" t="s">
        <v>633</v>
      </c>
    </row>
    <row r="25" s="68" customFormat="1" ht="28" spans="1:5">
      <c r="A25" s="79" t="s">
        <v>394</v>
      </c>
      <c r="B25" s="80" t="s">
        <v>395</v>
      </c>
      <c r="C25" s="84" t="s">
        <v>587</v>
      </c>
      <c r="D25" s="88" t="s">
        <v>634</v>
      </c>
      <c r="E25" s="73" t="s">
        <v>635</v>
      </c>
    </row>
    <row r="26" s="68" customFormat="1" spans="1:5">
      <c r="A26" s="82"/>
      <c r="B26" s="83"/>
      <c r="C26" s="84"/>
      <c r="D26" s="72" t="s">
        <v>636</v>
      </c>
      <c r="E26" s="73" t="s">
        <v>637</v>
      </c>
    </row>
    <row r="27" s="68" customFormat="1" ht="28" spans="1:5">
      <c r="A27" s="82"/>
      <c r="B27" s="83"/>
      <c r="C27" s="84"/>
      <c r="D27" s="72" t="s">
        <v>638</v>
      </c>
      <c r="E27" s="73" t="s">
        <v>639</v>
      </c>
    </row>
    <row r="28" s="68" customFormat="1" ht="42" spans="1:5">
      <c r="A28" s="82"/>
      <c r="B28" s="83"/>
      <c r="C28" s="84"/>
      <c r="D28" s="72" t="s">
        <v>640</v>
      </c>
      <c r="E28" s="73" t="s">
        <v>641</v>
      </c>
    </row>
    <row r="29" s="68" customFormat="1" ht="42" spans="1:5">
      <c r="A29" s="79" t="s">
        <v>390</v>
      </c>
      <c r="B29" s="80" t="s">
        <v>391</v>
      </c>
      <c r="C29" s="81" t="s">
        <v>587</v>
      </c>
      <c r="D29" s="72" t="s">
        <v>588</v>
      </c>
      <c r="E29" s="73" t="s">
        <v>642</v>
      </c>
    </row>
    <row r="30" s="68" customFormat="1" ht="70" spans="1:5">
      <c r="A30" s="82"/>
      <c r="B30" s="83"/>
      <c r="C30" s="84"/>
      <c r="D30" s="72" t="s">
        <v>643</v>
      </c>
      <c r="E30" s="73" t="s">
        <v>644</v>
      </c>
    </row>
    <row r="31" s="68" customFormat="1" spans="1:5">
      <c r="A31" s="82"/>
      <c r="B31" s="83"/>
      <c r="C31" s="84"/>
      <c r="D31" s="72" t="s">
        <v>634</v>
      </c>
      <c r="E31" s="73" t="s">
        <v>645</v>
      </c>
    </row>
    <row r="32" s="68" customFormat="1" ht="28" spans="1:5">
      <c r="A32" s="82"/>
      <c r="B32" s="83"/>
      <c r="C32" s="85"/>
      <c r="D32" s="72" t="s">
        <v>646</v>
      </c>
      <c r="E32" s="73" t="s">
        <v>647</v>
      </c>
    </row>
    <row r="33" s="68" customFormat="1" ht="42" spans="1:5">
      <c r="A33" s="82"/>
      <c r="B33" s="89"/>
      <c r="C33" s="86" t="s">
        <v>598</v>
      </c>
      <c r="D33" s="87"/>
      <c r="E33" s="73" t="s">
        <v>648</v>
      </c>
    </row>
    <row r="34" s="68" customFormat="1" ht="42" spans="1:5">
      <c r="A34" s="82"/>
      <c r="B34" s="90" t="s">
        <v>649</v>
      </c>
      <c r="C34" s="76" t="s">
        <v>598</v>
      </c>
      <c r="D34" s="91"/>
      <c r="E34" s="92" t="s">
        <v>650</v>
      </c>
    </row>
    <row r="35" s="68" customFormat="1" ht="42" spans="1:5">
      <c r="A35" s="93"/>
      <c r="B35" s="94"/>
      <c r="C35" s="76" t="s">
        <v>587</v>
      </c>
      <c r="D35" s="91"/>
      <c r="E35" s="92" t="s">
        <v>651</v>
      </c>
    </row>
    <row r="36" s="68" customFormat="1" spans="1:5">
      <c r="A36" s="79" t="s">
        <v>397</v>
      </c>
      <c r="B36" s="95" t="s">
        <v>652</v>
      </c>
      <c r="C36" s="96"/>
      <c r="D36" s="97"/>
      <c r="E36" s="92" t="s">
        <v>159</v>
      </c>
    </row>
    <row r="37" s="68" customFormat="1" spans="1:5">
      <c r="A37" s="93"/>
      <c r="B37" s="98" t="s">
        <v>653</v>
      </c>
      <c r="C37" s="99"/>
      <c r="D37" s="100"/>
      <c r="E37" s="73" t="s">
        <v>654</v>
      </c>
    </row>
    <row r="38" s="68" customFormat="1" spans="1:5">
      <c r="A38" s="69" t="s">
        <v>399</v>
      </c>
      <c r="B38" s="98" t="s">
        <v>655</v>
      </c>
      <c r="C38" s="99"/>
      <c r="D38" s="100"/>
      <c r="E38" s="73" t="s">
        <v>656</v>
      </c>
    </row>
    <row r="39" s="68" customFormat="1" spans="1:5">
      <c r="A39" s="79" t="s">
        <v>401</v>
      </c>
      <c r="B39" s="80" t="s">
        <v>657</v>
      </c>
      <c r="C39" s="81" t="s">
        <v>587</v>
      </c>
      <c r="D39" s="72" t="s">
        <v>658</v>
      </c>
      <c r="E39" s="73" t="s">
        <v>659</v>
      </c>
    </row>
    <row r="40" s="68" customFormat="1" spans="1:5">
      <c r="A40" s="82"/>
      <c r="B40" s="83"/>
      <c r="C40" s="85"/>
      <c r="D40" s="72" t="s">
        <v>660</v>
      </c>
      <c r="E40" s="73" t="s">
        <v>661</v>
      </c>
    </row>
    <row r="41" s="68" customFormat="1" spans="1:5">
      <c r="A41" s="82"/>
      <c r="B41" s="83"/>
      <c r="C41" s="86" t="s">
        <v>662</v>
      </c>
      <c r="D41" s="87"/>
      <c r="E41" s="73" t="s">
        <v>663</v>
      </c>
    </row>
    <row r="42" s="68" customFormat="1" spans="1:5">
      <c r="A42" s="93"/>
      <c r="B42" s="89"/>
      <c r="C42" s="86" t="s">
        <v>598</v>
      </c>
      <c r="D42" s="87"/>
      <c r="E42" s="73" t="s">
        <v>664</v>
      </c>
    </row>
    <row r="43" s="68" customFormat="1" spans="1:5">
      <c r="A43" s="79" t="s">
        <v>404</v>
      </c>
      <c r="B43" s="90" t="s">
        <v>655</v>
      </c>
      <c r="C43" s="101" t="s">
        <v>665</v>
      </c>
      <c r="D43" s="102"/>
      <c r="E43" s="92" t="s">
        <v>666</v>
      </c>
    </row>
    <row r="44" s="68" customFormat="1" ht="28" spans="1:5">
      <c r="A44" s="82"/>
      <c r="B44" s="94"/>
      <c r="C44" s="101" t="s">
        <v>640</v>
      </c>
      <c r="D44" s="102"/>
      <c r="E44" s="92" t="s">
        <v>667</v>
      </c>
    </row>
    <row r="45" s="68" customFormat="1" spans="1:5">
      <c r="A45" s="93"/>
      <c r="B45" s="98" t="s">
        <v>668</v>
      </c>
      <c r="C45" s="99"/>
      <c r="D45" s="100"/>
      <c r="E45" s="73" t="s">
        <v>179</v>
      </c>
    </row>
    <row r="46" s="68" customFormat="1" spans="1:5">
      <c r="A46" s="79" t="s">
        <v>416</v>
      </c>
      <c r="B46" s="80" t="s">
        <v>669</v>
      </c>
      <c r="C46" s="81" t="s">
        <v>587</v>
      </c>
      <c r="D46" s="72" t="s">
        <v>670</v>
      </c>
      <c r="E46" s="73"/>
    </row>
    <row r="47" s="68" customFormat="1" spans="1:5">
      <c r="A47" s="82"/>
      <c r="B47" s="83"/>
      <c r="C47" s="84"/>
      <c r="D47" s="72" t="s">
        <v>671</v>
      </c>
      <c r="E47" s="73"/>
    </row>
    <row r="48" s="68" customFormat="1" spans="1:5">
      <c r="A48" s="93"/>
      <c r="B48" s="89"/>
      <c r="C48" s="85"/>
      <c r="D48" s="72" t="s">
        <v>640</v>
      </c>
      <c r="E48" s="73" t="s">
        <v>672</v>
      </c>
    </row>
    <row r="49" s="68" customFormat="1" spans="1:5">
      <c r="A49" s="69" t="s">
        <v>411</v>
      </c>
      <c r="B49" s="98" t="s">
        <v>412</v>
      </c>
      <c r="C49" s="99"/>
      <c r="D49" s="100"/>
      <c r="E49" s="73" t="s">
        <v>673</v>
      </c>
    </row>
    <row r="50" s="68" customFormat="1" spans="1:5">
      <c r="A50" s="79" t="s">
        <v>413</v>
      </c>
      <c r="B50" s="98" t="s">
        <v>655</v>
      </c>
      <c r="C50" s="99"/>
      <c r="D50" s="100"/>
      <c r="E50" s="73" t="s">
        <v>674</v>
      </c>
    </row>
    <row r="51" s="68" customFormat="1" spans="1:5">
      <c r="A51" s="93"/>
      <c r="B51" s="98" t="s">
        <v>655</v>
      </c>
      <c r="C51" s="99"/>
      <c r="D51" s="100"/>
      <c r="E51" s="73" t="s">
        <v>192</v>
      </c>
    </row>
    <row r="52" s="68" customFormat="1" spans="1:5">
      <c r="A52" s="69" t="s">
        <v>415</v>
      </c>
      <c r="B52" s="98" t="s">
        <v>655</v>
      </c>
      <c r="C52" s="99"/>
      <c r="D52" s="100"/>
      <c r="E52" s="73"/>
    </row>
    <row r="53" s="68" customFormat="1" spans="1:5">
      <c r="A53" s="79" t="s">
        <v>675</v>
      </c>
      <c r="B53" s="98" t="s">
        <v>655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676</v>
      </c>
    </row>
    <row r="55" s="68" customFormat="1" spans="1:5">
      <c r="A55" s="69" t="s">
        <v>407</v>
      </c>
      <c r="B55" s="70"/>
      <c r="C55" s="71"/>
      <c r="D55" s="72"/>
      <c r="E55" s="73" t="s">
        <v>677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678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679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680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681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682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683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684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685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686</v>
      </c>
      <c r="C20" s="50" t="s">
        <v>687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688</v>
      </c>
      <c r="C21" s="50" t="s">
        <v>689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690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691</v>
      </c>
      <c r="C24" s="62" t="s">
        <v>692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693</v>
      </c>
      <c r="C27" s="62" t="s">
        <v>694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695</v>
      </c>
      <c r="C28" s="62" t="s">
        <v>696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697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698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699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700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701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702</v>
      </c>
      <c r="C40" s="62" t="s">
        <v>703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704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705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706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707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708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709</v>
      </c>
      <c r="C52" s="62" t="s">
        <v>710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711</v>
      </c>
      <c r="C1" s="45" t="s">
        <v>712</v>
      </c>
      <c r="E1" s="45" t="s">
        <v>528</v>
      </c>
      <c r="F1" s="45" t="s">
        <v>713</v>
      </c>
    </row>
    <row r="2" spans="2:6">
      <c r="B2" s="21" t="s">
        <v>714</v>
      </c>
      <c r="C2" s="21">
        <v>13</v>
      </c>
      <c r="E2" s="21" t="s">
        <v>715</v>
      </c>
      <c r="F2" s="21">
        <v>6</v>
      </c>
    </row>
    <row r="3" spans="2:6">
      <c r="B3" s="21" t="s">
        <v>716</v>
      </c>
      <c r="C3" s="21">
        <v>13</v>
      </c>
      <c r="E3" s="21" t="s">
        <v>717</v>
      </c>
      <c r="F3" s="21">
        <v>13</v>
      </c>
    </row>
    <row r="4" spans="2:6">
      <c r="B4" s="21" t="s">
        <v>718</v>
      </c>
      <c r="C4" s="21">
        <v>12</v>
      </c>
      <c r="E4" s="21" t="s">
        <v>584</v>
      </c>
      <c r="F4" s="21">
        <v>4</v>
      </c>
    </row>
    <row r="5" spans="2:6">
      <c r="B5" s="21" t="s">
        <v>719</v>
      </c>
      <c r="C5" s="21">
        <v>2</v>
      </c>
      <c r="E5" s="21" t="s">
        <v>720</v>
      </c>
      <c r="F5" s="21">
        <v>6</v>
      </c>
    </row>
    <row r="6" spans="2:6">
      <c r="B6" s="21" t="s">
        <v>721</v>
      </c>
      <c r="C6" s="21">
        <v>2</v>
      </c>
      <c r="E6" s="21" t="s">
        <v>722</v>
      </c>
      <c r="F6" s="21">
        <v>4</v>
      </c>
    </row>
    <row r="7" spans="2:6">
      <c r="B7" s="21" t="s">
        <v>723</v>
      </c>
      <c r="C7" s="21">
        <v>1</v>
      </c>
      <c r="E7" s="21" t="s">
        <v>724</v>
      </c>
      <c r="F7" s="21">
        <v>1</v>
      </c>
    </row>
    <row r="8" spans="2:6">
      <c r="B8" s="21" t="s">
        <v>725</v>
      </c>
      <c r="C8" s="21">
        <v>4</v>
      </c>
      <c r="E8" s="21" t="s">
        <v>726</v>
      </c>
      <c r="F8" s="21">
        <v>3</v>
      </c>
    </row>
    <row r="9" spans="2:6">
      <c r="E9" s="21" t="s">
        <v>727</v>
      </c>
      <c r="F9" s="21">
        <v>1</v>
      </c>
    </row>
    <row r="10" spans="2:6">
      <c r="E10" s="21" t="s">
        <v>728</v>
      </c>
      <c r="F10" s="21">
        <v>5</v>
      </c>
    </row>
    <row r="11" spans="2:6">
      <c r="E11" s="21" t="s">
        <v>729</v>
      </c>
      <c r="F11" s="21">
        <v>1</v>
      </c>
    </row>
    <row r="12" spans="2:6">
      <c r="E12" s="21" t="s">
        <v>725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tabSelected="1"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T98" sqref="T98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730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731</v>
      </c>
      <c r="BD1" s="12" t="s">
        <v>732</v>
      </c>
      <c r="BF1" s="11">
        <v>1</v>
      </c>
      <c r="BG1" s="11">
        <v>2</v>
      </c>
      <c r="BH1" s="11">
        <v>3</v>
      </c>
      <c r="BI1" s="11">
        <v>4</v>
      </c>
      <c r="BJ1" s="11" t="s">
        <v>733</v>
      </c>
      <c r="BK1" s="11">
        <v>5</v>
      </c>
      <c r="BL1" s="11">
        <v>6</v>
      </c>
      <c r="BM1" s="11">
        <v>7</v>
      </c>
      <c r="BN1" s="11">
        <v>8</v>
      </c>
      <c r="BO1" s="13" t="s">
        <v>732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390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394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397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399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401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404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407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410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734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735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735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736</v>
      </c>
      <c r="BI35" s="21"/>
      <c r="BJ35" s="21"/>
      <c r="BK35" s="21" t="s">
        <v>737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738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737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736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739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736</v>
      </c>
      <c r="BJ53" s="21"/>
      <c r="BK53" s="21" t="s">
        <v>737</v>
      </c>
      <c r="BL53" s="21" t="s">
        <v>737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734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736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737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737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736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739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734</v>
      </c>
      <c r="BK62" s="21"/>
      <c r="BL62" s="21"/>
      <c r="BM62" s="21" t="s">
        <v>740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736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737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735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737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736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740</v>
      </c>
      <c r="BI72" s="21" t="s">
        <v>736</v>
      </c>
      <c r="BJ72" s="21"/>
      <c r="BK72" s="21"/>
      <c r="BL72" s="21" t="s">
        <v>737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735</v>
      </c>
      <c r="BI73" s="21"/>
      <c r="BJ73" s="21"/>
      <c r="BK73" s="21"/>
      <c r="BL73" s="21" t="s">
        <v>739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735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740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735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736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735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740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740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736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736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736</v>
      </c>
      <c r="BJ101" s="27"/>
      <c r="BK101" s="27"/>
      <c r="BL101" s="27" t="s">
        <v>737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737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736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737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741</v>
      </c>
      <c r="B114" s="32"/>
      <c r="C114" s="33"/>
      <c r="D114" s="34">
        <f>SUM(D2:D113)</f>
        <v>6</v>
      </c>
      <c r="E114" s="34">
        <f t="shared" ref="E114:AJ114" si="8">SUM(E2:E113)</f>
        <v>55</v>
      </c>
      <c r="F114" s="34">
        <f t="shared" si="8"/>
        <v>18</v>
      </c>
      <c r="G114" s="34">
        <f t="shared" si="8"/>
        <v>9</v>
      </c>
      <c r="H114" s="34">
        <f t="shared" si="8"/>
        <v>17</v>
      </c>
      <c r="I114" s="34">
        <f t="shared" si="8"/>
        <v>52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42</v>
      </c>
      <c r="X114" s="34">
        <f t="shared" si="8"/>
        <v>1</v>
      </c>
      <c r="Y114" s="34">
        <f t="shared" si="8"/>
        <v>36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64</v>
      </c>
      <c r="AP114" s="34">
        <f t="shared" si="9"/>
        <v>52</v>
      </c>
      <c r="AQ114" s="34">
        <f t="shared" si="9"/>
        <v>66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742</v>
      </c>
      <c r="BD114" s="36"/>
      <c r="BE114" s="37"/>
      <c r="BF114" s="21">
        <f>COUNTA(BF24:BF113)</f>
        <v>1</v>
      </c>
      <c r="BG114" s="21">
        <f t="shared" ref="BG114:BN114" si="10">COUNTA(BG24:BG113)</f>
        <v>3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44</v>
      </c>
    </row>
    <row r="115" customHeight="1" spans="1:67">
      <c r="A115" s="31" t="s">
        <v>743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50</v>
      </c>
      <c r="F115" s="34" cm="1">
        <f t="array" ref="F115">SUMPRODUCT(--(F2:F113=INT(F2:F113)),--(F2:F113&gt;0))</f>
        <v>18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50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36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33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53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50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744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745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2026-06-24T12:05:31Z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