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<sst xmlns="http://schemas.openxmlformats.org/spreadsheetml/2006/main" count="1288" uniqueCount="774">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</sst>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0" workbookViewId="0">
      <selection activeCell="I41" sqref="I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spans="1:10">
      <c r="A5" s="234" t="s">
        <v>15</v>
      </c>
      <c r="C5" s="228" t="s">
        <v>16</v>
      </c>
      <c r="D5" s="228" t="s">
        <v>17</v>
      </c>
    </row>
    <row r="6" spans="1:10">
      <c r="A6" s="234" t="s">
        <v>18</v>
      </c>
      <c r="C6" s="228" t="s">
        <v>19</v>
      </c>
    </row>
    <row r="7" ht="221" spans="1:10">
      <c r="A7" s="234" t="s">
        <v>20</v>
      </c>
      <c r="B7" s="228" t="s">
        <v>21</v>
      </c>
      <c r="C7" s="228" t="s">
        <v>22</v>
      </c>
      <c r="D7" s="228" t="s">
        <v>23</v>
      </c>
    </row>
    <row r="8" ht="26" spans="1:10">
      <c r="A8" s="234" t="s">
        <v>24</v>
      </c>
      <c r="D8" s="228" t="s">
        <v>25</v>
      </c>
    </row>
    <row r="9" spans="1:10">
      <c r="A9" s="234" t="s">
        <v>26</v>
      </c>
    </row>
    <row r="10" spans="1:10">
      <c r="A10" s="234" t="s">
        <v>27</v>
      </c>
      <c r="B10" s="228" t="s">
        <v>28</v>
      </c>
    </row>
    <row r="11" spans="1:10">
      <c r="A11" s="234" t="s">
        <v>29</v>
      </c>
    </row>
    <row r="12" spans="1:10">
      <c r="A12" s="234" t="s">
        <v>30</v>
      </c>
      <c r="E12" s="228" t="s">
        <v>31</v>
      </c>
    </row>
    <row r="13" ht="39" spans="1:10">
      <c r="A13" s="234" t="s">
        <v>32</v>
      </c>
      <c r="D13" s="228" t="s">
        <v>33</v>
      </c>
      <c r="F13" s="228" t="s">
        <v>34</v>
      </c>
    </row>
    <row r="14" spans="1:10">
      <c r="A14" s="234" t="s">
        <v>35</v>
      </c>
      <c r="B14" s="228" t="s">
        <v>36</v>
      </c>
    </row>
    <row r="15" spans="1:10">
      <c r="A15" s="234" t="s">
        <v>37</v>
      </c>
    </row>
    <row r="16" ht="56" spans="1:10">
      <c r="A16" s="234" t="s">
        <v>38</v>
      </c>
      <c r="B16" s="228" t="s">
        <v>39</v>
      </c>
      <c r="C16" s="228" t="s">
        <v>40</v>
      </c>
      <c r="H16" s="229" t="s">
        <v>41</v>
      </c>
    </row>
    <row r="17" ht="26" spans="1:8">
      <c r="A17" s="234" t="s">
        <v>42</v>
      </c>
      <c r="C17" s="228" t="s">
        <v>43</v>
      </c>
    </row>
    <row r="18" spans="1:8">
      <c r="A18" s="234" t="s">
        <v>44</v>
      </c>
      <c r="D18" s="228" t="s">
        <v>45</v>
      </c>
    </row>
    <row r="19" ht="42" spans="1:8">
      <c r="A19" s="234" t="s">
        <v>46</v>
      </c>
      <c r="D19" s="228" t="s">
        <v>47</v>
      </c>
      <c r="E19" s="228" t="s">
        <v>31</v>
      </c>
      <c r="H19" s="229" t="s">
        <v>48</v>
      </c>
    </row>
    <row r="20" ht="26" spans="1:8">
      <c r="A20" s="234" t="s">
        <v>49</v>
      </c>
      <c r="B20" s="228" t="s">
        <v>50</v>
      </c>
      <c r="C20" s="228" t="s">
        <v>51</v>
      </c>
    </row>
    <row r="21" ht="52" spans="1:8">
      <c r="A21" s="234" t="s">
        <v>52</v>
      </c>
      <c r="B21" s="228" t="s">
        <v>53</v>
      </c>
      <c r="C21" s="228" t="s">
        <v>54</v>
      </c>
      <c r="D21" s="228" t="s">
        <v>55</v>
      </c>
      <c r="E21" s="228" t="s">
        <v>56</v>
      </c>
    </row>
    <row r="22" spans="1:8">
      <c r="A22" s="234" t="s">
        <v>57</v>
      </c>
    </row>
    <row r="23" ht="42" spans="1:8">
      <c r="A23" s="234" t="s">
        <v>58</v>
      </c>
      <c r="B23" s="228" t="s">
        <v>59</v>
      </c>
      <c r="E23" s="228" t="s">
        <v>60</v>
      </c>
      <c r="H23" s="229" t="s">
        <v>61</v>
      </c>
    </row>
    <row r="24" ht="52" spans="1:8">
      <c r="A24" s="234" t="s">
        <v>62</v>
      </c>
      <c r="B24" s="228" t="s">
        <v>63</v>
      </c>
      <c r="C24" s="228" t="s">
        <v>64</v>
      </c>
      <c r="D24" s="228" t="s">
        <v>65</v>
      </c>
      <c r="E24" s="228" t="s">
        <v>66</v>
      </c>
    </row>
    <row r="25" spans="1:8">
      <c r="A25" s="234" t="s">
        <v>67</v>
      </c>
    </row>
    <row r="26" spans="1:8">
      <c r="A26" s="234" t="s">
        <v>68</v>
      </c>
    </row>
    <row r="27" spans="1:8">
      <c r="A27" s="234" t="s">
        <v>69</v>
      </c>
      <c r="B27" s="228" t="s">
        <v>70</v>
      </c>
      <c r="C27" s="228" t="s">
        <v>71</v>
      </c>
    </row>
    <row r="28" ht="91" spans="1:8">
      <c r="A28" s="234" t="s">
        <v>72</v>
      </c>
      <c r="B28" s="228" t="s">
        <v>73</v>
      </c>
      <c r="C28" s="228" t="s">
        <v>74</v>
      </c>
      <c r="D28" s="228" t="s">
        <v>75</v>
      </c>
      <c r="E28" s="228" t="s">
        <v>76</v>
      </c>
    </row>
    <row r="29" spans="1:8">
      <c r="A29" s="234" t="s">
        <v>77</v>
      </c>
      <c r="E29" s="228" t="s">
        <v>78</v>
      </c>
      <c r="H29" s="229" t="s">
        <v>79</v>
      </c>
    </row>
    <row r="30" spans="1:8">
      <c r="A30" s="234" t="s">
        <v>80</v>
      </c>
      <c r="B30" s="228" t="s">
        <v>81</v>
      </c>
      <c r="C30" s="228" t="s">
        <v>82</v>
      </c>
    </row>
    <row r="31" spans="1:8">
      <c r="A31" s="234" t="s">
        <v>83</v>
      </c>
    </row>
    <row r="32" spans="1:8">
      <c r="A32" s="234" t="s">
        <v>84</v>
      </c>
    </row>
    <row r="33" spans="1:10">
      <c r="A33" s="234" t="s">
        <v>85</v>
      </c>
    </row>
    <row r="34" spans="1:10">
      <c r="A34" s="234" t="s">
        <v>86</v>
      </c>
    </row>
    <row r="35" spans="1:10">
      <c r="A35" s="234" t="s">
        <v>87</v>
      </c>
    </row>
    <row r="36" spans="1:10">
      <c r="A36" s="234" t="s">
        <v>88</v>
      </c>
      <c r="B36" s="228" t="s">
        <v>89</v>
      </c>
    </row>
    <row r="37" ht="26" spans="1:10">
      <c r="A37" s="234" t="s">
        <v>90</v>
      </c>
      <c r="C37" s="228" t="s">
        <v>91</v>
      </c>
      <c r="D37" s="228" t="s">
        <v>92</v>
      </c>
    </row>
    <row r="38" spans="1:10">
      <c r="A38" s="234" t="s">
        <v>93</v>
      </c>
      <c r="B38" s="228" t="s">
        <v>94</v>
      </c>
      <c r="C38" s="235"/>
      <c r="D38" s="235"/>
      <c r="E38" s="235"/>
      <c r="F38" s="235"/>
      <c r="G38" s="235"/>
    </row>
    <row r="39" ht="26" spans="1:10">
      <c r="A39" s="234" t="s">
        <v>95</v>
      </c>
      <c r="C39" s="228" t="s">
        <v>96</v>
      </c>
      <c r="D39" s="228" t="s">
        <v>97</v>
      </c>
      <c r="E39" s="228" t="s">
        <v>98</v>
      </c>
    </row>
    <row r="40" ht="252" spans="1:10">
      <c r="A40" s="234" t="s">
        <v>99</v>
      </c>
      <c r="B40" s="228" t="s">
        <v>100</v>
      </c>
      <c r="C40" s="228" t="s">
        <v>101</v>
      </c>
      <c r="D40" s="228" t="s">
        <v>102</v>
      </c>
      <c r="F40" s="228" t="s">
        <v>103</v>
      </c>
      <c r="H40" s="229" t="s">
        <v>104</v>
      </c>
    </row>
    <row r="41" ht="208" spans="1:10">
      <c r="A41" s="234" t="s">
        <v>105</v>
      </c>
      <c r="C41" s="228" t="s">
        <v>106</v>
      </c>
      <c r="D41" s="228" t="s">
        <v>107</v>
      </c>
      <c r="E41" s="228" t="s">
        <v>108</v>
      </c>
      <c r="H41" s="229" t="s">
        <v>109</v>
      </c>
      <c r="I41" s="229" t="s">
        <v>110</v>
      </c>
      <c r="J41" s="229" t="s">
        <v>111</v>
      </c>
    </row>
    <row r="42" spans="1:10">
      <c r="A42" s="234" t="s">
        <v>112</v>
      </c>
    </row>
    <row r="43" ht="28" spans="1:10">
      <c r="A43" s="234" t="s">
        <v>113</v>
      </c>
      <c r="B43" s="228" t="s">
        <v>114</v>
      </c>
      <c r="H43" s="229" t="s">
        <v>115</v>
      </c>
    </row>
    <row r="44" ht="26" spans="1:10">
      <c r="A44" s="234" t="s">
        <v>116</v>
      </c>
      <c r="B44" s="228" t="s">
        <v>117</v>
      </c>
    </row>
    <row r="45" ht="26" spans="1:10">
      <c r="A45" s="234" t="s">
        <v>118</v>
      </c>
      <c r="C45" s="228" t="s">
        <v>119</v>
      </c>
      <c r="D45" s="228" t="s">
        <v>120</v>
      </c>
      <c r="E45" s="228" t="s">
        <v>121</v>
      </c>
    </row>
    <row r="46" spans="1:10">
      <c r="A46" s="234" t="s">
        <v>122</v>
      </c>
    </row>
    <row r="47" spans="1:10">
      <c r="A47" s="234" t="s">
        <v>123</v>
      </c>
      <c r="D47" s="228" t="s">
        <v>124</v>
      </c>
    </row>
    <row r="48" ht="42" spans="1:10">
      <c r="A48" s="234" t="s">
        <v>125</v>
      </c>
      <c r="C48" s="228" t="s">
        <v>126</v>
      </c>
      <c r="D48" s="228" t="s">
        <v>127</v>
      </c>
      <c r="H48" s="229" t="s">
        <v>128</v>
      </c>
    </row>
    <row r="49" spans="1:7">
      <c r="A49" s="234" t="s">
        <v>129</v>
      </c>
      <c r="E49" s="228" t="s">
        <v>130</v>
      </c>
    </row>
    <row r="50" ht="78" spans="1:7">
      <c r="A50" s="234" t="s">
        <v>131</v>
      </c>
      <c r="C50" s="228" t="s">
        <v>132</v>
      </c>
    </row>
    <row r="51" spans="1:7">
      <c r="A51" s="234" t="s">
        <v>133</v>
      </c>
    </row>
    <row r="52" ht="26" spans="1:7">
      <c r="A52" s="234" t="s">
        <v>134</v>
      </c>
      <c r="B52" s="228" t="s">
        <v>135</v>
      </c>
      <c r="C52" s="228" t="s">
        <v>136</v>
      </c>
      <c r="E52" s="228" t="s">
        <v>137</v>
      </c>
    </row>
    <row r="53" ht="26" spans="1:7">
      <c r="A53" s="227" t="s">
        <v>138</v>
      </c>
      <c r="B53" s="228" t="s">
        <v>139</v>
      </c>
      <c r="D53" s="235"/>
      <c r="E53" s="235"/>
      <c r="F53" s="235"/>
      <c r="G53" s="235"/>
    </row>
    <row r="54" spans="1:7">
      <c r="A54" s="227" t="s">
        <v>140</v>
      </c>
      <c r="B54" s="228" t="s">
        <v>141</v>
      </c>
      <c r="C54" s="228" t="s">
        <v>142</v>
      </c>
      <c r="D54" s="235"/>
      <c r="E54" s="235"/>
      <c r="F54" s="235"/>
      <c r="G54" s="235"/>
    </row>
    <row r="55" ht="65" spans="1:7">
      <c r="A55" s="227" t="s">
        <v>143</v>
      </c>
      <c r="B55" s="235"/>
      <c r="C55" s="235"/>
      <c r="D55" s="228" t="s">
        <v>144</v>
      </c>
      <c r="E55" s="228" t="s">
        <v>145</v>
      </c>
    </row>
    <row r="56" ht="65" spans="1:7">
      <c r="A56" s="227" t="s">
        <v>146</v>
      </c>
      <c r="B56" s="236" t="s">
        <v>147</v>
      </c>
      <c r="C56" s="236"/>
      <c r="D56" s="228" t="s">
        <v>148</v>
      </c>
    </row>
    <row r="57" ht="117" spans="1:7">
      <c r="A57" s="227" t="s">
        <v>149</v>
      </c>
      <c r="B57" s="236" t="s">
        <v>150</v>
      </c>
      <c r="C57" s="236" t="s">
        <v>151</v>
      </c>
      <c r="D57" s="228" t="s">
        <v>152</v>
      </c>
    </row>
    <row r="58" spans="1:7">
      <c r="A58" s="227" t="s">
        <v>153</v>
      </c>
      <c r="B58" s="228" t="s">
        <v>154</v>
      </c>
      <c r="C58" s="235"/>
      <c r="D58" s="235"/>
      <c r="E58" s="235"/>
      <c r="F58" s="235"/>
      <c r="G58" s="235"/>
    </row>
    <row r="59" spans="1:7">
      <c r="A59" s="227" t="s">
        <v>155</v>
      </c>
      <c r="B59" s="235"/>
      <c r="C59" s="228" t="s">
        <v>156</v>
      </c>
      <c r="D59" s="235"/>
      <c r="E59" s="235"/>
      <c r="F59" s="235"/>
      <c r="G59" s="235"/>
    </row>
    <row r="60" ht="52" spans="1:7">
      <c r="A60" s="227" t="s">
        <v>157</v>
      </c>
      <c r="B60" s="235" t="s">
        <v>158</v>
      </c>
      <c r="C60" s="235"/>
      <c r="D60" s="228" t="s">
        <v>159</v>
      </c>
    </row>
    <row r="61" spans="1:7">
      <c r="A61" s="227" t="s">
        <v>160</v>
      </c>
      <c r="B61" s="236" t="s">
        <v>161</v>
      </c>
      <c r="C61" s="236"/>
      <c r="D61" s="235"/>
      <c r="E61" s="235"/>
      <c r="F61" s="235"/>
      <c r="G61" s="235"/>
    </row>
    <row r="62" ht="52" spans="1:7">
      <c r="A62" s="227" t="s">
        <v>162</v>
      </c>
      <c r="B62" s="235"/>
      <c r="C62" s="235"/>
      <c r="D62" s="228" t="s">
        <v>163</v>
      </c>
      <c r="E62" s="228" t="s">
        <v>164</v>
      </c>
    </row>
    <row r="63" ht="26" spans="1:7">
      <c r="A63" s="227" t="s">
        <v>165</v>
      </c>
      <c r="B63" s="236" t="s">
        <v>166</v>
      </c>
      <c r="C63" s="236" t="s">
        <v>167</v>
      </c>
      <c r="D63" s="235"/>
      <c r="E63" s="235"/>
      <c r="F63" s="235"/>
      <c r="G63" s="235"/>
    </row>
    <row r="64" ht="26" spans="1:7">
      <c r="A64" s="227" t="s">
        <v>168</v>
      </c>
      <c r="B64" s="235"/>
      <c r="C64" s="235"/>
      <c r="D64" s="228" t="s">
        <v>169</v>
      </c>
      <c r="E64" s="228" t="s">
        <v>170</v>
      </c>
    </row>
    <row r="65" ht="26" spans="1:7">
      <c r="A65" s="227" t="s">
        <v>171</v>
      </c>
      <c r="B65" s="237" t="s">
        <v>172</v>
      </c>
      <c r="C65" s="235"/>
      <c r="D65" s="235"/>
      <c r="E65" s="235"/>
      <c r="F65" s="235"/>
      <c r="G65" s="235"/>
    </row>
    <row r="66" spans="1:7">
      <c r="A66" s="227" t="s">
        <v>173</v>
      </c>
      <c r="B66" s="235"/>
      <c r="C66" s="228" t="s">
        <v>174</v>
      </c>
      <c r="D66" s="235"/>
      <c r="E66" s="235"/>
      <c r="F66" s="235"/>
      <c r="G66" s="235"/>
    </row>
    <row r="67" spans="1:7">
      <c r="A67" s="227" t="s">
        <v>175</v>
      </c>
      <c r="B67" s="235"/>
      <c r="C67" s="235"/>
    </row>
    <row r="68" ht="78" spans="1:7">
      <c r="A68" s="227" t="s">
        <v>176</v>
      </c>
      <c r="B68" s="235"/>
      <c r="C68" s="235"/>
      <c r="D68" s="228" t="s">
        <v>177</v>
      </c>
    </row>
    <row r="69" spans="1:7">
      <c r="A69" s="227" t="s">
        <v>178</v>
      </c>
      <c r="B69" s="236" t="s">
        <v>179</v>
      </c>
      <c r="C69" s="236"/>
    </row>
    <row r="70" ht="26" spans="1:7">
      <c r="A70" s="227" t="s">
        <v>180</v>
      </c>
      <c r="B70" s="236" t="s">
        <v>181</v>
      </c>
      <c r="C70" s="236"/>
      <c r="D70" s="235"/>
      <c r="E70" s="235"/>
      <c r="F70" s="235"/>
      <c r="G70" s="235"/>
    </row>
    <row r="71" spans="1:7">
      <c r="A71" s="227" t="s">
        <v>182</v>
      </c>
      <c r="B71" s="235"/>
      <c r="C71" s="235"/>
    </row>
    <row r="72" spans="1:7">
      <c r="A72" s="227" t="s">
        <v>183</v>
      </c>
      <c r="B72" s="228" t="s">
        <v>184</v>
      </c>
      <c r="C72" s="228" t="s">
        <v>185</v>
      </c>
      <c r="D72" s="235"/>
      <c r="E72" s="235"/>
      <c r="F72" s="235"/>
      <c r="G72" s="235"/>
    </row>
    <row r="73" spans="1:7">
      <c r="A73" s="227" t="s">
        <v>186</v>
      </c>
      <c r="B73" s="235"/>
      <c r="C73" s="228" t="s">
        <v>187</v>
      </c>
      <c r="D73" s="235"/>
      <c r="E73" s="235"/>
      <c r="F73" s="235"/>
      <c r="G73" s="235"/>
    </row>
    <row r="74" spans="1:7">
      <c r="A74" s="227" t="s">
        <v>188</v>
      </c>
    </row>
    <row r="75" spans="1:7">
      <c r="A75" s="227" t="s">
        <v>189</v>
      </c>
      <c r="D75" s="235"/>
      <c r="E75" s="235"/>
      <c r="F75" s="235"/>
      <c r="G75" s="235"/>
    </row>
    <row r="76" spans="1:7">
      <c r="A76" s="227" t="s">
        <v>190</v>
      </c>
      <c r="B76" s="235"/>
      <c r="C76" s="235"/>
      <c r="D76" s="228" t="s">
        <v>191</v>
      </c>
    </row>
    <row r="77" spans="1:7">
      <c r="A77" s="227" t="s">
        <v>192</v>
      </c>
      <c r="B77" s="236"/>
      <c r="C77" s="236"/>
    </row>
    <row r="78" ht="26" spans="1:7">
      <c r="A78" s="238" t="s">
        <v>193</v>
      </c>
      <c r="B78" s="228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5" t="s">
        <v>197</v>
      </c>
      <c r="C3" s="66" t="s">
        <v>198</v>
      </c>
    </row>
    <row r="4" spans="1:7">
      <c r="A4" s="225" t="s">
        <v>199</v>
      </c>
      <c r="B4" s="66" t="s">
        <v>200</v>
      </c>
      <c r="D4" s="66" t="s">
        <v>201</v>
      </c>
    </row>
    <row r="5" spans="1:7">
      <c r="A5" s="225" t="s">
        <v>202</v>
      </c>
      <c r="C5" s="66" t="s">
        <v>203</v>
      </c>
      <c r="D5" s="66" t="s">
        <v>204</v>
      </c>
    </row>
    <row r="6" spans="1:7">
      <c r="A6" s="225" t="s">
        <v>205</v>
      </c>
      <c r="B6" s="66" t="s">
        <v>206</v>
      </c>
      <c r="D6" s="66" t="s">
        <v>207</v>
      </c>
    </row>
    <row r="7" spans="1:7">
      <c r="A7" s="225" t="s">
        <v>208</v>
      </c>
      <c r="B7" s="66" t="s">
        <v>209</v>
      </c>
    </row>
    <row r="8" spans="1:7">
      <c r="A8" s="225"/>
      <c r="D8" s="66" t="s">
        <v>210</v>
      </c>
    </row>
    <row r="9" spans="1:7">
      <c r="A9" s="225"/>
    </row>
    <row r="10" spans="1:7">
      <c r="A10" s="225"/>
      <c r="B10" s="66" t="s">
        <v>211</v>
      </c>
    </row>
    <row r="11" spans="1:7">
      <c r="A11" s="225"/>
    </row>
    <row r="12" spans="1:7">
      <c r="A12" s="225"/>
      <c r="B12" s="66" t="s">
        <v>212</v>
      </c>
    </row>
    <row r="13" spans="1:7">
      <c r="A13" s="225"/>
      <c r="B13" s="66" t="s">
        <v>213</v>
      </c>
    </row>
    <row r="14" spans="1:7">
      <c r="A14" s="225"/>
      <c r="B14" s="66" t="s">
        <v>214</v>
      </c>
    </row>
    <row r="15" spans="1:7">
      <c r="A15" s="225"/>
      <c r="B15" s="66" t="s">
        <v>215</v>
      </c>
    </row>
    <row r="16" spans="1:7">
      <c r="A16" s="225"/>
      <c r="B16" s="66" t="s">
        <v>216</v>
      </c>
    </row>
    <row r="17" spans="1:2">
      <c r="A17" s="225"/>
      <c r="B17" s="66" t="s">
        <v>217</v>
      </c>
    </row>
    <row r="18" spans="1:2">
      <c r="A18" s="225"/>
      <c r="B18" s="66" t="s">
        <v>218</v>
      </c>
    </row>
    <row r="19" ht="26" spans="1:2">
      <c r="A19" s="225"/>
      <c r="B19" s="78" t="s">
        <v>219</v>
      </c>
    </row>
    <row r="20" spans="1:2">
      <c r="A20" s="225"/>
      <c r="B20" s="66" t="s">
        <v>220</v>
      </c>
    </row>
    <row r="21" spans="1:2">
      <c r="A21" s="225"/>
      <c r="B21" s="66" t="s">
        <v>221</v>
      </c>
    </row>
    <row r="22" spans="1:2">
      <c r="A22" s="225"/>
      <c r="B22" s="66" t="s">
        <v>222</v>
      </c>
    </row>
    <row r="23" spans="1:2">
      <c r="A23" s="225"/>
      <c r="B23" s="66" t="s">
        <v>223</v>
      </c>
    </row>
    <row r="24" spans="1:2">
      <c r="A24" s="225"/>
      <c r="B24" s="66" t="s">
        <v>224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5"/>
  <sheetViews>
    <sheetView workbookViewId="0">
      <pane ySplit="1" topLeftCell="A65" activePane="bottomLeft" state="frozen"/>
      <selection/>
      <selection pane="bottomLeft" activeCell="C66" sqref="C6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225</v>
      </c>
      <c r="B1" s="212" t="s">
        <v>226</v>
      </c>
      <c r="C1" s="212" t="s">
        <v>227</v>
      </c>
    </row>
    <row r="2" spans="1:3">
      <c r="A2" s="213" t="s">
        <v>228</v>
      </c>
      <c r="B2" s="213" t="s">
        <v>229</v>
      </c>
      <c r="C2" s="213" t="s">
        <v>230</v>
      </c>
    </row>
    <row r="3" spans="1:3">
      <c r="A3" s="213" t="s">
        <v>231</v>
      </c>
      <c r="B3" s="213" t="s">
        <v>232</v>
      </c>
      <c r="C3" s="213" t="s">
        <v>233</v>
      </c>
    </row>
    <row r="4" spans="1:3">
      <c r="A4" s="213" t="s">
        <v>234</v>
      </c>
      <c r="B4" s="213" t="s">
        <v>232</v>
      </c>
      <c r="C4" s="213" t="s">
        <v>235</v>
      </c>
    </row>
    <row r="5" ht="56" spans="1:3">
      <c r="A5" s="214" t="s">
        <v>236</v>
      </c>
      <c r="B5" s="213" t="s">
        <v>237</v>
      </c>
      <c r="C5" s="213" t="s">
        <v>238</v>
      </c>
    </row>
    <row r="6" ht="28" spans="1:3">
      <c r="A6" s="215"/>
      <c r="B6" s="213" t="s">
        <v>239</v>
      </c>
      <c r="C6" s="213" t="s">
        <v>240</v>
      </c>
    </row>
    <row r="7" spans="1:3">
      <c r="A7" s="216" t="s">
        <v>105</v>
      </c>
      <c r="B7" s="213" t="s">
        <v>241</v>
      </c>
      <c r="C7" s="213" t="s">
        <v>242</v>
      </c>
    </row>
    <row r="8" ht="140" spans="1:3">
      <c r="A8" s="216"/>
      <c r="B8" s="213" t="s">
        <v>243</v>
      </c>
      <c r="C8" s="213" t="s">
        <v>244</v>
      </c>
    </row>
    <row r="9" spans="1:3">
      <c r="A9" s="216"/>
      <c r="B9" s="213" t="s">
        <v>245</v>
      </c>
      <c r="C9" s="213" t="s">
        <v>246</v>
      </c>
    </row>
    <row r="10" spans="1:3">
      <c r="A10" s="216"/>
      <c r="B10" s="213" t="s">
        <v>247</v>
      </c>
      <c r="C10" s="213" t="s">
        <v>248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249</v>
      </c>
      <c r="B15" s="213" t="s">
        <v>250</v>
      </c>
      <c r="C15" s="213" t="s">
        <v>251</v>
      </c>
    </row>
    <row r="16" spans="1:3">
      <c r="A16" s="213" t="s">
        <v>252</v>
      </c>
      <c r="B16" s="213" t="s">
        <v>253</v>
      </c>
      <c r="C16" s="213" t="s">
        <v>254</v>
      </c>
    </row>
    <row r="17" spans="1:3">
      <c r="A17" s="213" t="s">
        <v>255</v>
      </c>
      <c r="B17" s="213" t="s">
        <v>256</v>
      </c>
      <c r="C17" s="218">
        <v>0.440972222222222</v>
      </c>
    </row>
    <row r="18" spans="1:3">
      <c r="A18" s="219" t="s">
        <v>72</v>
      </c>
      <c r="B18" s="213" t="s">
        <v>257</v>
      </c>
      <c r="C18" s="213" t="s">
        <v>258</v>
      </c>
    </row>
    <row r="19" spans="1:3">
      <c r="A19" s="216"/>
      <c r="B19" s="213" t="s">
        <v>259</v>
      </c>
      <c r="C19" s="213" t="s">
        <v>260</v>
      </c>
    </row>
    <row r="20" ht="56" spans="1:3">
      <c r="A20" s="216"/>
      <c r="B20" s="213" t="s">
        <v>261</v>
      </c>
      <c r="C20" s="213" t="s">
        <v>262</v>
      </c>
    </row>
    <row r="21" spans="1:3">
      <c r="A21" s="216"/>
      <c r="B21" s="213" t="s">
        <v>263</v>
      </c>
      <c r="C21" s="213" t="s">
        <v>264</v>
      </c>
    </row>
    <row r="22" ht="28" spans="1:3">
      <c r="A22" s="216"/>
      <c r="B22" s="213" t="s">
        <v>265</v>
      </c>
      <c r="C22" s="213" t="s">
        <v>266</v>
      </c>
    </row>
    <row r="23" spans="1:3">
      <c r="A23" s="216"/>
      <c r="B23" s="213" t="s">
        <v>267</v>
      </c>
      <c r="C23" s="213" t="s">
        <v>268</v>
      </c>
    </row>
    <row r="24" spans="1:3">
      <c r="A24" s="216"/>
      <c r="B24" s="213" t="s">
        <v>269</v>
      </c>
      <c r="C24" s="213" t="s">
        <v>270</v>
      </c>
    </row>
    <row r="25" spans="1:3">
      <c r="A25" s="216"/>
      <c r="B25" s="213" t="s">
        <v>271</v>
      </c>
      <c r="C25" s="213" t="s">
        <v>272</v>
      </c>
    </row>
    <row r="26" spans="1:3">
      <c r="A26" s="216"/>
      <c r="B26" s="213" t="s">
        <v>269</v>
      </c>
      <c r="C26" s="213" t="s">
        <v>273</v>
      </c>
    </row>
    <row r="27" spans="1:3">
      <c r="A27" s="216"/>
      <c r="B27" s="213" t="s">
        <v>274</v>
      </c>
      <c r="C27" s="213" t="s">
        <v>275</v>
      </c>
    </row>
    <row r="28" spans="1:3">
      <c r="A28" s="216"/>
      <c r="B28" s="213" t="s">
        <v>276</v>
      </c>
      <c r="C28" s="213" t="s">
        <v>277</v>
      </c>
    </row>
    <row r="29" spans="1:3">
      <c r="A29" s="216"/>
      <c r="B29" s="213"/>
      <c r="C29" s="213"/>
    </row>
    <row r="30" spans="1:3">
      <c r="A30" s="216"/>
      <c r="B30" s="213"/>
      <c r="C30" s="213"/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278</v>
      </c>
      <c r="B34" s="213" t="s">
        <v>259</v>
      </c>
      <c r="C34" s="213" t="s">
        <v>279</v>
      </c>
    </row>
    <row r="35" spans="1:3">
      <c r="A35" s="215"/>
      <c r="B35" s="213" t="s">
        <v>280</v>
      </c>
      <c r="C35" s="213" t="s">
        <v>281</v>
      </c>
    </row>
    <row r="36" ht="28" spans="1:3">
      <c r="A36" s="219" t="s">
        <v>282</v>
      </c>
      <c r="B36" s="213" t="s">
        <v>283</v>
      </c>
      <c r="C36" s="213" t="s">
        <v>284</v>
      </c>
    </row>
    <row r="37" spans="1:3">
      <c r="A37" s="216"/>
      <c r="B37" s="213" t="s">
        <v>243</v>
      </c>
      <c r="C37" s="213" t="s">
        <v>285</v>
      </c>
    </row>
    <row r="38" spans="1:3">
      <c r="A38" s="216"/>
      <c r="B38" s="213" t="s">
        <v>286</v>
      </c>
      <c r="C38" s="213" t="s">
        <v>287</v>
      </c>
    </row>
    <row r="39" spans="1:3">
      <c r="A39" s="216"/>
      <c r="B39" s="213"/>
      <c r="C39" s="213"/>
    </row>
    <row r="40" spans="1:3">
      <c r="A40" s="214" t="s">
        <v>288</v>
      </c>
      <c r="B40" s="213" t="s">
        <v>289</v>
      </c>
      <c r="C40" s="213" t="s">
        <v>290</v>
      </c>
    </row>
    <row r="41" spans="1:3">
      <c r="A41" s="215"/>
      <c r="B41" s="213" t="s">
        <v>241</v>
      </c>
      <c r="C41" s="213" t="s">
        <v>291</v>
      </c>
    </row>
    <row r="42" ht="28" spans="1:3">
      <c r="A42" s="219" t="s">
        <v>52</v>
      </c>
      <c r="B42" s="213" t="s">
        <v>241</v>
      </c>
      <c r="C42" s="213" t="s">
        <v>292</v>
      </c>
    </row>
    <row r="43" spans="1:3">
      <c r="A43" s="216"/>
      <c r="B43" s="211" t="s">
        <v>293</v>
      </c>
      <c r="C43" s="211" t="s">
        <v>294</v>
      </c>
    </row>
    <row r="44" spans="1:3">
      <c r="A44" s="216"/>
      <c r="B44" s="211" t="s">
        <v>263</v>
      </c>
      <c r="C44" s="211" t="s">
        <v>295</v>
      </c>
    </row>
    <row r="45" spans="1:3">
      <c r="A45" s="216"/>
      <c r="B45" s="211" t="s">
        <v>269</v>
      </c>
      <c r="C45" s="211" t="s">
        <v>296</v>
      </c>
    </row>
    <row r="46" ht="28" spans="1:3">
      <c r="A46" s="216"/>
      <c r="B46" s="211" t="s">
        <v>269</v>
      </c>
      <c r="C46" s="211" t="s">
        <v>297</v>
      </c>
    </row>
    <row r="47" spans="1:3">
      <c r="A47" s="216"/>
      <c r="B47" s="211" t="s">
        <v>298</v>
      </c>
      <c r="C47" s="211" t="s">
        <v>299</v>
      </c>
    </row>
    <row r="48" ht="98" spans="1:3">
      <c r="A48" s="219" t="s">
        <v>300</v>
      </c>
      <c r="B48" s="211" t="s">
        <v>241</v>
      </c>
      <c r="C48" s="211" t="s">
        <v>301</v>
      </c>
    </row>
    <row r="49" ht="84" spans="1:3">
      <c r="A49" s="216"/>
      <c r="B49" s="211" t="s">
        <v>302</v>
      </c>
      <c r="C49" s="211" t="s">
        <v>303</v>
      </c>
    </row>
    <row r="50" ht="28" spans="1:3">
      <c r="A50" s="217"/>
      <c r="B50" s="211" t="s">
        <v>304</v>
      </c>
      <c r="C50" s="211" t="s">
        <v>305</v>
      </c>
    </row>
    <row r="51" spans="1:3">
      <c r="A51" s="211" t="s">
        <v>42</v>
      </c>
      <c r="B51" s="211" t="s">
        <v>306</v>
      </c>
      <c r="C51" s="211" t="s">
        <v>307</v>
      </c>
    </row>
    <row r="52" spans="1:3">
      <c r="A52" s="219" t="s">
        <v>308</v>
      </c>
      <c r="B52" s="211" t="s">
        <v>243</v>
      </c>
      <c r="C52" s="211" t="s">
        <v>309</v>
      </c>
    </row>
    <row r="53" spans="1:3">
      <c r="A53" s="217"/>
      <c r="B53" s="211" t="s">
        <v>302</v>
      </c>
      <c r="C53" s="211" t="s">
        <v>310</v>
      </c>
    </row>
    <row r="54" spans="1:3">
      <c r="A54" s="211" t="s">
        <v>62</v>
      </c>
      <c r="B54" s="211" t="s">
        <v>245</v>
      </c>
      <c r="C54" s="211" t="s">
        <v>311</v>
      </c>
    </row>
    <row r="55" spans="1:3">
      <c r="A55" s="219" t="s">
        <v>312</v>
      </c>
      <c r="B55" s="211" t="s">
        <v>313</v>
      </c>
      <c r="C55" s="211" t="s">
        <v>314</v>
      </c>
    </row>
    <row r="56" spans="1:3">
      <c r="A56" s="217"/>
      <c r="B56" s="211" t="s">
        <v>269</v>
      </c>
      <c r="C56" s="211" t="s">
        <v>315</v>
      </c>
    </row>
    <row r="57" spans="1:3">
      <c r="A57" s="211" t="s">
        <v>316</v>
      </c>
      <c r="B57" s="211" t="s">
        <v>317</v>
      </c>
      <c r="C57" s="211" t="s">
        <v>318</v>
      </c>
    </row>
    <row r="58" spans="1:3">
      <c r="A58" s="211" t="s">
        <v>10</v>
      </c>
      <c r="B58" s="211" t="s">
        <v>302</v>
      </c>
      <c r="C58" s="211" t="s">
        <v>319</v>
      </c>
    </row>
    <row r="59" spans="1:3">
      <c r="A59" s="211" t="s">
        <v>320</v>
      </c>
      <c r="B59" s="211" t="s">
        <v>321</v>
      </c>
      <c r="C59" s="211" t="s">
        <v>322</v>
      </c>
    </row>
    <row r="60" spans="1:3">
      <c r="A60" s="211" t="s">
        <v>323</v>
      </c>
      <c r="B60" s="211" t="s">
        <v>324</v>
      </c>
      <c r="C60" s="211" t="s">
        <v>325</v>
      </c>
    </row>
    <row r="61" spans="1:3">
      <c r="A61" s="211" t="s">
        <v>326</v>
      </c>
      <c r="B61" s="211" t="s">
        <v>324</v>
      </c>
      <c r="C61" s="211" t="s">
        <v>327</v>
      </c>
    </row>
    <row r="62" spans="1:3">
      <c r="A62" s="211" t="s">
        <v>328</v>
      </c>
      <c r="B62" s="211" t="s">
        <v>265</v>
      </c>
      <c r="C62" s="211" t="s">
        <v>329</v>
      </c>
    </row>
    <row r="63" ht="28" spans="1:3">
      <c r="A63" s="211" t="s">
        <v>330</v>
      </c>
      <c r="B63" s="211" t="s">
        <v>304</v>
      </c>
      <c r="C63" s="211" t="s">
        <v>331</v>
      </c>
    </row>
    <row r="64" ht="28" spans="1:3">
      <c r="A64" s="219" t="s">
        <v>332</v>
      </c>
      <c r="B64" s="211" t="s">
        <v>304</v>
      </c>
      <c r="C64" s="211" t="s">
        <v>333</v>
      </c>
    </row>
    <row r="65" spans="1:3">
      <c r="A65" s="217"/>
      <c r="B65" s="211" t="s">
        <v>334</v>
      </c>
      <c r="C65" s="211" t="s">
        <v>335</v>
      </c>
    </row>
    <row r="66" ht="140" spans="1:3">
      <c r="A66" s="211" t="s">
        <v>336</v>
      </c>
      <c r="B66" s="211" t="s">
        <v>337</v>
      </c>
      <c r="C66" s="211" t="s">
        <v>338</v>
      </c>
    </row>
    <row r="67" spans="1:3">
      <c r="A67" s="211" t="s">
        <v>10</v>
      </c>
      <c r="B67" s="211" t="s">
        <v>267</v>
      </c>
      <c r="C67" s="211" t="s">
        <v>339</v>
      </c>
    </row>
    <row r="68" spans="1:3">
      <c r="A68" s="211" t="s">
        <v>340</v>
      </c>
      <c r="B68" s="211" t="s">
        <v>341</v>
      </c>
      <c r="C68" s="211" t="s">
        <v>342</v>
      </c>
    </row>
    <row r="69" spans="1:3">
      <c r="A69" s="211" t="s">
        <v>343</v>
      </c>
      <c r="B69" s="211" t="s">
        <v>344</v>
      </c>
      <c r="C69" s="211" t="s">
        <v>345</v>
      </c>
    </row>
    <row r="70" ht="70" spans="1:3">
      <c r="A70" s="211" t="s">
        <v>346</v>
      </c>
      <c r="B70" s="211" t="s">
        <v>347</v>
      </c>
      <c r="C70" s="211" t="s">
        <v>348</v>
      </c>
    </row>
    <row r="71" spans="1:3">
      <c r="A71" s="211" t="s">
        <v>349</v>
      </c>
      <c r="B71" s="211" t="s">
        <v>274</v>
      </c>
      <c r="C71" s="211" t="s">
        <v>350</v>
      </c>
    </row>
    <row r="72" ht="28" spans="1:3">
      <c r="A72" s="211" t="s">
        <v>46</v>
      </c>
      <c r="B72" s="211" t="s">
        <v>351</v>
      </c>
      <c r="C72" s="211" t="s">
        <v>352</v>
      </c>
    </row>
    <row r="73" spans="1:3">
      <c r="A73" s="211" t="s">
        <v>353</v>
      </c>
      <c r="B73" s="211" t="s">
        <v>354</v>
      </c>
      <c r="C73" s="211" t="s">
        <v>355</v>
      </c>
    </row>
    <row r="74" spans="1:3">
      <c r="A74" s="219" t="s">
        <v>356</v>
      </c>
      <c r="B74" s="211" t="s">
        <v>357</v>
      </c>
      <c r="C74" s="211" t="s">
        <v>358</v>
      </c>
    </row>
    <row r="75" spans="1:3">
      <c r="A75" s="217"/>
      <c r="B75" s="211" t="s">
        <v>354</v>
      </c>
      <c r="C75" s="211" t="s">
        <v>359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7"/>
  <sheetViews>
    <sheetView tabSelected="1" zoomScale="115" zoomScaleNormal="115" workbookViewId="0">
      <pane ySplit="1" topLeftCell="A7" activePane="bottomLeft" state="frozen"/>
      <selection/>
      <selection pane="bottomLeft" activeCell="M9" sqref="M9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360</v>
      </c>
      <c r="B1" s="202"/>
      <c r="C1" s="202"/>
      <c r="D1" s="203"/>
      <c r="E1" s="204"/>
      <c r="F1" s="198" t="s">
        <v>361</v>
      </c>
      <c r="I1" s="201"/>
      <c r="J1" s="202"/>
      <c r="K1" s="205"/>
    </row>
    <row r="2" s="199" customFormat="1" spans="1:11">
      <c r="A2" s="134" t="s">
        <v>226</v>
      </c>
      <c r="B2" s="136"/>
      <c r="C2" s="114" t="s">
        <v>362</v>
      </c>
      <c r="D2" s="114" t="s">
        <v>363</v>
      </c>
      <c r="E2" s="137"/>
      <c r="F2" s="114" t="s">
        <v>226</v>
      </c>
      <c r="G2" s="114" t="s">
        <v>364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365</v>
      </c>
      <c r="G3" s="114" t="s">
        <v>366</v>
      </c>
    </row>
    <row r="4" spans="1:11">
      <c r="A4" s="207"/>
      <c r="B4" s="114">
        <v>15</v>
      </c>
      <c r="C4" s="114">
        <v>163</v>
      </c>
      <c r="F4" s="114" t="s">
        <v>367</v>
      </c>
      <c r="G4" s="114" t="s">
        <v>368</v>
      </c>
    </row>
    <row r="5" spans="1:11">
      <c r="A5" s="207"/>
      <c r="B5" s="114">
        <v>17</v>
      </c>
      <c r="C5" s="114">
        <v>158</v>
      </c>
      <c r="F5" s="114" t="s">
        <v>369</v>
      </c>
      <c r="G5" s="114" t="s">
        <v>370</v>
      </c>
    </row>
    <row r="6" spans="1:11">
      <c r="A6" s="207"/>
      <c r="B6" s="114">
        <v>22</v>
      </c>
      <c r="C6" s="114">
        <v>70</v>
      </c>
      <c r="F6" s="208" t="s">
        <v>371</v>
      </c>
      <c r="G6" s="114" t="s">
        <v>372</v>
      </c>
    </row>
    <row r="7" spans="1:11">
      <c r="A7" s="207"/>
      <c r="B7" s="114">
        <v>24</v>
      </c>
      <c r="C7" s="114">
        <v>180</v>
      </c>
      <c r="F7" s="209"/>
      <c r="G7" s="114" t="s">
        <v>373</v>
      </c>
    </row>
    <row r="8" spans="1:11">
      <c r="A8" s="207"/>
      <c r="B8" s="114">
        <v>29</v>
      </c>
      <c r="C8" s="114">
        <v>135</v>
      </c>
      <c r="F8" s="114" t="s">
        <v>374</v>
      </c>
      <c r="G8" s="114" t="s">
        <v>375</v>
      </c>
    </row>
    <row r="9" spans="1:11">
      <c r="A9" s="209"/>
      <c r="B9" s="114">
        <v>31</v>
      </c>
      <c r="C9" s="114">
        <v>89</v>
      </c>
      <c r="F9" s="114" t="s">
        <v>376</v>
      </c>
      <c r="G9" s="114" t="s">
        <v>377</v>
      </c>
    </row>
    <row r="10" spans="1:11">
      <c r="A10" s="208">
        <v>2025.11</v>
      </c>
      <c r="B10" s="114">
        <v>5</v>
      </c>
      <c r="C10" s="114">
        <v>118</v>
      </c>
      <c r="F10" s="114" t="s">
        <v>378</v>
      </c>
      <c r="G10" s="114" t="s">
        <v>379</v>
      </c>
    </row>
    <row r="11" spans="1:11">
      <c r="A11" s="207"/>
      <c r="B11" s="114">
        <v>7</v>
      </c>
      <c r="C11" s="114">
        <v>119</v>
      </c>
      <c r="F11" s="208" t="s">
        <v>380</v>
      </c>
      <c r="G11" s="114" t="s">
        <v>381</v>
      </c>
    </row>
    <row r="12" spans="1:11">
      <c r="A12" s="209"/>
      <c r="B12" s="114">
        <v>14</v>
      </c>
      <c r="C12" s="114">
        <v>63</v>
      </c>
      <c r="F12" s="207"/>
      <c r="G12" s="114" t="s">
        <v>373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375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382</v>
      </c>
      <c r="G14" s="114" t="s">
        <v>383</v>
      </c>
    </row>
    <row r="15" spans="1:11">
      <c r="A15" s="114" t="s">
        <v>384</v>
      </c>
      <c r="C15" s="114">
        <v>15</v>
      </c>
      <c r="F15" s="114" t="s">
        <v>385</v>
      </c>
      <c r="G15" s="114" t="s">
        <v>377</v>
      </c>
    </row>
    <row r="16" spans="1:11">
      <c r="A16" s="114" t="s">
        <v>386</v>
      </c>
      <c r="C16" s="114">
        <v>6</v>
      </c>
      <c r="F16" s="114" t="s">
        <v>387</v>
      </c>
      <c r="G16" s="114" t="s">
        <v>388</v>
      </c>
    </row>
    <row r="17" spans="1:7">
      <c r="A17" s="114" t="s">
        <v>389</v>
      </c>
      <c r="C17" s="114">
        <v>17</v>
      </c>
      <c r="F17" s="114" t="s">
        <v>390</v>
      </c>
      <c r="G17" s="114" t="s">
        <v>375</v>
      </c>
    </row>
    <row r="18" spans="1:7">
      <c r="F18" s="114" t="s">
        <v>391</v>
      </c>
      <c r="G18" s="114" t="s">
        <v>377</v>
      </c>
    </row>
    <row r="19" spans="1:7">
      <c r="F19" s="114" t="s">
        <v>392</v>
      </c>
      <c r="G19" s="114" t="s">
        <v>393</v>
      </c>
    </row>
    <row r="20" spans="1:7">
      <c r="F20" s="208" t="s">
        <v>394</v>
      </c>
      <c r="G20" s="114" t="s">
        <v>395</v>
      </c>
    </row>
    <row r="21" spans="1:7">
      <c r="F21" s="209"/>
      <c r="G21" s="114" t="s">
        <v>396</v>
      </c>
    </row>
    <row r="22" spans="1:7">
      <c r="F22" s="114" t="s">
        <v>397</v>
      </c>
      <c r="G22" s="114" t="s">
        <v>377</v>
      </c>
    </row>
    <row r="23" spans="1:7">
      <c r="F23" s="114" t="s">
        <v>398</v>
      </c>
      <c r="G23" s="114" t="s">
        <v>375</v>
      </c>
    </row>
    <row r="24" spans="1:7">
      <c r="F24" s="114" t="s">
        <v>399</v>
      </c>
      <c r="G24" s="114" t="s">
        <v>400</v>
      </c>
    </row>
    <row r="25" spans="1:7">
      <c r="F25" s="114" t="s">
        <v>401</v>
      </c>
      <c r="G25" s="114" t="s">
        <v>402</v>
      </c>
    </row>
    <row r="26" spans="1:7">
      <c r="F26" s="114" t="s">
        <v>403</v>
      </c>
      <c r="G26" s="114" t="s">
        <v>377</v>
      </c>
    </row>
    <row r="27" spans="1:7">
      <c r="F27" s="208" t="s">
        <v>404</v>
      </c>
      <c r="G27" s="114" t="s">
        <v>405</v>
      </c>
    </row>
    <row r="28" spans="1:7">
      <c r="F28" s="207"/>
      <c r="G28" s="114" t="s">
        <v>381</v>
      </c>
    </row>
    <row r="29" spans="1:7">
      <c r="F29" s="209"/>
      <c r="G29" s="114" t="s">
        <v>375</v>
      </c>
    </row>
    <row r="30" spans="1:7">
      <c r="F30" s="114" t="s">
        <v>406</v>
      </c>
      <c r="G30" s="114" t="s">
        <v>407</v>
      </c>
    </row>
    <row r="31" spans="1:7">
      <c r="F31" s="208" t="s">
        <v>408</v>
      </c>
      <c r="G31" s="114" t="s">
        <v>409</v>
      </c>
    </row>
    <row r="32" spans="1:7">
      <c r="F32" s="209"/>
      <c r="G32" s="114" t="s">
        <v>379</v>
      </c>
    </row>
    <row r="33" spans="6:7">
      <c r="F33" s="114" t="s">
        <v>410</v>
      </c>
      <c r="G33" s="114" t="s">
        <v>400</v>
      </c>
    </row>
    <row r="34" spans="6:7">
      <c r="F34" s="114" t="s">
        <v>411</v>
      </c>
      <c r="G34" s="114" t="s">
        <v>412</v>
      </c>
    </row>
    <row r="35" spans="6:7">
      <c r="F35" s="114" t="s">
        <v>413</v>
      </c>
      <c r="G35" s="114" t="s">
        <v>414</v>
      </c>
    </row>
    <row r="36" spans="6:7">
      <c r="F36" s="114" t="s">
        <v>415</v>
      </c>
      <c r="G36" s="114" t="s">
        <v>381</v>
      </c>
    </row>
    <row r="37" spans="6:7">
      <c r="F37" s="114" t="s">
        <v>416</v>
      </c>
      <c r="G37" s="114" t="s">
        <v>414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M26" sqref="BM26"/>
    </sheetView>
  </sheetViews>
  <sheetFormatPr defaultColWidth="8.72727272727273" defaultRowHeight="14"/>
  <cols>
    <col min="1" max="1" width="4.96363636363636" customWidth="1"/>
    <col min="2" max="97" width="2.8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417</v>
      </c>
      <c r="B1" s="176" t="s">
        <v>418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419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420</v>
      </c>
      <c r="AK1" s="179"/>
      <c r="AL1" s="179"/>
      <c r="AM1" s="178" t="s">
        <v>421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422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423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424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425</v>
      </c>
      <c r="CU2" s="184" t="s">
        <v>426</v>
      </c>
      <c r="CV2" s="184" t="s">
        <v>427</v>
      </c>
      <c r="CW2" s="184" t="s">
        <v>428</v>
      </c>
      <c r="CX2" s="185" t="s">
        <v>429</v>
      </c>
      <c r="CY2" s="185" t="s">
        <v>430</v>
      </c>
      <c r="CZ2" s="185" t="s">
        <v>431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SUM(B3:CS3)</f>
        <v>4</v>
      </c>
      <c r="CU3" s="186" cm="1">
        <f t="array" ref="CU3">SUMPRODUCT(--(B3:CS3=INT(B3:CS3)),--(B3:CS3&gt;0))</f>
        <v>3</v>
      </c>
      <c r="CV3" s="186" cm="1">
        <f t="array" ref="CV3">MAX(FREQUENCY(IF((B3:CS3=INT(B3:CS3))*(B3:CS3&gt;0),COLUMN(B3:CS3)),IF((B3:CS3&lt;&gt;INT(B3:CS3))+(B3:CS3&lt;=0),COLUMN(B3:CS3))))</f>
        <v>1</v>
      </c>
      <c r="CW3" s="187">
        <f>SUMPRODUCT(--CU3)/96*100%</f>
        <v>0.03125</v>
      </c>
      <c r="CX3" s="188">
        <f t="shared" ref="CX3:CX53" si="0">RANK(CT3,CT$3:CT$53,0)</f>
        <v>33</v>
      </c>
      <c r="CY3" s="188">
        <f t="shared" ref="CY3:CY53" si="1">RANK(CU3,CU$3:CU$53,0)</f>
        <v>35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SUM(B4:CS4)</f>
        <v>38</v>
      </c>
      <c r="CU4" s="186" cm="1">
        <f t="array" ref="CU4">SUMPRODUCT(--(B4:CS4=INT(B4:CS4)),--(B4:CS4&gt;0))</f>
        <v>35</v>
      </c>
      <c r="CV4" s="186" cm="1">
        <f t="array" ref="CV4">MAX(FREQUENCY(IF((B4:CS4=INT(B4:CS4))*(B4:CS4&gt;0),COLUMN(B4:CS4)),IF((B4:CS4&lt;&gt;INT(B4:CS4))+(B4:CS4&lt;=0),COLUMN(B4:CS4))))</f>
        <v>6</v>
      </c>
      <c r="CW4" s="187">
        <f t="shared" ref="CW4:CW35" si="4">SUMPRODUCT(--CU4)/96*100%</f>
        <v>0.364583333333333</v>
      </c>
      <c r="CX4" s="188">
        <f t="shared" si="0"/>
        <v>8</v>
      </c>
      <c r="CY4" s="188">
        <f t="shared" si="1"/>
        <v>7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11</v>
      </c>
      <c r="CU5" s="186" cm="1">
        <f t="array" ref="CU5">SUMPRODUCT(--(B5:CS5=INT(B5:CS5)),--(B5:CS5&gt;0))</f>
        <v>11</v>
      </c>
      <c r="CV5" s="186" cm="1">
        <f t="array" ref="CV5">MAX(FREQUENCY(IF((B5:CS5=INT(B5:CS5))*(B5:CS5&gt;0),COLUMN(B5:CS5)),IF((B5:CS5&lt;&gt;INT(B5:CS5))+(B5:CS5&lt;=0),COLUMN(B5:CS5))))</f>
        <v>3</v>
      </c>
      <c r="CW5" s="187">
        <f t="shared" si="4"/>
        <v>0.114583333333333</v>
      </c>
      <c r="CX5" s="188">
        <f t="shared" si="0"/>
        <v>24</v>
      </c>
      <c r="CY5" s="188">
        <f t="shared" si="1"/>
        <v>23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SUMPRODUCT(--(B6:CS6=INT(B6:CS6)),--(B6:CS6&gt;0))</f>
        <v>9</v>
      </c>
      <c r="CV6" s="186" cm="1">
        <f t="array" ref="CV6">MAX(FREQUENCY(IF((B6:CS6=INT(B6:CS6))*(B6:CS6&gt;0),COLUMN(B6:CS6)),IF((B6:CS6&lt;&gt;INT(B6:CS6))+(B6:CS6&lt;=0),COLUMN(B6:CS6))))</f>
        <v>3</v>
      </c>
      <c r="CW6" s="187">
        <f t="shared" si="4"/>
        <v>0.09375</v>
      </c>
      <c r="CX6" s="188">
        <f t="shared" si="0"/>
        <v>27</v>
      </c>
      <c r="CY6" s="188">
        <f t="shared" si="1"/>
        <v>27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13</v>
      </c>
      <c r="CU7" s="186" cm="1">
        <f t="array" ref="CU7">SUMPRODUCT(--(B7:CS7=INT(B7:CS7)),--(B7:CS7&gt;0))</f>
        <v>12</v>
      </c>
      <c r="CV7" s="186" cm="1">
        <f t="array" ref="CV7">MAX(FREQUENCY(IF((B7:CS7=INT(B7:CS7))*(B7:CS7&gt;0),COLUMN(B7:CS7)),IF((B7:CS7&lt;&gt;INT(B7:CS7))+(B7:CS7&lt;=0),COLUMN(B7:CS7))))</f>
        <v>4</v>
      </c>
      <c r="CW7" s="187">
        <f t="shared" si="4"/>
        <v>0.125</v>
      </c>
      <c r="CX7" s="188">
        <f t="shared" si="0"/>
        <v>22</v>
      </c>
      <c r="CY7" s="188">
        <f t="shared" si="1"/>
        <v>22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41</v>
      </c>
      <c r="CU8" s="186" cm="1">
        <f t="array" ref="CU8">SUMPRODUCT(--(B8:CS8=INT(B8:CS8)),--(B8:CS8&gt;0))</f>
        <v>40</v>
      </c>
      <c r="CV8" s="186" cm="1">
        <f t="array" ref="CV8">MAX(FREQUENCY(IF((B8:CS8=INT(B8:CS8))*(B8:CS8&gt;0),COLUMN(B8:CS8)),IF((B8:CS8&lt;&gt;INT(B8:CS8))+(B8:CS8&lt;=0),COLUMN(B8:CS8))))</f>
        <v>5</v>
      </c>
      <c r="CW8" s="187">
        <f t="shared" si="4"/>
        <v>0.416666666666667</v>
      </c>
      <c r="CX8" s="188">
        <f t="shared" si="0"/>
        <v>6</v>
      </c>
      <c r="CY8" s="188">
        <f t="shared" si="1"/>
        <v>3</v>
      </c>
      <c r="CZ8" s="188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39</v>
      </c>
      <c r="CU9" s="186" cm="1">
        <f t="array" ref="CU9">SUMPRODUCT(--(B9:CS9=INT(B9:CS9)),--(B9:CS9&gt;0))</f>
        <v>36</v>
      </c>
      <c r="CV9" s="186" cm="1">
        <f t="array" ref="CV9">MAX(FREQUENCY(IF((B9:CS9=INT(B9:CS9))*(B9:CS9&gt;0),COLUMN(B9:CS9)),IF((B9:CS9&lt;&gt;INT(B9:CS9))+(B9:CS9&lt;=0),COLUMN(B9:CS9))))</f>
        <v>6</v>
      </c>
      <c r="CW9" s="187">
        <f t="shared" si="4"/>
        <v>0.375</v>
      </c>
      <c r="CX9" s="188">
        <f t="shared" si="0"/>
        <v>7</v>
      </c>
      <c r="CY9" s="188">
        <f t="shared" si="1"/>
        <v>5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SUMPRODUCT(--(B10:CS10=INT(B10:CS10)),--(B10:CS10&gt;0))</f>
        <v>4</v>
      </c>
      <c r="CV10" s="186" cm="1">
        <f t="array" ref="CV10">MAX(FREQUENCY(IF((B10:CS10=INT(B10:CS10))*(B10:CS10&gt;0),COLUMN(B10:CS10)),IF((B10:CS10&lt;&gt;INT(B10:CS10))+(B10:CS10&lt;=0),COLUMN(B10:CS10))))</f>
        <v>2</v>
      </c>
      <c r="CW10" s="187">
        <f t="shared" si="4"/>
        <v>0.0416666666666667</v>
      </c>
      <c r="CX10" s="188">
        <f t="shared" si="0"/>
        <v>33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24</v>
      </c>
      <c r="CU11" s="186" cm="1">
        <f t="array" ref="CU11">SUMPRODUCT(--(B11:CS11=INT(B11:CS11)),--(B11:CS11&gt;0))</f>
        <v>19</v>
      </c>
      <c r="CV11" s="186" cm="1">
        <f t="array" ref="CV11">MAX(FREQUENCY(IF((B11:CS11=INT(B11:CS11))*(B11:CS11&gt;0),COLUMN(B11:CS11)),IF((B11:CS11&lt;&gt;INT(B11:CS11))+(B11:CS11&lt;=0),COLUMN(B11:CS11))))</f>
        <v>2</v>
      </c>
      <c r="CW11" s="187">
        <f t="shared" si="4"/>
        <v>0.197916666666667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4</v>
      </c>
      <c r="CU12" s="186" cm="1">
        <f t="array" ref="CU12">SUMPRODUCT(--(B12:CS12=INT(B12:CS12)),--(B12:CS12&gt;0))</f>
        <v>4</v>
      </c>
      <c r="CV12" s="186" cm="1">
        <f t="array" ref="CV12">MAX(FREQUENCY(IF((B12:CS12=INT(B12:CS12))*(B12:CS12&gt;0),COLUMN(B12:CS12)),IF((B12:CS12&lt;&gt;INT(B12:CS12))+(B12:CS12&lt;=0),COLUMN(B12:CS12))))</f>
        <v>1</v>
      </c>
      <c r="CW12" s="187">
        <f t="shared" si="4"/>
        <v>0.0416666666666667</v>
      </c>
      <c r="CX12" s="188">
        <f t="shared" si="0"/>
        <v>33</v>
      </c>
      <c r="CY12" s="188">
        <f t="shared" si="1"/>
        <v>33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22</v>
      </c>
      <c r="CU13" s="186" cm="1">
        <f t="array" ref="CU13">SUMPRODUCT(--(B13:CS13=INT(B13:CS13)),--(B13:CS13&gt;0))</f>
        <v>21</v>
      </c>
      <c r="CV13" s="186" cm="1">
        <f t="array" ref="CV13">MAX(FREQUENCY(IF((B13:CS13=INT(B13:CS13))*(B13:CS13&gt;0),COLUMN(B13:CS13)),IF((B13:CS13&lt;&gt;INT(B13:CS13))+(B13:CS13&lt;=0),COLUMN(B13:CS13))))</f>
        <v>4</v>
      </c>
      <c r="CW13" s="187">
        <f t="shared" si="4"/>
        <v>0.21875</v>
      </c>
      <c r="CX13" s="188">
        <f t="shared" si="0"/>
        <v>17</v>
      </c>
      <c r="CY13" s="188">
        <f t="shared" si="1"/>
        <v>15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SUMPRODUCT(--(B14:CS14=INT(B14:CS14)),--(B14:CS14&gt;0))</f>
        <v>7</v>
      </c>
      <c r="CV14" s="186" cm="1">
        <f t="array" ref="CV14">MAX(FREQUENCY(IF((B14:CS14=INT(B14:CS14))*(B14:CS14&gt;0),COLUMN(B14:CS14)),IF((B14:CS14&lt;&gt;INT(B14:CS14))+(B14:CS14&lt;=0),COLUMN(B14:CS14))))</f>
        <v>1</v>
      </c>
      <c r="CW14" s="187">
        <f t="shared" si="4"/>
        <v>0.0729166666666667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35</v>
      </c>
      <c r="CU15" s="186" cm="1">
        <f t="array" ref="CU15">SUMPRODUCT(--(B15:CS15=INT(B15:CS15)),--(B15:CS15&gt;0))</f>
        <v>31</v>
      </c>
      <c r="CV15" s="186" cm="1">
        <f t="array" ref="CV15">MAX(FREQUENCY(IF((B15:CS15=INT(B15:CS15))*(B15:CS15&gt;0),COLUMN(B15:CS15)),IF((B15:CS15&lt;&gt;INT(B15:CS15))+(B15:CS15&lt;=0),COLUMN(B15:CS15))))</f>
        <v>4</v>
      </c>
      <c r="CW15" s="187">
        <f t="shared" si="4"/>
        <v>0.322916666666667</v>
      </c>
      <c r="CX15" s="188">
        <f t="shared" si="0"/>
        <v>9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SUMPRODUCT(--(B16:CS16=INT(B16:CS16)),--(B16:CS16&gt;0))</f>
        <v>5</v>
      </c>
      <c r="CV16" s="186" cm="1">
        <f t="array" ref="CV16">MAX(FREQUENCY(IF((B16:CS16=INT(B16:CS16))*(B16:CS16&gt;0),COLUMN(B16:CS16)),IF((B16:CS16&lt;&gt;INT(B16:CS16))+(B16:CS16&lt;=0),COLUMN(B16:CS16))))</f>
        <v>1</v>
      </c>
      <c r="CW16" s="187">
        <f t="shared" si="4"/>
        <v>0.0520833333333333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7</v>
      </c>
      <c r="CU17" s="186" cm="1">
        <f t="array" ref="CU17">SUMPRODUCT(--(B17:CS17=INT(B17:CS17)),--(B17:CS17&gt;0))</f>
        <v>7</v>
      </c>
      <c r="CV17" s="186" cm="1">
        <f t="array" ref="CV17">MAX(FREQUENCY(IF((B17:CS17=INT(B17:CS17))*(B17:CS17&gt;0),COLUMN(B17:CS17)),IF((B17:CS17&lt;&gt;INT(B17:CS17))+(B17:CS17&lt;=0),COLUMN(B17:CS17))))</f>
        <v>1</v>
      </c>
      <c r="CW17" s="187">
        <f t="shared" si="4"/>
        <v>0.0729166666666667</v>
      </c>
      <c r="CX17" s="188">
        <f t="shared" si="0"/>
        <v>28</v>
      </c>
      <c r="CY17" s="188">
        <f t="shared" si="1"/>
        <v>28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SUMPRODUCT(--(B18:CS18=INT(B18:CS18)),--(B18:CS18&gt;0))</f>
        <v>1</v>
      </c>
      <c r="CV18" s="186" cm="1">
        <f t="array" ref="CV18">MAX(FREQUENCY(IF((B18:CS18=INT(B18:CS18))*(B18:CS18&gt;0),COLUMN(B18:CS18)),IF((B18:CS18&lt;&gt;INT(B18:CS18))+(B18:CS18&lt;=0),COLUMN(B18:CS18))))</f>
        <v>1</v>
      </c>
      <c r="CW18" s="187">
        <f t="shared" si="4"/>
        <v>0.0104166666666667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14</v>
      </c>
      <c r="CU19" s="186" cm="1">
        <f t="array" ref="CU19">SUMPRODUCT(--(B19:CS19=INT(B19:CS19)),--(B19:CS19&gt;0))</f>
        <v>13</v>
      </c>
      <c r="CV19" s="186" cm="1">
        <f t="array" ref="CV19">MAX(FREQUENCY(IF((B19:CS19=INT(B19:CS19))*(B19:CS19&gt;0),COLUMN(B19:CS19)),IF((B19:CS19&lt;&gt;INT(B19:CS19))+(B19:CS19&lt;=0),COLUMN(B19:CS19))))</f>
        <v>2</v>
      </c>
      <c r="CW19" s="187">
        <f t="shared" si="4"/>
        <v>0.135416666666667</v>
      </c>
      <c r="CX19" s="188">
        <f t="shared" si="0"/>
        <v>20</v>
      </c>
      <c r="CY19" s="188">
        <f t="shared" si="1"/>
        <v>20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SUMPRODUCT(--(B20:CS20=INT(B20:CS20)),--(B20:CS20&gt;0))</f>
        <v>2</v>
      </c>
      <c r="CV20" s="186" cm="1">
        <f t="array" ref="CV20">MAX(FREQUENCY(IF((B20:CS20=INT(B20:CS20))*(B20:CS20&gt;0),COLUMN(B20:CS20)),IF((B20:CS20&lt;&gt;INT(B20:CS20))+(B20:CS20&lt;=0),COLUMN(B20:CS20))))</f>
        <v>1</v>
      </c>
      <c r="CW20" s="187">
        <f t="shared" si="4"/>
        <v>0.0208333333333333</v>
      </c>
      <c r="CX20" s="188">
        <f t="shared" si="0"/>
        <v>36</v>
      </c>
      <c r="CY20" s="188">
        <f t="shared" si="1"/>
        <v>36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SUMPRODUCT(--(B21:CS21=INT(B21:CS21)),--(B21:CS21&gt;0))</f>
        <v>5</v>
      </c>
      <c r="CV21" s="186" cm="1">
        <f t="array" ref="CV21">MAX(FREQUENCY(IF((B21:CS21=INT(B21:CS21))*(B21:CS21&gt;0),COLUMN(B21:CS21)),IF((B21:CS21&lt;&gt;INT(B21:CS21))+(B21:CS21&lt;=0),COLUMN(B21:CS21))))</f>
        <v>1</v>
      </c>
      <c r="CW21" s="187">
        <f t="shared" si="4"/>
        <v>0.0520833333333333</v>
      </c>
      <c r="CX21" s="188">
        <f t="shared" si="0"/>
        <v>30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/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34</v>
      </c>
      <c r="CU22" s="186" cm="1">
        <f t="array" ref="CU22">SUMPRODUCT(--(B22:CS22=INT(B22:CS22)),--(B22:CS22&gt;0))</f>
        <v>28</v>
      </c>
      <c r="CV22" s="186" cm="1">
        <f t="array" ref="CV22">MAX(FREQUENCY(IF((B22:CS22=INT(B22:CS22))*(B22:CS22&gt;0),COLUMN(B22:CS22)),IF((B22:CS22&lt;&gt;INT(B22:CS22))+(B22:CS22&lt;=0),COLUMN(B22:CS22))))</f>
        <v>5</v>
      </c>
      <c r="CW22" s="187">
        <f t="shared" si="4"/>
        <v>0.291666666666667</v>
      </c>
      <c r="CX22" s="188">
        <f t="shared" si="0"/>
        <v>10</v>
      </c>
      <c r="CY22" s="188">
        <f t="shared" si="1"/>
        <v>10</v>
      </c>
      <c r="CZ22" s="188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SUMPRODUCT(--(B23:CS23=INT(B23:CS23)),--(B23:CS23&gt;0))</f>
        <v>1</v>
      </c>
      <c r="CV23" s="186" cm="1">
        <f t="array" ref="CV23">MAX(FREQUENCY(IF((B23:CS23=INT(B23:CS23))*(B23:CS23&gt;0),COLUMN(B23:CS23)),IF((B23:CS23&lt;&gt;INT(B23:CS23))+(B23:CS23&lt;=0),COLUMN(B23:CS23))))</f>
        <v>1</v>
      </c>
      <c r="CW23" s="187">
        <f t="shared" si="4"/>
        <v>0.0104166666666667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SUMPRODUCT(--(B24:CS24=INT(B24:CS24)),--(B24:CS24&gt;0))</f>
        <v>24</v>
      </c>
      <c r="CV24" s="186" cm="1">
        <f t="array" ref="CV24">MAX(FREQUENCY(IF((B24:CS24=INT(B24:CS24))*(B24:CS24&gt;0),COLUMN(B24:CS24)),IF((B24:CS24&lt;&gt;INT(B24:CS24))+(B24:CS24&lt;=0),COLUMN(B24:CS24))))</f>
        <v>4</v>
      </c>
      <c r="CW24" s="187">
        <f t="shared" si="4"/>
        <v>0.25</v>
      </c>
      <c r="CX24" s="188">
        <f t="shared" si="0"/>
        <v>14</v>
      </c>
      <c r="CY24" s="188">
        <f t="shared" si="1"/>
        <v>13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SUMPRODUCT(--(B25:CS25=INT(B25:CS25)),--(B25:CS25&gt;0))</f>
        <v>1</v>
      </c>
      <c r="CV25" s="186" cm="1">
        <f t="array" ref="CV25">MAX(FREQUENCY(IF((B25:CS25=INT(B25:CS25))*(B25:CS25&gt;0),COLUMN(B25:CS25)),IF((B25:CS25&lt;&gt;INT(B25:CS25))+(B25:CS25&lt;=0),COLUMN(B25:CS25))))</f>
        <v>1</v>
      </c>
      <c r="CW25" s="187">
        <f t="shared" si="4"/>
        <v>0.0104166666666667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SUMPRODUCT(--(B26:CS26=INT(B26:CS26)),--(B26:CS26&gt;0))</f>
        <v>0</v>
      </c>
      <c r="CV26" s="186" cm="1">
        <f t="array" ref="CV26">MAX(FREQUENCY(IF((B26:CS26=INT(B26:CS26))*(B26:CS26&gt;0),COLUMN(B26:CS26)),IF((B26:CS26&lt;&gt;INT(B26:CS26))+(B26:CS26&lt;=0),COLUMN(B26:CS26))))</f>
        <v>0</v>
      </c>
      <c r="CW26" s="187">
        <f t="shared" si="4"/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SUMPRODUCT(--(B27:CS27=INT(B27:CS27)),--(B27:CS27&gt;0))</f>
        <v>1</v>
      </c>
      <c r="CV27" s="186" cm="1">
        <f t="array" ref="CV27">MAX(FREQUENCY(IF((B27:CS27=INT(B27:CS27))*(B27:CS27&gt;0),COLUMN(B27:CS27)),IF((B27:CS27&lt;&gt;INT(B27:CS27))+(B27:CS27&lt;=0),COLUMN(B27:CS27))))</f>
        <v>1</v>
      </c>
      <c r="CW27" s="187">
        <f t="shared" si="4"/>
        <v>0.0104166666666667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/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29</v>
      </c>
      <c r="CU28" s="186" cm="1">
        <f t="array" ref="CU28">SUMPRODUCT(--(B28:CS28=INT(B28:CS28)),--(B28:CS28&gt;0))</f>
        <v>24</v>
      </c>
      <c r="CV28" s="186" cm="1">
        <f t="array" ref="CV28">MAX(FREQUENCY(IF((B28:CS28=INT(B28:CS28))*(B28:CS28&gt;0),COLUMN(B28:CS28)),IF((B28:CS28&lt;&gt;INT(B28:CS28))+(B28:CS28&lt;=0),COLUMN(B28:CS28))))</f>
        <v>5</v>
      </c>
      <c r="CW28" s="187">
        <f t="shared" si="4"/>
        <v>0.25</v>
      </c>
      <c r="CX28" s="188">
        <f t="shared" si="0"/>
        <v>12</v>
      </c>
      <c r="CY28" s="188">
        <f t="shared" si="1"/>
        <v>13</v>
      </c>
      <c r="CZ28" s="188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SUMPRODUCT(--(B29:CS29=INT(B29:CS29)),--(B29:CS29&gt;0))</f>
        <v>17</v>
      </c>
      <c r="CV29" s="186" cm="1">
        <f t="array" ref="CV29">MAX(FREQUENCY(IF((B29:CS29=INT(B29:CS29))*(B29:CS29&gt;0),COLUMN(B29:CS29)),IF((B29:CS29&lt;&gt;INT(B29:CS29))+(B29:CS29&lt;=0),COLUMN(B29:CS29))))</f>
        <v>5</v>
      </c>
      <c r="CW29" s="187">
        <f t="shared" si="4"/>
        <v>0.177083333333333</v>
      </c>
      <c r="CX29" s="188">
        <f t="shared" si="0"/>
        <v>19</v>
      </c>
      <c r="CY29" s="188">
        <f t="shared" si="1"/>
        <v>18</v>
      </c>
      <c r="CZ29" s="188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/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14</v>
      </c>
      <c r="CU30" s="186" cm="1">
        <f t="array" ref="CU30">SUMPRODUCT(--(B30:CS30=INT(B30:CS30)),--(B30:CS30&gt;0))</f>
        <v>13</v>
      </c>
      <c r="CV30" s="186" cm="1">
        <f t="array" ref="CV30">MAX(FREQUENCY(IF((B30:CS30=INT(B30:CS30))*(B30:CS30&gt;0),COLUMN(B30:CS30)),IF((B30:CS30&lt;&gt;INT(B30:CS30))+(B30:CS30&lt;=0),COLUMN(B30:CS30))))</f>
        <v>4</v>
      </c>
      <c r="CW30" s="187">
        <f t="shared" si="4"/>
        <v>0.135416666666667</v>
      </c>
      <c r="CX30" s="188">
        <f t="shared" si="0"/>
        <v>0</v>
      </c>
      <c r="CY30" s="188">
        <f t="shared" si="1"/>
        <v>20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23</v>
      </c>
      <c r="CU31" s="186" cm="1">
        <f t="array" ref="CU31">SUMPRODUCT(--(B31:CS31=INT(B31:CS31)),--(B31:CS31&gt;0))</f>
        <v>21</v>
      </c>
      <c r="CV31" s="186" cm="1">
        <f t="array" ref="CV31">MAX(FREQUENCY(IF((B31:CS31=INT(B31:CS31))*(B31:CS31&gt;0),COLUMN(B31:CS31)),IF((B31:CS31&lt;&gt;INT(B31:CS31))+(B31:CS31&lt;=0),COLUMN(B31:CS31))))</f>
        <v>3</v>
      </c>
      <c r="CW31" s="187">
        <f t="shared" si="4"/>
        <v>0.21875</v>
      </c>
      <c r="CX31" s="188">
        <f t="shared" si="0"/>
        <v>16</v>
      </c>
      <c r="CY31" s="188">
        <f t="shared" si="1"/>
        <v>15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/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28</v>
      </c>
      <c r="CU32" s="186" cm="1">
        <f t="array" ref="CU32">SUMPRODUCT(--(B32:CS32=INT(B32:CS32)),--(B32:CS32&gt;0))</f>
        <v>25</v>
      </c>
      <c r="CV32" s="186" cm="1">
        <f t="array" ref="CV32">MAX(FREQUENCY(IF((B32:CS32=INT(B32:CS32))*(B32:CS32&gt;0),COLUMN(B32:CS32)),IF((B32:CS32&lt;&gt;INT(B32:CS32))+(B32:CS32&lt;=0),COLUMN(B32:CS32))))</f>
        <v>7</v>
      </c>
      <c r="CW32" s="187">
        <f t="shared" si="4"/>
        <v>0.260416666666667</v>
      </c>
      <c r="CX32" s="188">
        <f t="shared" si="0"/>
        <v>13</v>
      </c>
      <c r="CY32" s="188">
        <f t="shared" si="1"/>
        <v>12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11</v>
      </c>
      <c r="CU33" s="186" cm="1">
        <f t="array" ref="CU33">SUMPRODUCT(--(B33:CS33=INT(B33:CS33)),--(B33:CS33&gt;0))</f>
        <v>11</v>
      </c>
      <c r="CV33" s="186" cm="1">
        <f t="array" ref="CV33">MAX(FREQUENCY(IF((B33:CS33=INT(B33:CS33))*(B33:CS33&gt;0),COLUMN(B33:CS33)),IF((B33:CS33&lt;&gt;INT(B33:CS33))+(B33:CS33&lt;=0),COLUMN(B33:CS33))))</f>
        <v>1</v>
      </c>
      <c r="CW33" s="187">
        <f t="shared" si="4"/>
        <v>0.114583333333333</v>
      </c>
      <c r="CX33" s="188">
        <f t="shared" si="0"/>
        <v>24</v>
      </c>
      <c r="CY33" s="188">
        <f t="shared" si="1"/>
        <v>23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SUMPRODUCT(--(B34:CS34=INT(B34:CS34)),--(B34:CS34&gt;0))</f>
        <v>0</v>
      </c>
      <c r="CV34" s="186" cm="1">
        <f t="array" ref="CV34">MAX(FREQUENCY(IF((B34:CS34=INT(B34:CS34))*(B34:CS34&gt;0),COLUMN(B34:CS34)),IF((B34:CS34&lt;&gt;INT(B34:CS34))+(B34:CS34&lt;=0),COLUMN(B34:CS34))))</f>
        <v>0</v>
      </c>
      <c r="CW34" s="187">
        <f t="shared" si="4"/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SUMPRODUCT(--(B35:CS35=INT(B35:CS35)),--(B35:CS35&gt;0))</f>
        <v>0</v>
      </c>
      <c r="CV35" s="186" cm="1">
        <f t="array" ref="CV35">MAX(FREQUENCY(IF((B35:CS35=INT(B35:CS35))*(B35:CS35&gt;0),COLUMN(B35:CS35)),IF((B35:CS35&lt;&gt;INT(B35:CS35))+(B35:CS35&lt;=0),COLUMN(B35:CS35))))</f>
        <v>0</v>
      </c>
      <c r="CW35" s="187">
        <f t="shared" si="4"/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5">SUM(B36:CS36)</f>
        <v>2</v>
      </c>
      <c r="CU36" s="186" cm="1">
        <f t="array" ref="CU36">SUMPRODUCT(--(B36:CS36=INT(B36:CS36)),--(B36:CS36&gt;0))</f>
        <v>2</v>
      </c>
      <c r="CV36" s="186" cm="1">
        <f t="array" ref="CV36">MAX(FREQUENCY(IF((B36:CS36=INT(B36:CS36))*(B36:CS36&gt;0),COLUMN(B36:CS36)),IF((B36:CS36&lt;&gt;INT(B36:CS36))+(B36:CS36&lt;=0),COLUMN(B36:CS36))))</f>
        <v>1</v>
      </c>
      <c r="CW36" s="187">
        <f t="shared" ref="CW36:CW53" si="6">SUMPRODUCT(--CU36)/96*100%</f>
        <v>0.0208333333333333</v>
      </c>
      <c r="CX36" s="188">
        <f t="shared" si="0"/>
        <v>36</v>
      </c>
      <c r="CY36" s="188">
        <f t="shared" si="1"/>
        <v>36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/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5"/>
        <v>18</v>
      </c>
      <c r="CU37" s="186" cm="1">
        <f t="array" ref="CU37">SUMPRODUCT(--(B37:CS37=INT(B37:CS37)),--(B37:CS37&gt;0))</f>
        <v>17</v>
      </c>
      <c r="CV37" s="186" cm="1">
        <f t="array" ref="CV37">MAX(FREQUENCY(IF((B37:CS37=INT(B37:CS37))*(B37:CS37&gt;0),COLUMN(B37:CS37)),IF((B37:CS37&lt;&gt;INT(B37:CS37))+(B37:CS37&lt;=0),COLUMN(B37:CS37))))</f>
        <v>3</v>
      </c>
      <c r="CW37" s="187">
        <f t="shared" si="6"/>
        <v>0.177083333333333</v>
      </c>
      <c r="CX37" s="188">
        <f t="shared" si="0"/>
        <v>18</v>
      </c>
      <c r="CY37" s="188">
        <f t="shared" si="1"/>
        <v>18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5"/>
        <v>13</v>
      </c>
      <c r="CU38" s="186" cm="1">
        <f t="array" ref="CU38">SUMPRODUCT(--(B38:CS38=INT(B38:CS38)),--(B38:CS38&gt;0))</f>
        <v>11</v>
      </c>
      <c r="CV38" s="186" cm="1">
        <f t="array" ref="CV38">MAX(FREQUENCY(IF((B38:CS38=INT(B38:CS38))*(B38:CS38&gt;0),COLUMN(B38:CS38)),IF((B38:CS38&lt;&gt;INT(B38:CS38))+(B38:CS38&lt;=0),COLUMN(B38:CS38))))</f>
        <v>3</v>
      </c>
      <c r="CW38" s="187">
        <f t="shared" si="6"/>
        <v>0.114583333333333</v>
      </c>
      <c r="CX38" s="188">
        <f t="shared" si="0"/>
        <v>22</v>
      </c>
      <c r="CY38" s="188">
        <f t="shared" si="1"/>
        <v>23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5"/>
        <v>0</v>
      </c>
      <c r="CU39" s="186" cm="1">
        <f t="array" ref="CU39">SUMPRODUCT(--(B39:CS39=INT(B39:CS39)),--(B39:CS39&gt;0))</f>
        <v>0</v>
      </c>
      <c r="CV39" s="186" cm="1">
        <f t="array" ref="CV39">MAX(FREQUENCY(IF((B39:CS39=INT(B39:CS39))*(B39:CS39&gt;0),COLUMN(B39:CS39)),IF((B39:CS39&lt;&gt;INT(B39:CS39))+(B39:CS39&lt;=0),COLUMN(B39:CS39))))</f>
        <v>0</v>
      </c>
      <c r="CW39" s="187">
        <f t="shared" si="6"/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/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5"/>
        <v>58</v>
      </c>
      <c r="CU40" s="186" cm="1">
        <f t="array" ref="CU40">SUMPRODUCT(--(B40:CS40=INT(B40:CS40)),--(B40:CS40&gt;0))</f>
        <v>48</v>
      </c>
      <c r="CV40" s="186" cm="1">
        <f t="array" ref="CV40">MAX(FREQUENCY(IF((B40:CS40=INT(B40:CS40))*(B40:CS40&gt;0),COLUMN(B40:CS40)),IF((B40:CS40&lt;&gt;INT(B40:CS40))+(B40:CS40&lt;=0),COLUMN(B40:CS40))))</f>
        <v>12</v>
      </c>
      <c r="CW40" s="187">
        <f t="shared" si="6"/>
        <v>0.5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5"/>
        <v>45</v>
      </c>
      <c r="CU41" s="186" cm="1">
        <f t="array" ref="CU41">SUMPRODUCT(--(B41:CS41=INT(B41:CS41)),--(B41:CS41&gt;0))</f>
        <v>35</v>
      </c>
      <c r="CV41" s="186" cm="1">
        <f t="array" ref="CV41">MAX(FREQUENCY(IF((B41:CS41=INT(B41:CS41))*(B41:CS41&gt;0),COLUMN(B41:CS41)),IF((B41:CS41&lt;&gt;INT(B41:CS41))+(B41:CS41&lt;=0),COLUMN(B41:CS41))))</f>
        <v>6</v>
      </c>
      <c r="CW41" s="187">
        <f t="shared" si="6"/>
        <v>0.364583333333333</v>
      </c>
      <c r="CX41" s="188">
        <f t="shared" si="0"/>
        <v>4</v>
      </c>
      <c r="CY41" s="188">
        <f t="shared" si="1"/>
        <v>7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/>
      <c r="CF42" s="115"/>
      <c r="CG42" s="115"/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5"/>
        <v>48</v>
      </c>
      <c r="CU42" s="186" cm="1">
        <f t="array" ref="CU42">SUMPRODUCT(--(B42:CS42=INT(B42:CS42)),--(B42:CS42&gt;0))</f>
        <v>36</v>
      </c>
      <c r="CV42" s="186" cm="1">
        <f t="array" ref="CV42">MAX(FREQUENCY(IF((B42:CS42=INT(B42:CS42))*(B42:CS42&gt;0),COLUMN(B42:CS42)),IF((B42:CS42&lt;&gt;INT(B42:CS42))+(B42:CS42&lt;=0),COLUMN(B42:CS42))))</f>
        <v>5</v>
      </c>
      <c r="CW42" s="187">
        <f t="shared" si="6"/>
        <v>0.375</v>
      </c>
      <c r="CX42" s="188">
        <f t="shared" si="0"/>
        <v>3</v>
      </c>
      <c r="CY42" s="188">
        <f t="shared" si="1"/>
        <v>5</v>
      </c>
      <c r="CZ42" s="188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5"/>
        <v>1</v>
      </c>
      <c r="CU43" s="186" cm="1">
        <f t="array" ref="CU43">SUMPRODUCT(--(B43:CS43=INT(B43:CS43)),--(B43:CS43&gt;0))</f>
        <v>1</v>
      </c>
      <c r="CV43" s="186" cm="1">
        <f t="array" ref="CV43">MAX(FREQUENCY(IF((B43:CS43=INT(B43:CS43))*(B43:CS43&gt;0),COLUMN(B43:CS43)),IF((B43:CS43&lt;&gt;INT(B43:CS43))+(B43:CS43&lt;=0),COLUMN(B43:CS43))))</f>
        <v>1</v>
      </c>
      <c r="CW43" s="187">
        <f t="shared" si="6"/>
        <v>0.0104166666666667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/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5"/>
        <v>44</v>
      </c>
      <c r="CU44" s="186" cm="1">
        <f t="array" ref="CU44">SUMPRODUCT(--(B44:CS44=INT(B44:CS44)),--(B44:CS44&gt;0))</f>
        <v>37</v>
      </c>
      <c r="CV44" s="186" cm="1">
        <f t="array" ref="CV44">MAX(FREQUENCY(IF((B44:CS44=INT(B44:CS44))*(B44:CS44&gt;0),COLUMN(B44:CS44)),IF((B44:CS44&lt;&gt;INT(B44:CS44))+(B44:CS44&lt;=0),COLUMN(B44:CS44))))</f>
        <v>6</v>
      </c>
      <c r="CW44" s="187">
        <f t="shared" si="6"/>
        <v>0.385416666666667</v>
      </c>
      <c r="CX44" s="188">
        <f t="shared" si="0"/>
        <v>5</v>
      </c>
      <c r="CY44" s="188">
        <f t="shared" si="1"/>
        <v>4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5"/>
        <v>0</v>
      </c>
      <c r="CU45" s="186" cm="1">
        <f t="array" ref="CU45">SUMPRODUCT(--(B45:CS45=INT(B45:CS45)),--(B45:CS45&gt;0))</f>
        <v>0</v>
      </c>
      <c r="CV45" s="186" cm="1">
        <f t="array" ref="CV45">MAX(FREQUENCY(IF((B45:CS45=INT(B45:CS45))*(B45:CS45&gt;0),COLUMN(B45:CS45)),IF((B45:CS45&lt;&gt;INT(B45:CS45))+(B45:CS45&lt;=0),COLUMN(B45:CS45))))</f>
        <v>0</v>
      </c>
      <c r="CW45" s="187">
        <f t="shared" si="6"/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/>
      <c r="CF46" s="115"/>
      <c r="CG46" s="115"/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5"/>
        <v>73</v>
      </c>
      <c r="CU46" s="186" cm="1">
        <f t="array" ref="CU46">SUMPRODUCT(--(B46:CS46=INT(B46:CS46)),--(B46:CS46&gt;0))</f>
        <v>55</v>
      </c>
      <c r="CV46" s="186" cm="1">
        <f t="array" ref="CV46">MAX(FREQUENCY(IF((B46:CS46=INT(B46:CS46))*(B46:CS46&gt;0),COLUMN(B46:CS46)),IF((B46:CS46&lt;&gt;INT(B46:CS46))+(B46:CS46&lt;=0),COLUMN(B46:CS46))))</f>
        <v>17</v>
      </c>
      <c r="CW46" s="187">
        <f t="shared" si="6"/>
        <v>0.572916666666667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5"/>
        <v>0</v>
      </c>
      <c r="CU47" s="186" cm="1">
        <f t="array" ref="CU47">SUMPRODUCT(--(B47:CS47=INT(B47:CS47)),--(B47:CS47&gt;0))</f>
        <v>0</v>
      </c>
      <c r="CV47" s="186" cm="1">
        <f t="array" ref="CV47">MAX(FREQUENCY(IF((B47:CS47=INT(B47:CS47))*(B47:CS47&gt;0),COLUMN(B47:CS47)),IF((B47:CS47&lt;&gt;INT(B47:CS47))+(B47:CS47&lt;=0),COLUMN(B47:CS47))))</f>
        <v>0</v>
      </c>
      <c r="CW47" s="187">
        <f t="shared" si="6"/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5"/>
        <v>30</v>
      </c>
      <c r="CU48" s="186" cm="1">
        <f t="array" ref="CU48">SUMPRODUCT(--(B48:CS48=INT(B48:CS48)),--(B48:CS48&gt;0))</f>
        <v>26</v>
      </c>
      <c r="CV48" s="186" cm="1">
        <f t="array" ref="CV48">MAX(FREQUENCY(IF((B48:CS48=INT(B48:CS48))*(B48:CS48&gt;0),COLUMN(B48:CS48)),IF((B48:CS48&lt;&gt;INT(B48:CS48))+(B48:CS48&lt;=0),COLUMN(B48:CS48))))</f>
        <v>3</v>
      </c>
      <c r="CW48" s="187">
        <f t="shared" si="6"/>
        <v>0.270833333333333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5"/>
        <v>10</v>
      </c>
      <c r="CU49" s="186" cm="1">
        <f t="array" ref="CU49">SUMPRODUCT(--(B49:CS49=INT(B49:CS49)),--(B49:CS49&gt;0))</f>
        <v>10</v>
      </c>
      <c r="CV49" s="186" cm="1">
        <f t="array" ref="CV49">MAX(FREQUENCY(IF((B49:CS49=INT(B49:CS49))*(B49:CS49&gt;0),COLUMN(B49:CS49)),IF((B49:CS49&lt;&gt;INT(B49:CS49))+(B49:CS49&lt;=0),COLUMN(B49:CS49))))</f>
        <v>4</v>
      </c>
      <c r="CW49" s="187">
        <f t="shared" si="6"/>
        <v>0.104166666666667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/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5"/>
        <v>6</v>
      </c>
      <c r="CU50" s="186" cm="1">
        <f t="array" ref="CU50">SUMPRODUCT(--(B50:CS50=INT(B50:CS50)),--(B50:CS50&gt;0))</f>
        <v>6</v>
      </c>
      <c r="CV50" s="186" cm="1">
        <f t="array" ref="CV50">MAX(FREQUENCY(IF((B50:CS50=INT(B50:CS50))*(B50:CS50&gt;0),COLUMN(B50:CS50)),IF((B50:CS50&lt;&gt;INT(B50:CS50))+(B50:CS50&lt;=0),COLUMN(B50:CS50))))</f>
        <v>1</v>
      </c>
      <c r="CW50" s="187">
        <f t="shared" si="6"/>
        <v>0.0625</v>
      </c>
      <c r="CX50" s="188">
        <f t="shared" si="0"/>
        <v>30</v>
      </c>
      <c r="CY50" s="188">
        <f t="shared" si="1"/>
        <v>30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5"/>
        <v>1</v>
      </c>
      <c r="CU51" s="186" cm="1">
        <f t="array" ref="CU51">SUMPRODUCT(--(B51:CS51=INT(B51:CS51)),--(B51:CS51&gt;0))</f>
        <v>1</v>
      </c>
      <c r="CV51" s="186" cm="1">
        <f t="array" ref="CV51">MAX(FREQUENCY(IF((B51:CS51=INT(B51:CS51))*(B51:CS51&gt;0),COLUMN(B51:CS51)),IF((B51:CS51&lt;&gt;INT(B51:CS51))+(B51:CS51&lt;=0),COLUMN(B51:CS51))))</f>
        <v>1</v>
      </c>
      <c r="CW51" s="187">
        <f t="shared" si="6"/>
        <v>0.0104166666666667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5"/>
        <v>0</v>
      </c>
      <c r="CU52" s="186" cm="1">
        <f t="array" ref="CU52">SUMPRODUCT(--(B52:CS52=INT(B52:CS52)),--(B52:CS52&gt;0))</f>
        <v>0</v>
      </c>
      <c r="CV52" s="186" cm="1">
        <f t="array" ref="CV52">MAX(FREQUENCY(IF((B52:CS52=INT(B52:CS52))*(B52:CS52&gt;0),COLUMN(B52:CS52)),IF((B52:CS52&lt;&gt;INT(B52:CS52))+(B52:CS52&lt;=0),COLUMN(B52:CS52))))</f>
        <v>0</v>
      </c>
      <c r="CW52" s="187">
        <f t="shared" si="6"/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5"/>
        <v>2</v>
      </c>
      <c r="CU53" s="186" cm="1">
        <f t="array" ref="CU53">SUMPRODUCT(--(B53:CS53=INT(B53:CS53)),--(B53:CS53&gt;0))</f>
        <v>2</v>
      </c>
      <c r="CV53" s="186" cm="1">
        <f t="array" ref="CV53">MAX(FREQUENCY(IF((B53:CS53=INT(B53:CS53))*(B53:CS53&gt;0),COLUMN(B53:CS53)),IF((B53:CS53&lt;&gt;INT(B53:CS53))+(B53:CS53&lt;=0),COLUMN(B53:CS53))))</f>
        <v>1</v>
      </c>
      <c r="CW53" s="187">
        <f t="shared" si="6"/>
        <v>0.0208333333333333</v>
      </c>
      <c r="CX53" s="188">
        <f t="shared" si="0"/>
        <v>36</v>
      </c>
      <c r="CY53" s="188">
        <f t="shared" si="1"/>
        <v>36</v>
      </c>
      <c r="CZ53" s="188">
        <f t="shared" si="2"/>
        <v>28</v>
      </c>
    </row>
    <row r="54" s="173" customFormat="1" ht="28" spans="1:104">
      <c r="A54" s="191" t="s">
        <v>432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0</v>
      </c>
      <c r="CF54" s="17" cm="1">
        <f t="array" ref="CF54">SUMPRODUCT(--(CF3:CF53=INT(CF3:CF53)),--(CF3:CF53&gt;0))</f>
        <v>0</v>
      </c>
      <c r="CG54" s="17" cm="1">
        <f t="array" ref="CG54">SUMPRODUCT(--(CG3:CG53=INT(CG3:CG53)),--(CG3:CG53&gt;0))</f>
        <v>0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433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434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C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ref="CA55:CS55" si="10">SUM(CA3:CA53)</f>
        <v>7</v>
      </c>
      <c r="CB55" s="17">
        <f t="shared" si="10"/>
        <v>9</v>
      </c>
      <c r="CC55" s="17">
        <f t="shared" si="10"/>
        <v>5</v>
      </c>
      <c r="CD55" s="17">
        <f t="shared" si="10"/>
        <v>12</v>
      </c>
      <c r="CE55" s="17">
        <f t="shared" si="10"/>
        <v>0</v>
      </c>
      <c r="CF55" s="17">
        <f t="shared" si="10"/>
        <v>0</v>
      </c>
      <c r="CG55" s="17">
        <f t="shared" si="10"/>
        <v>0</v>
      </c>
      <c r="CH55" s="17">
        <f t="shared" si="10"/>
        <v>0</v>
      </c>
      <c r="CI55" s="17">
        <f t="shared" si="10"/>
        <v>0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7">
        <f t="shared" si="10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X38:CZ39 A34:AF35 CY35:CZ35 A37:AF37 AC40:AD40 A40:V40 A43:AF43 CX25:CZ28 A36:X36 Z36:AF36 A42:X42 A26:AF27 A16:AF16 AB15:AE15 Z15 Z3:AF3 A15:X15 A6:AF6" unlockedFormula="1"/>
    <ignoredError sqref="A14:X14 A7:AF7 A3:X4 Z41:AE42 A24:X25 A12:X12 CY9:CZ9 A11:Z11 AB11:AC11 AE11 A9:X10 AD9:AF9 Z9:AB9 Z10:AF10 CX11:CZ14 CT1:CZ2 A49:X49 Z49:AF49 A8:V8 X8:AF8 A46:X46 AA46 AC46:AD46 A44:W44 Z44:AD44 CX7:CZ8 AF46 AF44 AE48 Z48:AB48 A2:AF2 A50:AD50 AF50 A51:AF51 A53:AF53 A52 P52 V52 Y52 AA52:AF52 A47:AF47 A45:AF45 X41 Z24:AF24 Z12:AF12 Z14:AF14 AB13:AF13 Z13 C1:S1 A1 CY3 CX4:CZ4 Z4:AE4" formulaRange="1" unlockedFormula="1"/>
    <ignoredError sqref="Y49:BV49 W8:BV8 AG46:BV46 AG44:BV44 CX44:CZ53 CT54:CZ57 CX24:CZ24 AG50:BZ53 AF41:BV41 AG5:BV5 BY49 BX48 BX44:BY44 CX41:CZ41 BZ24 BX5 BX8 A54:BY55 A56:BZ56 A57:BY57 Y13:Y14 AC48:AD48 A41:W41 Y24 Y4 AG7:BZ7 Y46:Z46 AB46:AE46 X44:AE44 AF48:BV48 A48:Y48 AG2:BZ2 AE50:AF50 B52:AF52 AG47:BZ47 AG45:BZ45 Y41 AG24:BV24 Z13:AA13 A1:B1 CZ3 CX5:CZ5 AF4:BX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435</v>
      </c>
      <c r="B2" s="148" t="s">
        <v>436</v>
      </c>
      <c r="C2" s="149" t="s">
        <v>437</v>
      </c>
      <c r="D2" s="150"/>
      <c r="E2" s="148" t="s">
        <v>436</v>
      </c>
      <c r="F2" s="148"/>
      <c r="G2" s="151" t="s">
        <v>438</v>
      </c>
      <c r="H2" s="151"/>
      <c r="I2" s="143"/>
      <c r="J2" s="152"/>
    </row>
    <row r="3" ht="16.5" spans="1:10">
      <c r="A3" s="144" t="s">
        <v>439</v>
      </c>
      <c r="B3" s="153" t="s">
        <v>440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441</v>
      </c>
      <c r="B4" s="154" t="s">
        <v>282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442</v>
      </c>
      <c r="B5" s="155">
        <v>1</v>
      </c>
      <c r="C5" s="155"/>
      <c r="D5" s="156">
        <v>2</v>
      </c>
      <c r="E5" s="156"/>
      <c r="F5" s="156"/>
      <c r="G5" s="155" t="s">
        <v>443</v>
      </c>
      <c r="H5" s="155"/>
      <c r="I5" s="143"/>
      <c r="J5" s="152"/>
    </row>
    <row r="6" ht="16.5" spans="1:10">
      <c r="A6" s="144" t="s">
        <v>444</v>
      </c>
      <c r="B6" s="157">
        <v>1</v>
      </c>
      <c r="C6" s="157"/>
      <c r="D6" s="157"/>
      <c r="E6" s="157"/>
      <c r="F6" s="157"/>
      <c r="G6" s="158" t="s">
        <v>445</v>
      </c>
      <c r="H6" s="158"/>
      <c r="I6" s="143"/>
      <c r="J6" s="152"/>
    </row>
    <row r="7" ht="16.5" spans="1:10">
      <c r="A7" s="144" t="s">
        <v>446</v>
      </c>
      <c r="B7" s="159" t="s">
        <v>447</v>
      </c>
      <c r="C7" s="159"/>
      <c r="D7" s="159"/>
      <c r="E7" s="159"/>
      <c r="F7" s="159"/>
      <c r="G7" s="160" t="s">
        <v>448</v>
      </c>
      <c r="H7" s="160"/>
      <c r="I7" s="143"/>
      <c r="J7" s="152"/>
    </row>
    <row r="8" ht="16.5" spans="1:10">
      <c r="A8" s="144" t="s">
        <v>449</v>
      </c>
      <c r="B8" s="161">
        <v>1</v>
      </c>
      <c r="C8" s="161"/>
      <c r="D8" s="162" t="s">
        <v>450</v>
      </c>
      <c r="E8" s="162"/>
      <c r="F8" s="162"/>
      <c r="G8" s="161" t="s">
        <v>451</v>
      </c>
      <c r="H8" s="161"/>
      <c r="I8" s="143"/>
      <c r="J8" s="152"/>
    </row>
    <row r="9" s="1" customFormat="1" ht="16.5" spans="1:10">
      <c r="A9" s="144" t="s">
        <v>452</v>
      </c>
      <c r="B9" s="2" t="s">
        <v>453</v>
      </c>
      <c r="C9" s="2"/>
      <c r="D9" s="2"/>
      <c r="E9" s="2"/>
      <c r="F9" s="2"/>
      <c r="G9" s="163" t="s">
        <v>454</v>
      </c>
      <c r="H9" s="163"/>
      <c r="I9" s="1"/>
      <c r="J9" s="164"/>
    </row>
    <row r="10" s="1" customFormat="1" ht="16.5" spans="1:10">
      <c r="A10" s="144" t="s">
        <v>455</v>
      </c>
      <c r="B10" s="165" t="s">
        <v>453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456</v>
      </c>
      <c r="B11" s="148" t="s">
        <v>457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458</v>
      </c>
      <c r="B12" s="153">
        <v>1</v>
      </c>
      <c r="C12" s="153"/>
      <c r="D12" s="167" t="s">
        <v>459</v>
      </c>
      <c r="E12" s="153">
        <v>1</v>
      </c>
      <c r="F12" s="167" t="s">
        <v>459</v>
      </c>
      <c r="G12" s="143" t="s">
        <v>453</v>
      </c>
      <c r="H12" s="143"/>
      <c r="I12" s="143"/>
      <c r="J12" s="152"/>
    </row>
    <row r="13" ht="16.5" spans="1:10">
      <c r="A13" s="144" t="s">
        <v>460</v>
      </c>
      <c r="B13" s="154">
        <v>1</v>
      </c>
      <c r="C13" s="154"/>
      <c r="D13" s="154"/>
      <c r="E13" s="154"/>
      <c r="F13" s="154"/>
      <c r="G13" s="154"/>
      <c r="H13" s="143" t="s">
        <v>453</v>
      </c>
      <c r="I13" s="143"/>
      <c r="J13" s="152"/>
    </row>
    <row r="14" ht="16.5" spans="1:10">
      <c r="A14" s="144" t="s">
        <v>461</v>
      </c>
      <c r="B14" s="168">
        <v>1</v>
      </c>
      <c r="C14" s="168"/>
      <c r="D14" s="168"/>
      <c r="E14" s="168"/>
      <c r="F14" s="168"/>
      <c r="G14" s="169">
        <v>2</v>
      </c>
      <c r="H14" s="170" t="s">
        <v>453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462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463</v>
      </c>
      <c r="B2" s="121" t="s">
        <v>464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465</v>
      </c>
      <c r="C3" s="122" t="s">
        <v>30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24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466</v>
      </c>
      <c r="C5" s="122" t="s">
        <v>35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467</v>
      </c>
      <c r="C6" s="15" t="s">
        <v>20</v>
      </c>
      <c r="D6" s="126" t="s">
        <v>118</v>
      </c>
      <c r="E6" s="127"/>
      <c r="F6" s="127"/>
      <c r="G6" s="127"/>
      <c r="H6" s="128"/>
    </row>
    <row r="7" s="113" customFormat="1" spans="1:10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7"/>
      <c r="H7" s="128"/>
    </row>
    <row r="8" s="113" customFormat="1" spans="1:10">
      <c r="A8" s="125"/>
      <c r="B8" s="121" t="s">
        <v>468</v>
      </c>
      <c r="C8" s="15" t="s">
        <v>15</v>
      </c>
      <c r="D8" s="126" t="s">
        <v>95</v>
      </c>
      <c r="E8" s="127"/>
      <c r="F8" s="127"/>
      <c r="G8" s="127"/>
      <c r="H8" s="128"/>
    </row>
    <row r="9" s="113" customFormat="1" spans="1:10">
      <c r="A9" s="125"/>
      <c r="B9" s="121" t="s">
        <v>469</v>
      </c>
      <c r="C9" s="122" t="s">
        <v>26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470</v>
      </c>
      <c r="C10" s="122" t="s">
        <v>38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471</v>
      </c>
      <c r="C11" s="122" t="s">
        <v>83</v>
      </c>
      <c r="D11" s="123"/>
      <c r="E11" s="123"/>
      <c r="F11" s="123"/>
      <c r="G11" s="123"/>
      <c r="H11" s="124"/>
    </row>
    <row r="12" s="114" customFormat="1" spans="1:10">
      <c r="A12" s="130" t="s">
        <v>472</v>
      </c>
      <c r="B12" s="131" t="s">
        <v>473</v>
      </c>
      <c r="C12" s="132" t="s">
        <v>105</v>
      </c>
      <c r="D12" s="133"/>
      <c r="E12" s="134" t="s">
        <v>20</v>
      </c>
      <c r="F12" s="135"/>
      <c r="G12" s="135"/>
      <c r="H12" s="136"/>
    </row>
    <row r="13" s="114" customFormat="1" spans="1:10">
      <c r="A13" s="137"/>
      <c r="B13" s="131"/>
      <c r="C13" s="132" t="s">
        <v>44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474</v>
      </c>
      <c r="C14" s="132" t="s">
        <v>475</v>
      </c>
      <c r="D14" s="138"/>
      <c r="E14" s="133"/>
      <c r="F14" s="135" t="s">
        <v>38</v>
      </c>
      <c r="G14" s="135"/>
      <c r="H14" s="136"/>
    </row>
    <row r="15" s="114" customFormat="1" spans="1:10">
      <c r="A15" s="137"/>
      <c r="B15" s="131" t="s">
        <v>476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477</v>
      </c>
      <c r="C17" s="132" t="s">
        <v>29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478</v>
      </c>
      <c r="C18" s="132" t="s">
        <v>49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479</v>
      </c>
      <c r="C19" s="132" t="s">
        <v>95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480</v>
      </c>
      <c r="C20" s="132" t="s">
        <v>99</v>
      </c>
      <c r="D20" s="138"/>
      <c r="E20" s="138"/>
      <c r="F20" s="138"/>
      <c r="G20" s="133"/>
      <c r="H20" s="136" t="s">
        <v>37</v>
      </c>
      <c r="I20" s="139"/>
      <c r="J20" s="140"/>
    </row>
    <row r="21" s="114" customFormat="1" spans="1:10">
      <c r="A21" s="137"/>
      <c r="B21" s="131" t="s">
        <v>481</v>
      </c>
      <c r="C21" s="139"/>
      <c r="D21" s="140"/>
      <c r="E21" s="134" t="s">
        <v>27</v>
      </c>
      <c r="F21" s="135"/>
      <c r="G21" s="135"/>
      <c r="H21" s="136"/>
    </row>
    <row r="22" s="114" customFormat="1" spans="1:10">
      <c r="A22" s="141"/>
      <c r="B22" s="131" t="s">
        <v>482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483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484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485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486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487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488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489</v>
      </c>
      <c r="B1" s="83" t="s">
        <v>490</v>
      </c>
      <c r="C1" s="84" t="s">
        <v>227</v>
      </c>
    </row>
    <row r="2" spans="1:3">
      <c r="A2" s="85" t="s">
        <v>1</v>
      </c>
      <c r="B2" s="80" t="s">
        <v>491</v>
      </c>
      <c r="C2" s="81" t="s">
        <v>492</v>
      </c>
    </row>
    <row r="3" spans="1:3">
      <c r="A3" s="85"/>
      <c r="B3" s="80" t="s">
        <v>493</v>
      </c>
      <c r="C3" s="81" t="s">
        <v>494</v>
      </c>
    </row>
    <row r="4" spans="1:3">
      <c r="A4" s="85"/>
      <c r="B4" s="80" t="s">
        <v>495</v>
      </c>
      <c r="C4" s="81" t="s">
        <v>496</v>
      </c>
    </row>
    <row r="5" spans="1:3">
      <c r="A5" s="85"/>
      <c r="B5" s="80" t="s">
        <v>497</v>
      </c>
      <c r="C5" s="81" t="s">
        <v>498</v>
      </c>
    </row>
    <row r="6" spans="1:3">
      <c r="A6" s="85"/>
      <c r="B6" s="80" t="s">
        <v>499</v>
      </c>
      <c r="C6" s="81" t="s">
        <v>500</v>
      </c>
    </row>
    <row r="7" spans="1:3">
      <c r="A7" s="85"/>
      <c r="B7" s="80" t="s">
        <v>501</v>
      </c>
      <c r="C7" s="81" t="s">
        <v>502</v>
      </c>
    </row>
    <row r="8" spans="1:3">
      <c r="A8" s="85"/>
      <c r="B8" s="80" t="s">
        <v>503</v>
      </c>
      <c r="C8" s="81" t="s">
        <v>504</v>
      </c>
    </row>
    <row r="9" spans="1:3">
      <c r="A9" s="85"/>
      <c r="B9" s="80" t="s">
        <v>505</v>
      </c>
      <c r="C9" s="81" t="s">
        <v>506</v>
      </c>
    </row>
    <row r="10" spans="1:3">
      <c r="A10" s="85"/>
      <c r="B10" s="80" t="s">
        <v>507</v>
      </c>
      <c r="C10" s="81" t="s">
        <v>508</v>
      </c>
    </row>
    <row r="11" spans="1:3">
      <c r="A11" s="85"/>
      <c r="B11" s="80" t="s">
        <v>509</v>
      </c>
      <c r="C11" s="81" t="s">
        <v>510</v>
      </c>
    </row>
    <row r="12" spans="1:3">
      <c r="A12" s="85"/>
      <c r="B12" s="80" t="s">
        <v>511</v>
      </c>
      <c r="C12" s="81" t="s">
        <v>512</v>
      </c>
    </row>
    <row r="13" spans="1:3">
      <c r="A13" s="85"/>
      <c r="B13" s="80" t="s">
        <v>513</v>
      </c>
      <c r="C13" s="81" t="s">
        <v>514</v>
      </c>
    </row>
    <row r="14" spans="1:3">
      <c r="A14" s="85"/>
      <c r="B14" s="80" t="s">
        <v>515</v>
      </c>
      <c r="C14" s="81" t="s">
        <v>516</v>
      </c>
    </row>
    <row r="15" spans="1:3">
      <c r="A15" s="85"/>
      <c r="B15" s="80" t="s">
        <v>517</v>
      </c>
      <c r="C15" s="81" t="s">
        <v>518</v>
      </c>
    </row>
    <row r="16" spans="1:3">
      <c r="A16" s="85"/>
      <c r="B16" s="80" t="s">
        <v>519</v>
      </c>
      <c r="C16" s="81" t="s">
        <v>520</v>
      </c>
    </row>
    <row r="17" spans="1:3">
      <c r="A17" s="85"/>
      <c r="B17" s="80" t="s">
        <v>521</v>
      </c>
      <c r="C17" s="81" t="s">
        <v>522</v>
      </c>
    </row>
    <row r="18" spans="1:3">
      <c r="A18" s="85"/>
      <c r="B18" s="80" t="s">
        <v>523</v>
      </c>
      <c r="C18" s="81" t="s">
        <v>524</v>
      </c>
    </row>
    <row r="19" spans="1:3">
      <c r="A19" s="85"/>
      <c r="B19" s="80" t="s">
        <v>525</v>
      </c>
      <c r="C19" s="81" t="s">
        <v>526</v>
      </c>
    </row>
    <row r="20" spans="1:3">
      <c r="A20" s="85"/>
      <c r="B20" s="80" t="s">
        <v>527</v>
      </c>
      <c r="C20" s="81" t="s">
        <v>528</v>
      </c>
    </row>
    <row r="21" spans="1:3">
      <c r="A21" s="85"/>
      <c r="B21" s="80" t="s">
        <v>527</v>
      </c>
      <c r="C21" s="81" t="s">
        <v>529</v>
      </c>
    </row>
    <row r="22" spans="1:3">
      <c r="A22" s="85"/>
      <c r="B22" s="80" t="s">
        <v>530</v>
      </c>
      <c r="C22" s="81" t="s">
        <v>531</v>
      </c>
    </row>
    <row r="23" spans="1:3">
      <c r="A23" s="85"/>
      <c r="B23" s="80" t="s">
        <v>532</v>
      </c>
      <c r="C23" s="81" t="s">
        <v>533</v>
      </c>
    </row>
    <row r="24" spans="1:3">
      <c r="A24" s="85"/>
      <c r="B24" s="80" t="s">
        <v>534</v>
      </c>
      <c r="C24" s="81" t="s">
        <v>535</v>
      </c>
    </row>
    <row r="25" spans="1:3">
      <c r="A25" s="86" t="s">
        <v>2</v>
      </c>
      <c r="B25" s="80" t="s">
        <v>536</v>
      </c>
      <c r="C25" s="81" t="s">
        <v>537</v>
      </c>
    </row>
    <row r="26" spans="1:3">
      <c r="A26" s="86"/>
      <c r="B26" s="80" t="s">
        <v>538</v>
      </c>
      <c r="C26" s="81" t="s">
        <v>539</v>
      </c>
    </row>
    <row r="27" spans="1:3">
      <c r="A27" s="86"/>
      <c r="B27" s="80" t="s">
        <v>540</v>
      </c>
      <c r="C27" s="81" t="s">
        <v>541</v>
      </c>
    </row>
    <row r="28" spans="1:3">
      <c r="A28" s="86"/>
      <c r="B28" s="80" t="s">
        <v>542</v>
      </c>
      <c r="C28" s="81" t="s">
        <v>543</v>
      </c>
    </row>
    <row r="29" spans="1:3">
      <c r="A29" s="86"/>
      <c r="B29" s="80" t="s">
        <v>544</v>
      </c>
      <c r="C29" s="81" t="s">
        <v>545</v>
      </c>
    </row>
    <row r="30" spans="1:3">
      <c r="A30" s="86"/>
      <c r="B30" s="80" t="s">
        <v>546</v>
      </c>
      <c r="C30" s="81" t="s">
        <v>547</v>
      </c>
    </row>
    <row r="31" spans="1:3">
      <c r="A31" s="86"/>
      <c r="B31" s="80" t="s">
        <v>548</v>
      </c>
      <c r="C31" s="81" t="s">
        <v>549</v>
      </c>
    </row>
    <row r="32" spans="1:3">
      <c r="A32" s="86"/>
      <c r="B32" s="80" t="s">
        <v>550</v>
      </c>
      <c r="C32" s="81" t="s">
        <v>551</v>
      </c>
    </row>
    <row r="33" spans="1:3">
      <c r="A33" s="86"/>
      <c r="B33" s="80" t="s">
        <v>552</v>
      </c>
      <c r="C33" s="81" t="s">
        <v>553</v>
      </c>
    </row>
    <row r="34" spans="1:3">
      <c r="A34" s="86"/>
      <c r="B34" s="80" t="s">
        <v>554</v>
      </c>
      <c r="C34" s="81" t="s">
        <v>555</v>
      </c>
    </row>
    <row r="35" spans="1:3">
      <c r="A35" s="86"/>
      <c r="B35" s="80" t="s">
        <v>556</v>
      </c>
      <c r="C35" s="81" t="s">
        <v>557</v>
      </c>
    </row>
    <row r="36" spans="1:3">
      <c r="A36" s="86"/>
      <c r="B36" s="80" t="s">
        <v>558</v>
      </c>
      <c r="C36" s="81" t="s">
        <v>559</v>
      </c>
    </row>
    <row r="37" spans="1:3">
      <c r="A37" s="87"/>
      <c r="B37" s="80" t="s">
        <v>560</v>
      </c>
      <c r="C37" s="81" t="s">
        <v>561</v>
      </c>
    </row>
    <row r="38" spans="1:3">
      <c r="A38" s="88" t="s">
        <v>3</v>
      </c>
      <c r="B38" s="80" t="s">
        <v>562</v>
      </c>
      <c r="C38" s="81" t="s">
        <v>563</v>
      </c>
    </row>
    <row r="39" spans="1:3">
      <c r="A39" s="89"/>
      <c r="B39" s="80" t="s">
        <v>564</v>
      </c>
      <c r="C39" s="81" t="s">
        <v>565</v>
      </c>
    </row>
    <row r="40" spans="1:3">
      <c r="A40" s="89"/>
      <c r="B40" s="80" t="s">
        <v>566</v>
      </c>
      <c r="C40" s="81" t="s">
        <v>567</v>
      </c>
    </row>
    <row r="41" spans="1:3">
      <c r="A41" s="89"/>
      <c r="B41" s="80" t="s">
        <v>568</v>
      </c>
      <c r="C41" s="81" t="s">
        <v>500</v>
      </c>
    </row>
    <row r="42" spans="1:3">
      <c r="A42" s="89"/>
      <c r="B42" s="80" t="s">
        <v>569</v>
      </c>
      <c r="C42" s="81" t="s">
        <v>570</v>
      </c>
    </row>
    <row r="43" spans="1:3">
      <c r="A43" s="89"/>
      <c r="B43" s="80" t="s">
        <v>571</v>
      </c>
      <c r="C43" s="81" t="s">
        <v>572</v>
      </c>
    </row>
    <row r="44" spans="1:3">
      <c r="A44" s="89"/>
      <c r="B44" s="80" t="s">
        <v>573</v>
      </c>
      <c r="C44" s="81" t="s">
        <v>574</v>
      </c>
    </row>
    <row r="45" spans="1:3">
      <c r="A45" s="89"/>
      <c r="B45" s="80" t="s">
        <v>575</v>
      </c>
      <c r="C45" s="81" t="s">
        <v>576</v>
      </c>
    </row>
    <row r="46" spans="1:3">
      <c r="A46" s="89"/>
      <c r="B46" s="80" t="s">
        <v>577</v>
      </c>
      <c r="C46" s="81" t="s">
        <v>578</v>
      </c>
    </row>
    <row r="47" spans="1:3">
      <c r="A47" s="89"/>
      <c r="B47" s="80" t="s">
        <v>579</v>
      </c>
      <c r="C47" s="81" t="s">
        <v>580</v>
      </c>
    </row>
    <row r="48" spans="1:3">
      <c r="A48" s="89"/>
      <c r="B48" s="80" t="s">
        <v>581</v>
      </c>
      <c r="C48" s="81" t="s">
        <v>582</v>
      </c>
    </row>
    <row r="49" spans="1:3">
      <c r="A49" s="89"/>
      <c r="B49" s="80" t="s">
        <v>583</v>
      </c>
      <c r="C49" s="81" t="s">
        <v>584</v>
      </c>
    </row>
    <row r="50" spans="1:3">
      <c r="A50" s="90"/>
      <c r="B50" s="80" t="s">
        <v>585</v>
      </c>
      <c r="C50" s="81" t="s">
        <v>586</v>
      </c>
    </row>
    <row r="51" customFormat="1" spans="1:3">
      <c r="A51" s="79"/>
      <c r="B51" s="80" t="s">
        <v>587</v>
      </c>
      <c r="C51" s="81"/>
    </row>
    <row r="52" customFormat="1" spans="1:3">
      <c r="A52" s="79"/>
      <c r="B52" s="80" t="s">
        <v>587</v>
      </c>
      <c r="C52" s="81"/>
    </row>
    <row r="53" customFormat="1" spans="1:3">
      <c r="A53" s="79"/>
      <c r="B53" s="80" t="s">
        <v>587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417</v>
      </c>
      <c r="B1" s="68" t="s">
        <v>0</v>
      </c>
      <c r="C1" s="69" t="s">
        <v>588</v>
      </c>
      <c r="D1" s="70" t="s">
        <v>589</v>
      </c>
    </row>
    <row r="2" spans="1:4">
      <c r="A2" s="71">
        <v>1</v>
      </c>
      <c r="B2" s="72" t="s">
        <v>7</v>
      </c>
      <c r="C2" s="73">
        <v>20111216</v>
      </c>
      <c r="D2" s="66" t="s">
        <v>590</v>
      </c>
    </row>
    <row r="3" spans="1:4">
      <c r="A3" s="71">
        <v>2</v>
      </c>
      <c r="B3" s="72" t="s">
        <v>10</v>
      </c>
      <c r="C3" s="74">
        <v>20111227</v>
      </c>
      <c r="D3" s="66" t="s">
        <v>591</v>
      </c>
    </row>
    <row r="4" spans="1:4">
      <c r="A4" s="71">
        <v>3</v>
      </c>
      <c r="B4" s="72" t="s">
        <v>13</v>
      </c>
      <c r="C4" s="74">
        <v>20120518</v>
      </c>
      <c r="D4" s="66" t="s">
        <v>592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436</v>
      </c>
    </row>
    <row r="7" spans="1:4">
      <c r="A7" s="71">
        <v>6</v>
      </c>
      <c r="B7" s="72" t="s">
        <v>20</v>
      </c>
      <c r="C7" s="74">
        <v>20120809</v>
      </c>
      <c r="D7" s="66" t="s">
        <v>593</v>
      </c>
    </row>
    <row r="8" spans="1:4">
      <c r="A8" s="71">
        <v>7</v>
      </c>
      <c r="B8" s="72" t="s">
        <v>24</v>
      </c>
      <c r="C8" s="74">
        <v>20120227</v>
      </c>
      <c r="D8" s="66" t="s">
        <v>594</v>
      </c>
    </row>
    <row r="9" spans="1:4">
      <c r="A9" s="71">
        <v>8</v>
      </c>
      <c r="B9" s="72" t="s">
        <v>26</v>
      </c>
      <c r="C9" s="74">
        <v>20120127</v>
      </c>
      <c r="D9" s="66" t="s">
        <v>595</v>
      </c>
    </row>
    <row r="10" spans="1:4">
      <c r="A10" s="71">
        <v>9</v>
      </c>
      <c r="B10" s="72" t="s">
        <v>27</v>
      </c>
      <c r="C10" s="74">
        <v>20111202</v>
      </c>
      <c r="D10" s="66" t="s">
        <v>596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597</v>
      </c>
    </row>
    <row r="13" spans="1:4">
      <c r="A13" s="71">
        <v>12</v>
      </c>
      <c r="B13" s="72" t="s">
        <v>32</v>
      </c>
      <c r="C13" s="74">
        <v>20110908</v>
      </c>
      <c r="D13" s="66" t="s">
        <v>598</v>
      </c>
    </row>
    <row r="14" spans="1:4">
      <c r="A14" s="71">
        <v>13</v>
      </c>
      <c r="B14" s="72" t="s">
        <v>35</v>
      </c>
      <c r="C14" s="74">
        <v>20120228</v>
      </c>
      <c r="D14" s="66" t="s">
        <v>599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600</v>
      </c>
    </row>
    <row r="17" spans="1:4">
      <c r="A17" s="71">
        <v>16</v>
      </c>
      <c r="B17" s="72" t="s">
        <v>42</v>
      </c>
      <c r="C17" s="74">
        <v>20120722</v>
      </c>
      <c r="D17" s="66" t="s">
        <v>601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602</v>
      </c>
    </row>
    <row r="21" spans="1:4">
      <c r="A21" s="71">
        <v>20</v>
      </c>
      <c r="B21" s="72" t="s">
        <v>52</v>
      </c>
      <c r="C21" s="74">
        <v>20120827</v>
      </c>
      <c r="D21" s="66" t="s">
        <v>603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604</v>
      </c>
    </row>
    <row r="24" spans="1:4">
      <c r="A24" s="71">
        <v>23</v>
      </c>
      <c r="B24" s="72" t="s">
        <v>62</v>
      </c>
      <c r="C24" s="74">
        <v>20120413</v>
      </c>
      <c r="D24" s="66" t="s">
        <v>605</v>
      </c>
    </row>
    <row r="25" spans="1:4">
      <c r="A25" s="71">
        <v>24</v>
      </c>
      <c r="B25" s="72" t="s">
        <v>67</v>
      </c>
      <c r="C25" s="74">
        <v>20120629</v>
      </c>
      <c r="D25" s="66" t="s">
        <v>606</v>
      </c>
    </row>
    <row r="26" spans="1:4">
      <c r="A26" s="71">
        <v>25</v>
      </c>
      <c r="B26" s="72" t="s">
        <v>68</v>
      </c>
      <c r="C26" s="74">
        <v>20111105</v>
      </c>
      <c r="D26" s="66" t="s">
        <v>607</v>
      </c>
    </row>
    <row r="27" spans="1:4">
      <c r="A27" s="71">
        <v>26</v>
      </c>
      <c r="B27" s="72" t="s">
        <v>69</v>
      </c>
      <c r="C27" s="74">
        <v>20120112</v>
      </c>
      <c r="D27" s="66" t="s">
        <v>608</v>
      </c>
    </row>
    <row r="28" spans="1:4">
      <c r="A28" s="71">
        <v>27</v>
      </c>
      <c r="B28" s="72" t="s">
        <v>72</v>
      </c>
      <c r="C28" s="74">
        <v>20111119</v>
      </c>
      <c r="D28" s="66" t="s">
        <v>609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610</v>
      </c>
    </row>
    <row r="30" spans="1:4">
      <c r="A30" s="71">
        <v>29</v>
      </c>
      <c r="B30" s="72" t="s">
        <v>80</v>
      </c>
      <c r="C30" s="74">
        <v>20120331</v>
      </c>
      <c r="D30" s="66" t="s">
        <v>611</v>
      </c>
    </row>
    <row r="31" spans="1:4">
      <c r="A31" s="71">
        <v>30</v>
      </c>
      <c r="B31" s="72" t="s">
        <v>83</v>
      </c>
      <c r="C31" s="74">
        <v>20111109</v>
      </c>
      <c r="D31" s="66" t="s">
        <v>612</v>
      </c>
    </row>
    <row r="32" spans="1:4">
      <c r="A32" s="71">
        <v>31</v>
      </c>
      <c r="B32" s="72" t="s">
        <v>84</v>
      </c>
      <c r="C32" s="74">
        <v>20120824</v>
      </c>
      <c r="D32" s="66" t="s">
        <v>613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614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615</v>
      </c>
    </row>
    <row r="37" spans="1:5">
      <c r="A37" s="71">
        <v>36</v>
      </c>
      <c r="B37" s="72" t="s">
        <v>90</v>
      </c>
      <c r="C37" s="73">
        <v>20120326</v>
      </c>
      <c r="D37" s="66" t="s">
        <v>616</v>
      </c>
    </row>
    <row r="38" spans="1:5">
      <c r="A38" s="75">
        <v>37</v>
      </c>
      <c r="B38" s="75" t="s">
        <v>93</v>
      </c>
      <c r="C38" s="76">
        <v>20111106</v>
      </c>
      <c r="D38" s="77" t="s">
        <v>617</v>
      </c>
      <c r="E38" t="s">
        <v>618</v>
      </c>
    </row>
    <row r="39" spans="1:5">
      <c r="A39" s="71">
        <v>38</v>
      </c>
      <c r="B39" s="72" t="s">
        <v>95</v>
      </c>
      <c r="C39" s="74">
        <v>20120811</v>
      </c>
      <c r="D39" s="78" t="s">
        <v>619</v>
      </c>
    </row>
    <row r="40" spans="1:5">
      <c r="A40" s="71">
        <v>39</v>
      </c>
      <c r="B40" s="72" t="s">
        <v>99</v>
      </c>
      <c r="C40" s="74">
        <v>20111217</v>
      </c>
      <c r="D40" s="78" t="s">
        <v>620</v>
      </c>
    </row>
    <row r="41" spans="1:5">
      <c r="A41" s="71">
        <v>40</v>
      </c>
      <c r="B41" s="72" t="s">
        <v>105</v>
      </c>
      <c r="C41" s="74">
        <v>20111013</v>
      </c>
      <c r="D41" s="66" t="s">
        <v>621</v>
      </c>
      <c r="E41" t="s">
        <v>618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622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623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624</v>
      </c>
      <c r="E47" t="s">
        <v>618</v>
      </c>
    </row>
    <row r="48" spans="1:5">
      <c r="A48" s="71">
        <v>47</v>
      </c>
      <c r="B48" s="72" t="s">
        <v>125</v>
      </c>
      <c r="C48" s="74">
        <v>20120311</v>
      </c>
      <c r="D48" s="66" t="s">
        <v>625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626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627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628</v>
      </c>
      <c r="B1" s="35" t="s">
        <v>629</v>
      </c>
      <c r="C1" s="36" t="s">
        <v>630</v>
      </c>
      <c r="D1" s="37"/>
      <c r="E1" s="38" t="s">
        <v>631</v>
      </c>
    </row>
    <row r="2" s="28" customFormat="1" ht="409" customHeight="1" spans="1:5">
      <c r="A2" s="39" t="s">
        <v>441</v>
      </c>
      <c r="B2" s="40" t="s">
        <v>282</v>
      </c>
      <c r="C2" s="41" t="s">
        <v>632</v>
      </c>
      <c r="D2" s="32" t="s">
        <v>633</v>
      </c>
      <c r="E2" s="33" t="s">
        <v>634</v>
      </c>
    </row>
    <row r="3" s="28" customFormat="1" ht="56" spans="1:5">
      <c r="A3" s="42"/>
      <c r="B3" s="43"/>
      <c r="C3" s="44"/>
      <c r="D3" s="32" t="s">
        <v>635</v>
      </c>
      <c r="E3" s="33" t="s">
        <v>636</v>
      </c>
    </row>
    <row r="4" s="28" customFormat="1" spans="1:5">
      <c r="A4" s="42"/>
      <c r="B4" s="43"/>
      <c r="C4" s="44"/>
      <c r="D4" s="32" t="s">
        <v>637</v>
      </c>
      <c r="E4" s="33" t="s">
        <v>638</v>
      </c>
    </row>
    <row r="5" s="28" customFormat="1" ht="56" spans="1:5">
      <c r="A5" s="42"/>
      <c r="B5" s="43"/>
      <c r="C5" s="44"/>
      <c r="D5" s="32" t="s">
        <v>639</v>
      </c>
      <c r="E5" s="33" t="s">
        <v>640</v>
      </c>
    </row>
    <row r="6" s="28" customFormat="1" ht="238" spans="1:5">
      <c r="A6" s="42"/>
      <c r="B6" s="43"/>
      <c r="C6" s="44"/>
      <c r="D6" s="32" t="s">
        <v>641</v>
      </c>
      <c r="E6" s="33" t="s">
        <v>642</v>
      </c>
    </row>
    <row r="7" s="28" customFormat="1" ht="238" spans="1:5">
      <c r="A7" s="42"/>
      <c r="B7" s="43"/>
      <c r="C7" s="41" t="s">
        <v>643</v>
      </c>
      <c r="D7" s="32" t="s">
        <v>644</v>
      </c>
      <c r="E7" s="33" t="s">
        <v>645</v>
      </c>
    </row>
    <row r="8" s="28" customFormat="1" ht="56" spans="1:5">
      <c r="A8" s="42"/>
      <c r="B8" s="43"/>
      <c r="C8" s="44"/>
      <c r="D8" s="32" t="s">
        <v>646</v>
      </c>
      <c r="E8" s="33" t="s">
        <v>647</v>
      </c>
    </row>
    <row r="9" s="28" customFormat="1" ht="84" spans="1:5">
      <c r="A9" s="42"/>
      <c r="B9" s="43"/>
      <c r="C9" s="44"/>
      <c r="D9" s="32" t="s">
        <v>648</v>
      </c>
      <c r="E9" s="33" t="s">
        <v>649</v>
      </c>
    </row>
    <row r="10" s="28" customFormat="1" ht="28" spans="1:5">
      <c r="A10" s="42"/>
      <c r="B10" s="43"/>
      <c r="C10" s="44"/>
      <c r="D10" s="32" t="s">
        <v>650</v>
      </c>
      <c r="E10" s="33" t="s">
        <v>651</v>
      </c>
    </row>
    <row r="11" s="28" customFormat="1" spans="1:5">
      <c r="A11" s="42"/>
      <c r="B11" s="43"/>
      <c r="C11" s="45"/>
      <c r="D11" s="32" t="s">
        <v>652</v>
      </c>
      <c r="E11" s="33" t="s">
        <v>653</v>
      </c>
    </row>
    <row r="12" s="28" customFormat="1" ht="154" spans="1:5">
      <c r="A12" s="42"/>
      <c r="B12" s="43"/>
      <c r="C12" s="31"/>
      <c r="D12" s="32" t="s">
        <v>654</v>
      </c>
      <c r="E12" s="33" t="s">
        <v>655</v>
      </c>
    </row>
    <row r="13" s="28" customFormat="1" ht="56" spans="1:5">
      <c r="A13" s="42"/>
      <c r="B13" s="43"/>
      <c r="C13" s="46" t="s">
        <v>656</v>
      </c>
      <c r="D13" s="37"/>
      <c r="E13" s="33" t="s">
        <v>657</v>
      </c>
    </row>
    <row r="14" s="28" customFormat="1" ht="84" spans="1:5">
      <c r="A14" s="42"/>
      <c r="B14" s="43"/>
      <c r="C14" s="46" t="s">
        <v>658</v>
      </c>
      <c r="D14" s="37"/>
      <c r="E14" s="33" t="s">
        <v>659</v>
      </c>
    </row>
    <row r="15" s="28" customFormat="1" ht="28" spans="1:5">
      <c r="A15" s="42"/>
      <c r="B15" s="43"/>
      <c r="C15" s="46" t="s">
        <v>660</v>
      </c>
      <c r="D15" s="37"/>
      <c r="E15" s="33" t="s">
        <v>661</v>
      </c>
    </row>
    <row r="16" s="28" customFormat="1" spans="1:5">
      <c r="A16" s="42"/>
      <c r="B16" s="43"/>
      <c r="C16" s="46" t="s">
        <v>662</v>
      </c>
      <c r="D16" s="37"/>
      <c r="E16" s="33"/>
    </row>
    <row r="17" s="28" customFormat="1" spans="1:5">
      <c r="A17" s="42"/>
      <c r="B17" s="43"/>
      <c r="C17" s="46" t="s">
        <v>663</v>
      </c>
      <c r="D17" s="37"/>
      <c r="E17" s="33" t="s">
        <v>664</v>
      </c>
    </row>
    <row r="18" s="28" customFormat="1" spans="1:5">
      <c r="A18" s="42"/>
      <c r="B18" s="43"/>
      <c r="C18" s="41" t="s">
        <v>665</v>
      </c>
      <c r="D18" s="32" t="s">
        <v>666</v>
      </c>
      <c r="E18" s="33" t="s">
        <v>667</v>
      </c>
    </row>
    <row r="19" s="28" customFormat="1" spans="1:5">
      <c r="A19" s="42"/>
      <c r="B19" s="43"/>
      <c r="C19" s="45"/>
      <c r="D19" s="32" t="s">
        <v>668</v>
      </c>
      <c r="E19" s="33" t="s">
        <v>669</v>
      </c>
    </row>
    <row r="20" s="28" customFormat="1" spans="1:5">
      <c r="A20" s="42"/>
      <c r="B20" s="43"/>
      <c r="C20" s="46" t="s">
        <v>670</v>
      </c>
      <c r="D20" s="37"/>
      <c r="E20" s="33"/>
    </row>
    <row r="21" s="28" customFormat="1" spans="1:5">
      <c r="A21" s="42"/>
      <c r="B21" s="43"/>
      <c r="C21" s="46" t="s">
        <v>671</v>
      </c>
      <c r="D21" s="37"/>
      <c r="E21" s="33" t="s">
        <v>672</v>
      </c>
    </row>
    <row r="22" s="28" customFormat="1" ht="28" spans="1:5">
      <c r="A22" s="42"/>
      <c r="B22" s="43"/>
      <c r="C22" s="46" t="s">
        <v>673</v>
      </c>
      <c r="D22" s="47"/>
      <c r="E22" s="33" t="s">
        <v>674</v>
      </c>
    </row>
    <row r="23" s="28" customFormat="1" spans="1:5">
      <c r="A23" s="42"/>
      <c r="B23" s="43"/>
      <c r="C23" s="31" t="s">
        <v>364</v>
      </c>
      <c r="D23" s="31"/>
      <c r="E23" s="33" t="s">
        <v>675</v>
      </c>
    </row>
    <row r="24" s="28" customFormat="1" spans="1:5">
      <c r="A24" s="42"/>
      <c r="B24" s="43"/>
      <c r="C24" s="31" t="s">
        <v>676</v>
      </c>
      <c r="D24" s="31"/>
      <c r="E24" s="33" t="s">
        <v>677</v>
      </c>
    </row>
    <row r="25" s="28" customFormat="1" ht="28" spans="1:5">
      <c r="A25" s="39" t="s">
        <v>439</v>
      </c>
      <c r="B25" s="40" t="s">
        <v>440</v>
      </c>
      <c r="C25" s="44" t="s">
        <v>632</v>
      </c>
      <c r="D25" s="48" t="s">
        <v>678</v>
      </c>
      <c r="E25" s="33" t="s">
        <v>679</v>
      </c>
    </row>
    <row r="26" s="28" customFormat="1" spans="1:5">
      <c r="A26" s="42"/>
      <c r="B26" s="43"/>
      <c r="C26" s="44"/>
      <c r="D26" s="32" t="s">
        <v>680</v>
      </c>
      <c r="E26" s="33" t="s">
        <v>681</v>
      </c>
    </row>
    <row r="27" s="28" customFormat="1" ht="28" spans="1:5">
      <c r="A27" s="42"/>
      <c r="B27" s="43"/>
      <c r="C27" s="44"/>
      <c r="D27" s="32" t="s">
        <v>682</v>
      </c>
      <c r="E27" s="33" t="s">
        <v>683</v>
      </c>
    </row>
    <row r="28" s="28" customFormat="1" ht="42" spans="1:5">
      <c r="A28" s="42"/>
      <c r="B28" s="43"/>
      <c r="C28" s="44"/>
      <c r="D28" s="32" t="s">
        <v>684</v>
      </c>
      <c r="E28" s="33" t="s">
        <v>685</v>
      </c>
    </row>
    <row r="29" s="28" customFormat="1" ht="42" spans="1:5">
      <c r="A29" s="39" t="s">
        <v>435</v>
      </c>
      <c r="B29" s="40" t="s">
        <v>436</v>
      </c>
      <c r="C29" s="41" t="s">
        <v>632</v>
      </c>
      <c r="D29" s="32" t="s">
        <v>633</v>
      </c>
      <c r="E29" s="33" t="s">
        <v>686</v>
      </c>
    </row>
    <row r="30" s="28" customFormat="1" ht="70" spans="1:5">
      <c r="A30" s="42"/>
      <c r="B30" s="43"/>
      <c r="C30" s="44"/>
      <c r="D30" s="32" t="s">
        <v>687</v>
      </c>
      <c r="E30" s="33" t="s">
        <v>688</v>
      </c>
    </row>
    <row r="31" s="28" customFormat="1" spans="1:5">
      <c r="A31" s="42"/>
      <c r="B31" s="43"/>
      <c r="C31" s="44"/>
      <c r="D31" s="32" t="s">
        <v>678</v>
      </c>
      <c r="E31" s="33" t="s">
        <v>689</v>
      </c>
    </row>
    <row r="32" s="28" customFormat="1" ht="28" spans="1:5">
      <c r="A32" s="42"/>
      <c r="B32" s="43"/>
      <c r="C32" s="45"/>
      <c r="D32" s="32" t="s">
        <v>690</v>
      </c>
      <c r="E32" s="33" t="s">
        <v>691</v>
      </c>
    </row>
    <row r="33" s="28" customFormat="1" ht="42" spans="1:5">
      <c r="A33" s="42"/>
      <c r="B33" s="49"/>
      <c r="C33" s="46" t="s">
        <v>643</v>
      </c>
      <c r="D33" s="47"/>
      <c r="E33" s="33" t="s">
        <v>692</v>
      </c>
    </row>
    <row r="34" s="28" customFormat="1" ht="42" spans="1:5">
      <c r="A34" s="42"/>
      <c r="B34" s="50" t="s">
        <v>693</v>
      </c>
      <c r="C34" s="36" t="s">
        <v>643</v>
      </c>
      <c r="D34" s="51"/>
      <c r="E34" s="52" t="s">
        <v>694</v>
      </c>
    </row>
    <row r="35" s="28" customFormat="1" ht="42" spans="1:5">
      <c r="A35" s="53"/>
      <c r="B35" s="54"/>
      <c r="C35" s="36" t="s">
        <v>632</v>
      </c>
      <c r="D35" s="51"/>
      <c r="E35" s="52" t="s">
        <v>695</v>
      </c>
    </row>
    <row r="36" s="28" customFormat="1" spans="1:5">
      <c r="A36" s="39" t="s">
        <v>442</v>
      </c>
      <c r="B36" s="55" t="s">
        <v>696</v>
      </c>
      <c r="C36" s="56"/>
      <c r="D36" s="57"/>
      <c r="E36" s="52" t="s">
        <v>154</v>
      </c>
    </row>
    <row r="37" s="28" customFormat="1" spans="1:5">
      <c r="A37" s="53"/>
      <c r="B37" s="58" t="s">
        <v>697</v>
      </c>
      <c r="C37" s="59"/>
      <c r="D37" s="60"/>
      <c r="E37" s="33" t="s">
        <v>698</v>
      </c>
    </row>
    <row r="38" s="28" customFormat="1" spans="1:5">
      <c r="A38" s="29" t="s">
        <v>444</v>
      </c>
      <c r="B38" s="58" t="s">
        <v>699</v>
      </c>
      <c r="C38" s="59"/>
      <c r="D38" s="60"/>
      <c r="E38" s="33" t="s">
        <v>700</v>
      </c>
    </row>
    <row r="39" s="28" customFormat="1" spans="1:5">
      <c r="A39" s="39" t="s">
        <v>446</v>
      </c>
      <c r="B39" s="40" t="s">
        <v>701</v>
      </c>
      <c r="C39" s="41" t="s">
        <v>632</v>
      </c>
      <c r="D39" s="32" t="s">
        <v>702</v>
      </c>
      <c r="E39" s="33" t="s">
        <v>703</v>
      </c>
    </row>
    <row r="40" s="28" customFormat="1" spans="1:5">
      <c r="A40" s="42"/>
      <c r="B40" s="43"/>
      <c r="C40" s="45"/>
      <c r="D40" s="32" t="s">
        <v>704</v>
      </c>
      <c r="E40" s="33" t="s">
        <v>705</v>
      </c>
    </row>
    <row r="41" s="28" customFormat="1" spans="1:5">
      <c r="A41" s="42"/>
      <c r="B41" s="43"/>
      <c r="C41" s="46" t="s">
        <v>706</v>
      </c>
      <c r="D41" s="47"/>
      <c r="E41" s="33" t="s">
        <v>707</v>
      </c>
    </row>
    <row r="42" s="28" customFormat="1" spans="1:5">
      <c r="A42" s="53"/>
      <c r="B42" s="49"/>
      <c r="C42" s="46" t="s">
        <v>643</v>
      </c>
      <c r="D42" s="47"/>
      <c r="E42" s="33" t="s">
        <v>708</v>
      </c>
    </row>
    <row r="43" s="28" customFormat="1" spans="1:5">
      <c r="A43" s="39" t="s">
        <v>449</v>
      </c>
      <c r="B43" s="50" t="s">
        <v>699</v>
      </c>
      <c r="C43" s="61" t="s">
        <v>709</v>
      </c>
      <c r="D43" s="62"/>
      <c r="E43" s="52" t="s">
        <v>710</v>
      </c>
    </row>
    <row r="44" s="28" customFormat="1" ht="28" spans="1:5">
      <c r="A44" s="42"/>
      <c r="B44" s="54"/>
      <c r="C44" s="61" t="s">
        <v>684</v>
      </c>
      <c r="D44" s="62"/>
      <c r="E44" s="52" t="s">
        <v>711</v>
      </c>
    </row>
    <row r="45" s="28" customFormat="1" spans="1:5">
      <c r="A45" s="53"/>
      <c r="B45" s="58" t="s">
        <v>712</v>
      </c>
      <c r="C45" s="59"/>
      <c r="D45" s="60"/>
      <c r="E45" s="33" t="s">
        <v>174</v>
      </c>
    </row>
    <row r="46" s="28" customFormat="1" spans="1:5">
      <c r="A46" s="39" t="s">
        <v>461</v>
      </c>
      <c r="B46" s="40" t="s">
        <v>713</v>
      </c>
      <c r="C46" s="41" t="s">
        <v>632</v>
      </c>
      <c r="D46" s="32" t="s">
        <v>714</v>
      </c>
      <c r="E46" s="33"/>
    </row>
    <row r="47" s="28" customFormat="1" spans="1:5">
      <c r="A47" s="42"/>
      <c r="B47" s="43"/>
      <c r="C47" s="44"/>
      <c r="D47" s="32" t="s">
        <v>715</v>
      </c>
      <c r="E47" s="33"/>
    </row>
    <row r="48" s="28" customFormat="1" spans="1:5">
      <c r="A48" s="53"/>
      <c r="B48" s="49"/>
      <c r="C48" s="45"/>
      <c r="D48" s="32" t="s">
        <v>684</v>
      </c>
      <c r="E48" s="33" t="s">
        <v>716</v>
      </c>
    </row>
    <row r="49" s="28" customFormat="1" spans="1:5">
      <c r="A49" s="29" t="s">
        <v>456</v>
      </c>
      <c r="B49" s="58" t="s">
        <v>457</v>
      </c>
      <c r="C49" s="59"/>
      <c r="D49" s="60"/>
      <c r="E49" s="33" t="s">
        <v>717</v>
      </c>
    </row>
    <row r="50" s="28" customFormat="1" spans="1:5">
      <c r="A50" s="39" t="s">
        <v>458</v>
      </c>
      <c r="B50" s="58" t="s">
        <v>699</v>
      </c>
      <c r="C50" s="59"/>
      <c r="D50" s="60"/>
      <c r="E50" s="33" t="s">
        <v>718</v>
      </c>
    </row>
    <row r="51" s="28" customFormat="1" spans="1:5">
      <c r="A51" s="53"/>
      <c r="B51" s="58" t="s">
        <v>699</v>
      </c>
      <c r="C51" s="59"/>
      <c r="D51" s="60"/>
      <c r="E51" s="33" t="s">
        <v>187</v>
      </c>
    </row>
    <row r="52" s="28" customFormat="1" spans="1:5">
      <c r="A52" s="29" t="s">
        <v>460</v>
      </c>
      <c r="B52" s="58" t="s">
        <v>699</v>
      </c>
      <c r="C52" s="59"/>
      <c r="D52" s="60"/>
      <c r="E52" s="33"/>
    </row>
    <row r="53" s="28" customFormat="1" spans="1:5">
      <c r="A53" s="39" t="s">
        <v>719</v>
      </c>
      <c r="B53" s="58" t="s">
        <v>699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720</v>
      </c>
    </row>
    <row r="55" s="28" customFormat="1" spans="1:5">
      <c r="A55" s="29" t="s">
        <v>452</v>
      </c>
      <c r="B55" s="30"/>
      <c r="C55" s="31"/>
      <c r="D55" s="32"/>
      <c r="E55" s="33" t="s">
        <v>721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722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723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724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725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726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727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728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729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730</v>
      </c>
      <c r="C20" s="9" t="s">
        <v>731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732</v>
      </c>
      <c r="C21" s="9" t="s">
        <v>733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734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735</v>
      </c>
      <c r="C24" s="22" t="s">
        <v>736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737</v>
      </c>
      <c r="C27" s="22" t="s">
        <v>738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739</v>
      </c>
      <c r="C28" s="22" t="s">
        <v>740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741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742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743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744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745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746</v>
      </c>
      <c r="C40" s="22" t="s">
        <v>747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748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749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750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751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752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753</v>
      </c>
      <c r="C52" s="22" t="s">
        <v>754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755</v>
      </c>
      <c r="C1" s="3" t="s">
        <v>756</v>
      </c>
      <c r="E1" s="3" t="s">
        <v>573</v>
      </c>
      <c r="F1" s="3" t="s">
        <v>757</v>
      </c>
    </row>
    <row r="2" spans="2:6">
      <c r="B2" s="4" t="s">
        <v>758</v>
      </c>
      <c r="C2" s="4">
        <v>13</v>
      </c>
      <c r="E2" s="4" t="s">
        <v>759</v>
      </c>
      <c r="F2" s="4">
        <v>6</v>
      </c>
    </row>
    <row r="3" spans="2:6">
      <c r="B3" s="4" t="s">
        <v>760</v>
      </c>
      <c r="C3" s="4">
        <v>13</v>
      </c>
      <c r="E3" s="4" t="s">
        <v>761</v>
      </c>
      <c r="F3" s="4">
        <v>13</v>
      </c>
    </row>
    <row r="4" spans="2:6">
      <c r="B4" s="4" t="s">
        <v>762</v>
      </c>
      <c r="C4" s="4">
        <v>12</v>
      </c>
      <c r="E4" s="4" t="s">
        <v>629</v>
      </c>
      <c r="F4" s="4">
        <v>4</v>
      </c>
    </row>
    <row r="5" spans="2:6">
      <c r="B5" s="4" t="s">
        <v>763</v>
      </c>
      <c r="C5" s="4">
        <v>2</v>
      </c>
      <c r="E5" s="4" t="s">
        <v>764</v>
      </c>
      <c r="F5" s="4">
        <v>6</v>
      </c>
    </row>
    <row r="6" spans="2:6">
      <c r="B6" s="4" t="s">
        <v>765</v>
      </c>
      <c r="C6" s="4">
        <v>2</v>
      </c>
      <c r="E6" s="4" t="s">
        <v>766</v>
      </c>
      <c r="F6" s="4">
        <v>4</v>
      </c>
    </row>
    <row r="7" spans="2:6">
      <c r="B7" s="4" t="s">
        <v>767</v>
      </c>
      <c r="C7" s="4">
        <v>1</v>
      </c>
      <c r="E7" s="4" t="s">
        <v>768</v>
      </c>
      <c r="F7" s="4">
        <v>1</v>
      </c>
    </row>
    <row r="8" spans="2:6">
      <c r="B8" s="4" t="s">
        <v>769</v>
      </c>
      <c r="C8" s="4">
        <v>4</v>
      </c>
      <c r="E8" s="4" t="s">
        <v>770</v>
      </c>
      <c r="F8" s="4">
        <v>3</v>
      </c>
    </row>
    <row r="9" spans="2:6">
      <c r="E9" s="4" t="s">
        <v>771</v>
      </c>
      <c r="F9" s="4">
        <v>1</v>
      </c>
    </row>
    <row r="10" spans="2:6">
      <c r="E10" s="4" t="s">
        <v>772</v>
      </c>
      <c r="F10" s="4">
        <v>5</v>
      </c>
    </row>
    <row r="11" spans="2:6">
      <c r="E11" s="4" t="s">
        <v>773</v>
      </c>
      <c r="F11" s="4">
        <v>1</v>
      </c>
    </row>
    <row r="12" spans="2:6">
      <c r="E12" s="4" t="s">
        <v>769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2026-05-09T12:45:33Z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