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s\c\"/>
    </mc:Choice>
  </mc:AlternateContent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大事" sheetId="20" r:id="rId6"/>
    <sheet name="外号" sheetId="21" r:id="rId7"/>
    <sheet name="老（旧）" sheetId="22" r:id="rId8"/>
    <sheet name="生（旧）" sheetId="23" r:id="rId9"/>
    <sheet name="统计" sheetId="2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<sst xmlns="http://schemas.openxmlformats.org/spreadsheetml/2006/main" count="892" uniqueCount="648">
  <si>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</si>
  <si>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</si>
  <si>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</si>
  <si>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</si>
  <si>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</si>
  <si>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</si>
  <si>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</si>
  <si>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</si>
  <si>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</si>
  <si>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</si>
  <si>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</si>
  <si>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</si>
  <si>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</si>
  <si>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</si>
  <si>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</si>
  <si>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</si>
  <si>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</si>
  <si>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</si>
  <si>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</si>
  <si>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</si>
  <si>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</si>
  <si>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</si>
  <si>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</si>
  <si>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</si>
  <si>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</si>
  <si>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</si>
  <si>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</si>
  <si>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</si>
  <si>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</si>
  <si>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</si>
  <si>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</si>
  <si>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</si>
  <si>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</si>
  <si>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</si>
  <si>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</si>
  <si>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</si>
  <si>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</si>
  <si>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</si>
  <si>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</si>
  <si>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</si>
  <si>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</si>
  <si>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</si>
  <si>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</si>
  <si>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</si>
  <si>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</si>
  <si>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</si>
  <si>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</si>
  <si>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</si>
  <si>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</si>
  <si>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</si>
  <si>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</si>
  <si>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</si>
  <si>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</si>
  <si>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</si>
  <si>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</si>
  <si>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</si>
  <si>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</si>
  <si>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钓鱼、“没有”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</si>
  <si>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</si>
  <si>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</si>
  <si>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</si>
  <si>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</si>
  <si>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爱国有方讲出陈梦玲的事（洗澡时视频通话）、分手前：让（给）22唱最后一页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</si>
  <si>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</si>
  <si>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</si>
  <si>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</si>
  <si>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</si>
  <si>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</si>
  <si>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</si>
  <si>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</si>
  <si>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</si>
  <si>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</si>
  <si>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</si>
  <si>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</si>
  <si>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</si>
  <si>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</si>
  <si>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</si>
  <si>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</si>
  <si>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</si>
  <si>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</si>
  <si>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</si>
  <si>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</si>
  <si>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</si>
  <si>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</si>
  <si>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</si>
  <si>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</si>
  <si>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</si>
  <si>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</si>
  <si>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</si>
  <si>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</si>
  <si>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</si>
  <si>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</si>
  <si>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</si>
  <si>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</si>
  <si>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</si>
  <si>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</si>
  <si>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</si>
  <si>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</si>
  <si>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</si>
  <si>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</si>
  <si>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</si>
  <si>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</si>
  <si>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</si>
  <si>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</si>
  <si>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</si>
  <si>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</si>
  <si>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</si>
  <si>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</si>
  <si>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</si>
  <si>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</si>
  <si>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的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</si>
  <si>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</si>
  <si>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</si>
  <si>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</si>
  <si>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</si>
  <si>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</si>
  <si>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</si>
  <si>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</si>
  <si>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</si>
  <si>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</si>
  <si>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</si>
  <si>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</si>
  <si>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</si>
  <si>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</si>
  <si>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</si>
  <si>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</si>
  <si>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</si>
  <si>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</si>
  <si>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</si>
  <si>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</si>
  <si>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</si>
  <si>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</si>
  <si>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</si>
  <si>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</si>
  <si>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</si>
  <si>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</si>
  <si>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</si>
  <si>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</si>
  <si>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</si>
  <si>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</si>
  <si>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</si>
  <si>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</si>
  <si>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</si>
  <si>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</si>
  <si>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</si>
  <si>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</si>
  <si>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</si>
  <si>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</si>
  <si>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</si>
  <si>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</si>
  <si>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</si>
  <si>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</si>
  <si>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</si>
  <si>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</si>
  <si>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</si>
  <si>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段长</t>
  </si>
  <si>
    <t>集体</t>
  </si>
  <si>
    <t>F5（画黑板报而认识，成员：孔、雨、允、诗、槿）</t>
  </si>
  <si>
    <t>教室</t>
  </si>
  <si>
    <t>环境</t>
  </si>
  <si>
    <t>换桌子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</si>
  <si>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</si>
  <si>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</si>
  <si>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</si>
  <si>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</si>
  <si>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</si>
  <si>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</si>
  <si>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</si>
  <si>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</si>
  <si>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</si>
  <si>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</si>
  <si>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</si>
  <si>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</si>
  <si>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</si>
  <si>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</si>
  <si>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</si>
  <si>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</si>
  <si>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</si>
  <si>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</si>
  <si>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</si>
  <si>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</si>
  <si>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</si>
  <si>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</si>
  <si>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</si>
  <si>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</si>
  <si>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</si>
  <si>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</si>
  <si>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八上10.13</t>
  </si>
  <si>
    <t>早读课抄物理作业，下午物理书没带，说：“作业夹在书里了”</t>
  </si>
  <si>
    <t>八上12.16</t>
  </si>
  <si>
    <t>物：头都快埋到地板上去了。</t>
  </si>
  <si>
    <t>跑操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</si>
  <si>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</si>
  <si>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</si>
  <si>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</si>
  <si>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</si>
  <si>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</si>
  <si>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</si>
  <si>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</si>
  <si>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</si>
  <si>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</si>
  <si>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</si>
  <si>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</si>
  <si>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</si>
  <si>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</si>
  <si>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</si>
  <si>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</si>
  <si>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</si>
  <si>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</si>
  <si>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</si>
  <si>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江允儿装</t>
  </si>
  <si>
    <t>八上12.26</t>
  </si>
  <si>
    <t>小测A-，“我都没背”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</si>
  <si>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</si>
  <si>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</si>
  <si>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</si>
  <si>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</si>
  <si>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</si>
  <si>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</si>
  <si>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</si>
  <si>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</si>
  <si>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</si>
  <si>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</si>
  <si>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</si>
  <si>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</si>
  <si>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</si>
  <si>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</si>
  <si>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</si>
  <si>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</si>
  <si>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</si>
  <si>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</si>
  <si>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</si>
  <si>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</si>
  <si>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</si>
  <si>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</si>
  <si>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</si>
  <si>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</si>
  <si>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</si>
  <si>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</si>
  <si>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</si>
  <si>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</si>
  <si>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</si>
  <si>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</si>
  <si>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</si>
  <si>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</si>
  <si>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</si>
  <si>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</si>
  <si>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</si>
  <si>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</si>
  <si>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</si>
  <si>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</si>
  <si>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</si>
  <si>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</si>
  <si>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</si>
  <si>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</si>
  <si>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</si>
  <si>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</si>
  <si>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</si>
  <si>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</si>
  <si>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</si>
  <si>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</si>
  <si>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</si>
  <si>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</si>
  <si>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</si>
  <si>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</si>
  <si>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</si>
  <si>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</si>
  <si>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</si>
  <si>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</si>
  <si>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</si>
  <si>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</si>
  <si>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</si>
  <si>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</si>
  <si>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</si>
  <si>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</si>
  <si>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</si>
  <si>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</si>
  <si>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</si>
  <si>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八3.17</t>
  </si>
  <si>
    <t>郑致辰！冷静一下！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</si>
  <si>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</si>
  <si>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</si>
  <si>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</si>
  <si>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</si>
  <si>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</si>
  <si>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</si>
  <si>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</si>
  <si>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</si>
  <si>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</si>
  <si>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</si>
  <si>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</si>
  <si>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</si>
  <si>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</si>
  <si>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</si>
  <si>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</si>
  <si>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</si>
  <si>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</si>
  <si>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首次没收修正带</t>
  </si>
  <si>
    <t>八3.27</t>
  </si>
  <si>
    <t>陈子岩过小测用修正带被发现，问后发现是借季仁槿的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</si>
  <si>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</si>
  <si>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</si>
  <si>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</si>
  <si>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八5.4</t>
  </si>
  <si>
    <t>玩密室。单线任务到走廊尽头拿报告，和一人同行，拿完后NPC出来→“操你妈！{n}”
单线放“借命钱”，多人同行→在最前面甩“桃木剑”</t>
  </si>
  <si>
    <t>刘老师故意安排陈睿卓、俞昕辰坐</t>
  </si>
  <si>
    <t>八5.7</t>
  </si>
  <si>
    <t>（第四组）-如果再坐这么远，以后固定坐在第四组</t>
  </si>
  <si>
    <t>八5.8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</si>
  <si>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</si>
  <si>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</si>
  <si>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</si>
  <si>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</si>
  <si>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</si>
  <si>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</si>
  <si>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</si>
  <si>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</si>
  <si>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</si>
  <si>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</si>
  <si>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</si>
  <si>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</si>
  <si>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</si>
  <si>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</si>
  <si>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</si>
  <si>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</si>
  <si>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</si>
  <si>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</si>
  <si>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</si>
  <si>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</si>
  <si>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</si>
  <si>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</si>
  <si>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</si>
  <si>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</si>
  <si>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</si>
  <si>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</si>
  <si>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</si>
  <si>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</si>
  <si>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</si>
  <si>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</si>
  <si>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</si>
  <si>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</si>
  <si>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</si>
  <si>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</si>
  <si>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</si>
  <si>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</si>
  <si>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</si>
  <si>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</si>
  <si>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</si>
  <si>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</si>
  <si>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</si>
  <si>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</si>
  <si>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</si>
  <si>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</si>
  <si>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</si>
  <si>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</si>
  <si>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</si>
  <si>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</si>
  <si>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</si>
  <si>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</si>
  <si>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</si>
  <si>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</si>
  <si>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</si>
  <si>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</si>
  <si>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</si>
  <si>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</si>
  <si>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</si>
  <si>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</si>
  <si>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</si>
  <si>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</si>
  <si>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</si>
  <si>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</si>
  <si>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</si>
  <si>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</si>
  <si>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</si>
  <si>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</si>
  <si>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</si>
  <si>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年级</t>
  </si>
  <si>
    <t>时间</t>
  </si>
  <si>
    <t>2024.8.29-30</t>
  </si>
  <si>
    <t>到校注册，叶弘毅展示《数学家的眼光》</t>
  </si>
  <si>
    <t>2024.9.2</t>
  </si>
  <si>
    <t>正式开学</t>
  </si>
  <si>
    <t>2024.9.15</t>
  </si>
  <si>
    <t>蒲林豪流口水</t>
  </si>
  <si>
    <t>2024.9.26</t>
  </si>
  <si>
    <t>蒲林豪照镜子被数学老师发现</t>
  </si>
  <si>
    <t>2024.9.29-30</t>
  </si>
  <si>
    <t>运动会</t>
  </si>
  <si>
    <t>2024.10.10</t>
  </si>
  <si>
    <t>么么脆鸡排亮相</t>
  </si>
  <si>
    <t>2024.10.24</t>
  </si>
  <si>
    <t>海带汤虫卵事件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</si>
  <si>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</si>
  <si>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</si>
  <si>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</si>
  <si>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</si>
  <si>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</si>
  <si>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</si>
  <si>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</si>
  <si>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</t>
  </si>
  <si>
    <t>2024.12.2</t>
  </si>
  <si>
    <t>唐家祺发明“笔格啵拉拉”</t>
  </si>
  <si>
    <t>2024.12.19-23</t>
  </si>
  <si>
    <t>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</si>
  <si>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</si>
  <si>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</si>
  <si>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</si>
  <si>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</si>
  <si>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</si>
  <si>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</si>
  <si>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</si>
  <si>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</si>
  <si>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</si>
  <si>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</si>
  <si>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</si>
  <si>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闭学式，“预习”人的生殖</t>
  </si>
  <si>
    <t>2025.2.20</t>
  </si>
  <si>
    <t>刘必艳备注“不要香菜和芹菜”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</si>
  <si>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</si>
  <si>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</si>
  <si>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</si>
  <si>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</si>
  <si>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</si>
  <si>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</si>
  <si>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</si>
  <si>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</si>
  <si>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</si>
  <si>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</si>
  <si>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</si>
  <si>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</si>
  <si>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</si>
  <si>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</si>
  <si>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</si>
  <si>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</si>
  <si>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</si>
  <si>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</si>
  <si>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</si>
  <si>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</si>
  <si>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</si>
  <si>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</si>
  <si>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</si>
  <si>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</si>
  <si>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</si>
  <si>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</si>
  <si>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</si>
  <si>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</si>
  <si>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</si>
  <si>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</si>
  <si>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</si>
  <si>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</si>
  <si>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</si>
  <si>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</si>
  <si>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</si>
  <si>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</si>
  <si>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</si>
  <si>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</si>
  <si>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</si>
  <si>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</si>
  <si>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</si>
  <si>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</si>
  <si>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</si>
  <si>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</si>
  <si>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</si>
  <si>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</si>
  <si>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语文老师唱《得道多助，失道寡助》</t>
  </si>
  <si>
    <t>2025.12.31</t>
  </si>
  <si>
    <t>元旦汇演，小品出现3个梗</t>
  </si>
  <si>
    <t>2026.1.4</t>
  </si>
  <si>
    <t>陈睿卓：“我都去过了。”</t>
  </si>
  <si>
    <t>2026.1.20</t>
  </si>
  <si>
    <t>语文辩论赛</t>
  </si>
  <si>
    <t>2026.3.18</t>
  </si>
  <si>
    <t>政治课事件</t>
  </si>
  <si>
    <t>2026.3.27</t>
  </si>
  <si>
    <t>“班级宠物”制度施行</t>
  </si>
  <si>
    <t>2026.4.7</t>
  </si>
  <si>
    <t>晚托改为背地理生物；地理打卡</t>
  </si>
  <si>
    <t>2026.4.17</t>
  </si>
  <si>
    <t>洪鑫洋喝酒</t>
  </si>
  <si>
    <t>2026.4.30</t>
  </si>
  <si>
    <t>生物实验会考</t>
  </si>
  <si>
    <t>2026.5.20</t>
  </si>
  <si>
    <t>方翔给大家棒棒糖</t>
  </si>
  <si>
    <t>2026.5.26</t>
  </si>
  <si>
    <t>郑永泽播放MV，叶弘毅安装网易云音乐，流氓软件出现</t>
  </si>
  <si>
    <t>2026.5.28</t>
  </si>
  <si>
    <t>霸者天下亮相</t>
  </si>
  <si>
    <t>2026.6.4</t>
  </si>
  <si>
    <t>维京传奇亮相</t>
  </si>
  <si>
    <t>2026.6.12</t>
  </si>
  <si>
    <t>年糕壁纸被点开</t>
  </si>
  <si>
    <t>2026.6.13</t>
  </si>
  <si>
    <t>语文老师送泡泡棒</t>
  </si>
  <si>
    <t>2026.6.18</t>
  </si>
  <si>
    <t>电脑计时破24小时</t>
  </si>
  <si>
    <t>2026.6.23</t>
  </si>
  <si>
    <t>小中考</t>
  </si>
  <si>
    <t>2026.6.26</t>
  </si>
  <si>
    <t>“拍黄瓜”事件</t>
  </si>
  <si>
    <t>2026..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</si>
  <si>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</si>
  <si>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</si>
  <si>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</si>
  <si>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</si>
  <si>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</si>
  <si>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</si>
  <si>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</si>
  <si>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</si>
  <si>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</si>
  <si>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</si>
  <si>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</si>
  <si>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</si>
  <si>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</si>
  <si>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</si>
  <si>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</si>
  <si>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</si>
  <si>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</si>
  <si>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</si>
  <si>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</si>
  <si>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</si>
  <si>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</si>
  <si>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</si>
  <si>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</si>
  <si>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</si>
  <si>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</si>
  <si>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</si>
  <si>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</si>
  <si>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</si>
  <si>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</si>
  <si>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</si>
  <si>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</si>
  <si>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</si>
  <si>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</si>
  <si>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</si>
  <si>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</si>
  <si>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</si>
  <si>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</si>
  <si>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</si>
  <si>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</si>
  <si>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</si>
  <si>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</si>
  <si>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</si>
  <si>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</si>
  <si>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</si>
  <si>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</si>
  <si>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</si>
  <si>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</si>
  <si>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</si>
  <si>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</si>
  <si>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</si>
  <si>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</si>
  <si>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</si>
  <si>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</si>
  <si>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</si>
  <si>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</si>
  <si>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</si>
  <si>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</si>
  <si>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</si>
  <si>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</si>
  <si>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</si>
  <si>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</si>
  <si>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</si>
  <si>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</si>
  <si>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</si>
  <si>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</si>
  <si>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</si>
  <si>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</si>
  <si>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</si>
  <si>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</si>
  <si>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</si>
  <si>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</si>
  <si>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</si>
  <si>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</si>
  <si>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</si>
  <si>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</si>
  <si>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</si>
  <si>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</si>
  <si>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</si>
  <si>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</si>
  <si>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</si>
  <si>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</si>
  <si>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</si>
  <si>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</si>
  <si>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</si>
  <si>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</si>
  <si>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</si>
  <si>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</si>
  <si>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</si>
  <si>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</si>
  <si>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</si>
  <si>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</si>
  <si>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</si>
  <si>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</si>
  <si>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</si>
  <si>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</si>
  <si>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</si>
  <si>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</si>
  <si>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</si>
  <si>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</si>
  <si>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</si>
  <si>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</si>
  <si>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</si>
  <si>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70分以上做素养提升；考试不及格/没进步3分以上每节课抄知识点。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</si>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</sst>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0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华文仿宋"/>
      <charset val="134"/>
    </font>
  </fonts>
  <fills count="5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21" borderId="17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8" applyNumberFormat="0" applyFill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1" fillId="0" borderId="1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22" borderId="20" applyNumberFormat="0" applyAlignment="0" applyProtection="0">
      <alignment vertical="center"/>
    </xf>
    <xf numFmtId="0" fontId="33" fillId="23" borderId="21" applyNumberFormat="0" applyAlignment="0" applyProtection="0">
      <alignment vertical="center"/>
    </xf>
    <xf numFmtId="0" fontId="34" fillId="23" borderId="20" applyNumberFormat="0" applyAlignment="0" applyProtection="0">
      <alignment vertical="center"/>
    </xf>
    <xf numFmtId="0" fontId="35" fillId="24" borderId="22" applyNumberFormat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37" fillId="0" borderId="24" applyNumberFormat="0" applyFill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3" fillId="0" borderId="0">
      <alignment vertical="center"/>
    </xf>
  </cellStyleXfs>
  <cellXfs count="200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vertical="center" wrapText="1"/>
    </xf>
    <xf numFmtId="0" fontId="6" fillId="9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0" fontId="7" fillId="12" borderId="4" xfId="0" applyFont="1" applyFill="1" applyBorder="1" applyAlignment="1">
      <alignment horizontal="center" vertical="center" wrapText="1"/>
    </xf>
    <xf numFmtId="0" fontId="8" fillId="13" borderId="4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7" fillId="11" borderId="7" xfId="0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6" borderId="4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7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1" fillId="0" borderId="3" xfId="0" applyFont="1" applyBorder="1">
      <alignment vertical="center"/>
    </xf>
    <xf numFmtId="0" fontId="12" fillId="10" borderId="14" xfId="0" applyFont="1" applyFill="1" applyBorder="1" applyAlignment="1">
      <alignment horizontal="center" vertical="center"/>
    </xf>
    <xf numFmtId="0" fontId="13" fillId="3" borderId="15" xfId="0" applyFont="1" applyFill="1" applyBorder="1" applyAlignment="1">
      <alignment horizontal="center" vertical="center"/>
    </xf>
    <xf numFmtId="0" fontId="14" fillId="18" borderId="3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13" fillId="16" borderId="15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14" fillId="18" borderId="16" xfId="0" applyFont="1" applyFill="1" applyBorder="1" applyAlignment="1">
      <alignment horizontal="center" vertical="center"/>
    </xf>
    <xf numFmtId="0" fontId="14" fillId="18" borderId="13" xfId="0" applyFont="1" applyFill="1" applyBorder="1" applyAlignment="1">
      <alignment horizontal="center" vertical="center"/>
    </xf>
    <xf numFmtId="0" fontId="14" fillId="9" borderId="1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8" borderId="5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8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8" borderId="7" xfId="0" applyFont="1" applyFill="1" applyBorder="1" applyAlignment="1">
      <alignment horizontal="center" vertical="center"/>
    </xf>
    <xf numFmtId="0" fontId="1" fillId="17" borderId="5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7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17" fillId="19" borderId="0" xfId="0" applyFont="1" applyFill="1" applyAlignment="1">
      <alignment horizontal="center" vertical="center"/>
    </xf>
    <xf numFmtId="0" fontId="18" fillId="19" borderId="0" xfId="0" applyFont="1" applyFill="1" applyAlignment="1">
      <alignment horizontal="center" vertical="center"/>
    </xf>
    <xf numFmtId="0" fontId="15" fillId="19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15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16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15" fillId="18" borderId="0" xfId="0" applyFont="1" applyFill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5" fillId="15" borderId="1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9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1" fillId="0" borderId="4" xfId="0" applyFont="1" applyBorder="1">
      <alignment vertical="center"/>
    </xf>
    <xf numFmtId="0" fontId="20" fillId="20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6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vertical="center" wrapText="1"/>
    </xf>
    <xf numFmtId="0" fontId="22" fillId="3" borderId="4" xfId="0" applyFont="1" applyFill="1" applyBorder="1" applyAlignment="1">
      <alignment horizontal="center" vertical="center" wrapText="1"/>
    </xf>
    <xf numFmtId="0" fontId="22" fillId="10" borderId="4" xfId="0" applyFont="1" applyFill="1" applyBorder="1" applyAlignment="1">
      <alignment horizontal="left" vertical="center" wrapText="1"/>
    </xf>
    <xf numFmtId="0" fontId="21" fillId="6" borderId="4" xfId="0" applyFont="1" applyFill="1" applyBorder="1" applyAlignment="1">
      <alignment vertical="center" wrapText="1"/>
    </xf>
    <xf numFmtId="0" fontId="22" fillId="12" borderId="4" xfId="0" applyFont="1" applyFill="1" applyBorder="1" applyAlignment="1">
      <alignment horizontal="center" vertical="center" wrapText="1"/>
    </xf>
    <xf numFmtId="0" fontId="22" fillId="17" borderId="4" xfId="0" applyFont="1" applyFill="1" applyBorder="1" applyAlignment="1">
      <alignment horizontal="center" vertical="center" wrapText="1"/>
    </xf>
    <xf numFmtId="0" fontId="21" fillId="6" borderId="4" xfId="0" applyFont="1" applyFill="1" applyBorder="1" applyAlignment="1">
      <alignment horizontal="center" vertical="center" wrapText="1"/>
    </xf>
    <xf numFmtId="0" fontId="22" fillId="11" borderId="4" xfId="0" applyFont="1" applyFill="1" applyBorder="1" applyAlignment="1">
      <alignment horizontal="center" vertical="center" wrapText="1"/>
    </xf>
    <xf numFmtId="0" fontId="22" fillId="2" borderId="4" xfId="0" applyFont="1" applyFill="1" applyBorder="1" applyAlignment="1">
      <alignment horizontal="left" vertical="center" wrapText="1"/>
    </xf>
    <xf numFmtId="0" fontId="22" fillId="10" borderId="4" xfId="0" applyFont="1" applyFill="1" applyBorder="1" applyAlignment="1">
      <alignment vertical="center" wrapText="1"/>
    </xf>
    <xf numFmtId="0" fontId="22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58"/>
  <sheetViews>
    <sheetView tabSelected="1" zoomScale="70" zoomScaleNormal="70" topLeftCell="A5" workbookViewId="0">
      <selection activeCell="H5" sqref="H5"/>
    </sheetView>
  </sheetViews>
  <sheetFormatPr defaultColWidth="8.72727272727273" defaultRowHeight="14"/>
  <cols>
    <col min="1" max="1" width="7.59090909090909" style="190" customWidth="1"/>
    <col min="2" max="7" width="25.8727272727273" style="191" customWidth="1"/>
    <col min="8" max="10" width="16.6818181818182" style="192" customWidth="1"/>
    <col min="11" max="11" width="19.6090909090909" style="189" customWidth="1"/>
    <col min="12" max="12" width="17.9181818181818" style="189" customWidth="1"/>
    <col min="13" max="16384" width="8.72727272727273" style="189"/>
  </cols>
  <sheetData>
    <row r="1" s="188" customFormat="1" spans="1:10">
      <c r="A1" s="193" t="s">
        <v>0</v>
      </c>
      <c r="B1" s="194" t="s">
        <v>1</v>
      </c>
      <c r="C1" s="194" t="s">
        <v>2</v>
      </c>
      <c r="D1" s="194" t="s">
        <v>3</v>
      </c>
      <c r="E1" s="194" t="s">
        <v>4</v>
      </c>
      <c r="F1" s="194" t="s">
        <v>5</v>
      </c>
      <c r="G1" s="194" t="s">
        <v>6</v>
      </c>
      <c r="H1" s="195"/>
      <c r="I1" s="195"/>
      <c r="J1" s="195"/>
    </row>
    <row r="2" spans="1:10">
      <c r="A2" s="196" t="s">
        <v>7</v>
      </c>
      <c r="B2" s="191" t="s">
        <v>8</v>
      </c>
      <c r="C2" s="191" t="s">
        <v>9</v>
      </c>
    </row>
    <row r="3" ht="52" spans="1:10">
      <c r="A3" s="196" t="s">
        <v>10</v>
      </c>
      <c r="C3" s="191" t="s">
        <v>11</v>
      </c>
      <c r="D3" s="191" t="s">
        <v>12</v>
      </c>
    </row>
    <row r="4" ht="26" spans="1:10">
      <c r="A4" s="196" t="s">
        <v>13</v>
      </c>
      <c r="D4" s="191" t="s">
        <v>14</v>
      </c>
    </row>
    <row r="5" ht="70" spans="1:10">
      <c r="A5" s="196" t="s">
        <v>15</v>
      </c>
      <c r="C5" s="191" t="s">
        <v>16</v>
      </c>
      <c r="D5" s="191" t="s">
        <v>17</v>
      </c>
      <c r="H5" s="192" t="s">
        <v>18</v>
      </c>
    </row>
    <row r="6" spans="1:10">
      <c r="A6" s="196" t="s">
        <v>19</v>
      </c>
      <c r="C6" s="191" t="s">
        <v>20</v>
      </c>
    </row>
    <row r="7" ht="221" spans="1:10">
      <c r="A7" s="196" t="s">
        <v>21</v>
      </c>
      <c r="B7" s="191" t="s">
        <v>22</v>
      </c>
      <c r="C7" s="191" t="s">
        <v>23</v>
      </c>
      <c r="D7" s="191" t="s">
        <v>24</v>
      </c>
    </row>
    <row r="8" ht="26" spans="1:10">
      <c r="A8" s="196" t="s">
        <v>25</v>
      </c>
      <c r="D8" s="191" t="s">
        <v>26</v>
      </c>
    </row>
    <row r="9" spans="1:10">
      <c r="A9" s="196" t="s">
        <v>27</v>
      </c>
    </row>
    <row r="10" spans="1:10">
      <c r="A10" s="196" t="s">
        <v>28</v>
      </c>
      <c r="B10" s="191" t="s">
        <v>29</v>
      </c>
    </row>
    <row r="11" spans="1:10">
      <c r="A11" s="196" t="s">
        <v>30</v>
      </c>
    </row>
    <row r="12" spans="1:10">
      <c r="A12" s="196" t="s">
        <v>31</v>
      </c>
      <c r="E12" s="191" t="s">
        <v>32</v>
      </c>
    </row>
    <row r="13" ht="39" spans="1:10">
      <c r="A13" s="196" t="s">
        <v>33</v>
      </c>
      <c r="D13" s="191" t="s">
        <v>34</v>
      </c>
      <c r="F13" s="191" t="s">
        <v>35</v>
      </c>
    </row>
    <row r="14" spans="1:10">
      <c r="A14" s="196" t="s">
        <v>36</v>
      </c>
      <c r="B14" s="191" t="s">
        <v>37</v>
      </c>
    </row>
    <row r="15" spans="1:10">
      <c r="A15" s="196" t="s">
        <v>38</v>
      </c>
    </row>
    <row r="16" ht="56" spans="1:10">
      <c r="A16" s="196" t="s">
        <v>39</v>
      </c>
      <c r="B16" s="191" t="s">
        <v>40</v>
      </c>
      <c r="C16" s="191" t="s">
        <v>41</v>
      </c>
      <c r="H16" s="192" t="s">
        <v>42</v>
      </c>
    </row>
    <row r="17" ht="26" spans="1:8">
      <c r="A17" s="196" t="s">
        <v>43</v>
      </c>
      <c r="C17" s="191" t="s">
        <v>44</v>
      </c>
    </row>
    <row r="18" spans="1:8">
      <c r="A18" s="196" t="s">
        <v>45</v>
      </c>
      <c r="D18" s="191" t="s">
        <v>46</v>
      </c>
    </row>
    <row r="19" ht="42" spans="1:8">
      <c r="A19" s="196" t="s">
        <v>47</v>
      </c>
      <c r="D19" s="191" t="s">
        <v>48</v>
      </c>
      <c r="E19" s="191" t="s">
        <v>32</v>
      </c>
      <c r="H19" s="192" t="s">
        <v>49</v>
      </c>
    </row>
    <row r="20" ht="26" spans="1:8">
      <c r="A20" s="196" t="s">
        <v>50</v>
      </c>
      <c r="B20" s="191" t="s">
        <v>51</v>
      </c>
      <c r="C20" s="191" t="s">
        <v>52</v>
      </c>
    </row>
    <row r="21" ht="52" spans="1:8">
      <c r="A21" s="196" t="s">
        <v>53</v>
      </c>
      <c r="B21" s="191" t="s">
        <v>54</v>
      </c>
      <c r="C21" s="191" t="s">
        <v>55</v>
      </c>
      <c r="D21" s="191" t="s">
        <v>56</v>
      </c>
      <c r="E21" s="191" t="s">
        <v>57</v>
      </c>
    </row>
    <row r="22" spans="1:8">
      <c r="A22" s="196" t="s">
        <v>58</v>
      </c>
    </row>
    <row r="23" ht="84" spans="1:8">
      <c r="A23" s="196" t="s">
        <v>59</v>
      </c>
      <c r="B23" s="191" t="s">
        <v>60</v>
      </c>
      <c r="E23" s="191" t="s">
        <v>61</v>
      </c>
      <c r="H23" s="192" t="s">
        <v>62</v>
      </c>
    </row>
    <row r="24" ht="52" spans="1:8">
      <c r="A24" s="196" t="s">
        <v>63</v>
      </c>
      <c r="B24" s="191" t="s">
        <v>64</v>
      </c>
      <c r="C24" s="191" t="s">
        <v>65</v>
      </c>
      <c r="D24" s="191" t="s">
        <v>66</v>
      </c>
      <c r="E24" s="191" t="s">
        <v>67</v>
      </c>
    </row>
    <row r="25" spans="1:8">
      <c r="A25" s="196" t="s">
        <v>68</v>
      </c>
    </row>
    <row r="26" spans="1:8">
      <c r="A26" s="196" t="s">
        <v>69</v>
      </c>
    </row>
    <row r="27" spans="1:8">
      <c r="A27" s="196" t="s">
        <v>70</v>
      </c>
      <c r="B27" s="191" t="s">
        <v>71</v>
      </c>
      <c r="C27" s="191" t="s">
        <v>72</v>
      </c>
      <c r="E27" s="191" t="s">
        <v>73</v>
      </c>
    </row>
    <row r="28" ht="91" spans="1:8">
      <c r="A28" s="196" t="s">
        <v>74</v>
      </c>
      <c r="B28" s="191" t="s">
        <v>75</v>
      </c>
      <c r="C28" s="191" t="s">
        <v>76</v>
      </c>
      <c r="D28" s="191" t="s">
        <v>77</v>
      </c>
      <c r="E28" s="191" t="s">
        <v>78</v>
      </c>
    </row>
    <row r="29" ht="42" spans="1:8">
      <c r="A29" s="196" t="s">
        <v>79</v>
      </c>
      <c r="E29" s="191" t="s">
        <v>80</v>
      </c>
      <c r="H29" s="192" t="s">
        <v>81</v>
      </c>
    </row>
    <row r="30" spans="1:8">
      <c r="A30" s="196" t="s">
        <v>82</v>
      </c>
      <c r="B30" s="191" t="s">
        <v>83</v>
      </c>
      <c r="C30" s="191" t="s">
        <v>84</v>
      </c>
    </row>
    <row r="31" spans="1:8">
      <c r="A31" s="196" t="s">
        <v>85</v>
      </c>
    </row>
    <row r="32" spans="1:8">
      <c r="A32" s="196" t="s">
        <v>86</v>
      </c>
    </row>
    <row r="33" spans="1:12">
      <c r="A33" s="196" t="s">
        <v>87</v>
      </c>
    </row>
    <row r="34" spans="1:12">
      <c r="A34" s="196" t="s">
        <v>88</v>
      </c>
    </row>
    <row r="35" spans="1:12">
      <c r="A35" s="196" t="s">
        <v>89</v>
      </c>
    </row>
    <row r="36" spans="1:12">
      <c r="A36" s="196" t="s">
        <v>90</v>
      </c>
      <c r="B36" s="191" t="s">
        <v>91</v>
      </c>
    </row>
    <row r="37" ht="26" spans="1:12">
      <c r="A37" s="196" t="s">
        <v>92</v>
      </c>
      <c r="C37" s="191" t="s">
        <v>93</v>
      </c>
      <c r="D37" s="191" t="s">
        <v>94</v>
      </c>
    </row>
    <row r="38" spans="1:12">
      <c r="A38" s="196" t="s">
        <v>95</v>
      </c>
      <c r="B38" s="191" t="s">
        <v>96</v>
      </c>
      <c r="C38" s="197"/>
      <c r="D38" s="197"/>
      <c r="E38" s="197"/>
      <c r="F38" s="197"/>
      <c r="G38" s="197"/>
    </row>
    <row r="39" ht="26" spans="1:12">
      <c r="A39" s="196" t="s">
        <v>97</v>
      </c>
      <c r="C39" s="191" t="s">
        <v>98</v>
      </c>
      <c r="D39" s="191" t="s">
        <v>99</v>
      </c>
      <c r="E39" s="191" t="s">
        <v>100</v>
      </c>
    </row>
    <row r="40" ht="252" spans="1:12">
      <c r="A40" s="196" t="s">
        <v>101</v>
      </c>
      <c r="B40" s="191" t="s">
        <v>102</v>
      </c>
      <c r="C40" s="191" t="s">
        <v>103</v>
      </c>
      <c r="D40" s="191" t="s">
        <v>104</v>
      </c>
      <c r="F40" s="191" t="s">
        <v>105</v>
      </c>
      <c r="H40" s="192" t="s">
        <v>106</v>
      </c>
      <c r="I40" s="192" t="s">
        <v>107</v>
      </c>
    </row>
    <row r="41" s="189" customFormat="1" ht="208" spans="1:12">
      <c r="A41" s="196" t="s">
        <v>108</v>
      </c>
      <c r="B41" s="191"/>
      <c r="C41" s="191" t="s">
        <v>109</v>
      </c>
      <c r="D41" s="191" t="s">
        <v>110</v>
      </c>
      <c r="E41" s="191" t="s">
        <v>111</v>
      </c>
      <c r="F41" s="191"/>
      <c r="G41" s="191"/>
      <c r="H41" s="192" t="s">
        <v>112</v>
      </c>
      <c r="I41" s="192" t="s">
        <v>113</v>
      </c>
      <c r="J41" s="192" t="s">
        <v>114</v>
      </c>
      <c r="K41" s="189" t="s">
        <v>115</v>
      </c>
      <c r="L41" s="189" t="s">
        <v>116</v>
      </c>
    </row>
    <row r="42" spans="1:12">
      <c r="A42" s="196" t="s">
        <v>117</v>
      </c>
    </row>
    <row r="43" ht="28" spans="1:12">
      <c r="A43" s="196" t="s">
        <v>118</v>
      </c>
      <c r="B43" s="191" t="s">
        <v>119</v>
      </c>
      <c r="E43" s="191" t="s">
        <v>120</v>
      </c>
      <c r="H43" s="192" t="s">
        <v>121</v>
      </c>
    </row>
    <row r="44" ht="26" spans="1:12">
      <c r="A44" s="196" t="s">
        <v>122</v>
      </c>
      <c r="B44" s="191" t="s">
        <v>123</v>
      </c>
    </row>
    <row r="45" ht="26" spans="1:12">
      <c r="A45" s="196" t="s">
        <v>124</v>
      </c>
      <c r="C45" s="191" t="s">
        <v>125</v>
      </c>
      <c r="D45" s="191" t="s">
        <v>126</v>
      </c>
      <c r="E45" s="191" t="s">
        <v>127</v>
      </c>
    </row>
    <row r="46" spans="1:12">
      <c r="A46" s="196" t="s">
        <v>128</v>
      </c>
    </row>
    <row r="47" spans="1:12">
      <c r="A47" s="196" t="s">
        <v>129</v>
      </c>
      <c r="D47" s="191" t="s">
        <v>130</v>
      </c>
    </row>
    <row r="48" ht="42" spans="1:12">
      <c r="A48" s="196" t="s">
        <v>131</v>
      </c>
      <c r="C48" s="191" t="s">
        <v>132</v>
      </c>
      <c r="D48" s="191" t="s">
        <v>133</v>
      </c>
      <c r="H48" s="192" t="s">
        <v>134</v>
      </c>
    </row>
    <row r="49" spans="1:5">
      <c r="A49" s="196" t="s">
        <v>135</v>
      </c>
      <c r="E49" s="191" t="s">
        <v>136</v>
      </c>
    </row>
    <row r="50" ht="78" spans="1:5">
      <c r="A50" s="196" t="s">
        <v>137</v>
      </c>
      <c r="C50" s="191" t="s">
        <v>138</v>
      </c>
    </row>
    <row r="51" spans="1:5">
      <c r="A51" s="196" t="s">
        <v>139</v>
      </c>
    </row>
    <row r="52" ht="26" spans="1:5">
      <c r="A52" s="196" t="s">
        <v>140</v>
      </c>
      <c r="B52" s="191" t="s">
        <v>141</v>
      </c>
      <c r="C52" s="191" t="s">
        <v>142</v>
      </c>
      <c r="E52" s="191" t="s">
        <v>143</v>
      </c>
    </row>
    <row r="53" ht="65" spans="1:5">
      <c r="A53" s="190" t="s">
        <v>144</v>
      </c>
      <c r="B53" s="198" t="s">
        <v>145</v>
      </c>
      <c r="C53" s="198"/>
      <c r="D53" s="191" t="s">
        <v>146</v>
      </c>
    </row>
    <row r="54" ht="117" spans="1:5">
      <c r="A54" s="190" t="s">
        <v>147</v>
      </c>
      <c r="B54" s="198" t="s">
        <v>148</v>
      </c>
      <c r="C54" s="198" t="s">
        <v>149</v>
      </c>
      <c r="D54" s="191" t="s">
        <v>150</v>
      </c>
    </row>
    <row r="55" ht="78" spans="1:5">
      <c r="A55" s="190" t="s">
        <v>151</v>
      </c>
      <c r="B55" s="197"/>
      <c r="C55" s="197"/>
      <c r="D55" s="191" t="s">
        <v>152</v>
      </c>
    </row>
    <row r="56" spans="1:5">
      <c r="A56" s="190" t="s">
        <v>153</v>
      </c>
      <c r="B56" s="198" t="s">
        <v>154</v>
      </c>
      <c r="C56" s="198"/>
    </row>
    <row r="57" spans="1:5">
      <c r="A57" s="190" t="s">
        <v>155</v>
      </c>
      <c r="B57" s="198"/>
      <c r="C57" s="198"/>
    </row>
    <row r="58" ht="26" spans="1:5">
      <c r="A58" s="199" t="s">
        <v>156</v>
      </c>
      <c r="B58" s="191" t="s">
        <v>157</v>
      </c>
    </row>
  </sheetData>
  <mergeCells count="2">
    <mergeCell ref="C38:G38"/>
    <mergeCell ref="B55:C55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47"/>
  <sheetViews>
    <sheetView zoomScale="175" zoomScaleNormal="175" topLeftCell="A16" workbookViewId="0">
      <selection activeCell="B9" sqref="B9"/>
    </sheetView>
  </sheetViews>
  <sheetFormatPr defaultColWidth="8.72727272727273" defaultRowHeight="14" outlineLevelCol="6"/>
  <cols>
    <col min="1" max="1" width="6.64545454545455" style="183" customWidth="1"/>
    <col min="2" max="2" width="32.6181818181818" style="89" customWidth="1"/>
    <col min="3" max="7" width="16.4909090909091" style="89" customWidth="1"/>
    <col min="8" max="16384" width="8.72727272727273" style="184"/>
  </cols>
  <sheetData>
    <row r="1" spans="1:7">
      <c r="A1" s="185"/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</row>
    <row r="2" s="182" customFormat="1" spans="1:7">
      <c r="A2" s="186" t="s">
        <v>158</v>
      </c>
      <c r="B2" s="101"/>
      <c r="C2" s="101"/>
      <c r="D2" s="101"/>
      <c r="E2" s="101"/>
      <c r="F2" s="101"/>
      <c r="G2" s="101"/>
    </row>
    <row r="3" spans="1:7">
      <c r="A3" s="187" t="s">
        <v>159</v>
      </c>
      <c r="C3" s="89" t="s">
        <v>160</v>
      </c>
    </row>
    <row r="4" spans="1:7">
      <c r="A4" s="187" t="s">
        <v>161</v>
      </c>
      <c r="C4" s="89" t="s">
        <v>162</v>
      </c>
      <c r="D4" s="89" t="s">
        <v>163</v>
      </c>
    </row>
    <row r="5" spans="1:7">
      <c r="A5" s="187" t="s">
        <v>164</v>
      </c>
      <c r="B5" s="89" t="s">
        <v>165</v>
      </c>
      <c r="D5" s="89" t="s">
        <v>166</v>
      </c>
    </row>
    <row r="6" spans="1:7">
      <c r="A6" s="187" t="s">
        <v>167</v>
      </c>
      <c r="B6" s="89" t="s">
        <v>168</v>
      </c>
    </row>
    <row r="7" spans="1:7">
      <c r="A7" s="187"/>
      <c r="D7" s="89" t="s">
        <v>169</v>
      </c>
    </row>
    <row r="8" spans="1:7">
      <c r="A8" s="187"/>
    </row>
    <row r="9" spans="1:7">
      <c r="A9" s="187"/>
      <c r="B9" s="89" t="s">
        <v>170</v>
      </c>
    </row>
    <row r="10" spans="1:7">
      <c r="A10" s="187"/>
    </row>
    <row r="11" spans="1:7">
      <c r="A11" s="187"/>
      <c r="B11" s="89" t="s">
        <v>171</v>
      </c>
    </row>
    <row r="12" spans="1:7">
      <c r="A12" s="187"/>
      <c r="B12" s="89" t="s">
        <v>172</v>
      </c>
    </row>
    <row r="13" spans="1:7">
      <c r="A13" s="187"/>
      <c r="B13" s="89" t="s">
        <v>173</v>
      </c>
    </row>
    <row r="14" spans="1:7">
      <c r="A14" s="187"/>
      <c r="B14" s="89" t="s">
        <v>174</v>
      </c>
    </row>
    <row r="15" ht="26" spans="1:7">
      <c r="A15" s="187"/>
      <c r="B15" s="101" t="s">
        <v>175</v>
      </c>
    </row>
    <row r="16" spans="1:7">
      <c r="A16" s="187"/>
      <c r="B16" s="89" t="s">
        <v>176</v>
      </c>
    </row>
    <row r="17" spans="1:2">
      <c r="A17" s="187"/>
      <c r="B17" s="89" t="s">
        <v>177</v>
      </c>
    </row>
    <row r="18" spans="1:2">
      <c r="A18" s="187"/>
      <c r="B18" s="89" t="s">
        <v>178</v>
      </c>
    </row>
    <row r="19" spans="1:2">
      <c r="A19" s="187"/>
      <c r="B19" s="89" t="s">
        <v>179</v>
      </c>
    </row>
    <row r="20" spans="1:2">
      <c r="A20" s="187"/>
      <c r="B20" s="89" t="s">
        <v>180</v>
      </c>
    </row>
    <row r="21" spans="1:2">
      <c r="A21" s="187"/>
    </row>
    <row r="22" spans="1:2">
      <c r="A22" s="187"/>
    </row>
    <row r="23" spans="1:2">
      <c r="A23" s="187"/>
    </row>
    <row r="24" spans="1:2">
      <c r="A24" s="187"/>
    </row>
    <row r="25" spans="1:2">
      <c r="A25" s="187"/>
    </row>
    <row r="26" spans="1:2">
      <c r="A26" s="187"/>
    </row>
    <row r="27" spans="1:2">
      <c r="A27" s="187"/>
    </row>
    <row r="28" spans="1:2">
      <c r="A28" s="187"/>
    </row>
    <row r="29" spans="1:2">
      <c r="A29" s="187"/>
    </row>
    <row r="30" spans="1:2">
      <c r="A30" s="187"/>
    </row>
    <row r="31" spans="1:2">
      <c r="A31" s="187"/>
    </row>
    <row r="32" spans="1:2">
      <c r="A32" s="187"/>
    </row>
    <row r="33" spans="1:7">
      <c r="A33" s="187"/>
    </row>
    <row r="34" spans="1:7">
      <c r="A34" s="187"/>
      <c r="B34" s="101"/>
      <c r="C34" s="101"/>
      <c r="D34" s="101"/>
      <c r="E34" s="101"/>
      <c r="F34" s="101"/>
      <c r="G34" s="101"/>
    </row>
    <row r="35" spans="1:7">
      <c r="A35" s="187"/>
      <c r="B35" s="101"/>
      <c r="C35" s="101"/>
      <c r="D35" s="101"/>
      <c r="E35" s="101"/>
      <c r="F35" s="101"/>
      <c r="G35" s="101"/>
    </row>
    <row r="36" spans="1:7">
      <c r="A36" s="187"/>
    </row>
    <row r="37" spans="1:7">
      <c r="A37" s="187"/>
    </row>
    <row r="38" spans="1:7">
      <c r="A38" s="187"/>
    </row>
    <row r="39" spans="1:7">
      <c r="A39" s="187"/>
    </row>
    <row r="40" spans="1:7">
      <c r="A40" s="187"/>
    </row>
    <row r="41" spans="1:7">
      <c r="A41" s="187"/>
    </row>
    <row r="42" spans="1:7">
      <c r="A42" s="187"/>
    </row>
    <row r="43" spans="1:7">
      <c r="A43" s="187"/>
    </row>
    <row r="44" spans="1:7">
      <c r="A44" s="187"/>
    </row>
    <row r="45" spans="1:7">
      <c r="A45" s="187"/>
    </row>
    <row r="46" spans="1:7">
      <c r="A46" s="187"/>
    </row>
    <row r="47" spans="1:7">
      <c r="A47" s="18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7"/>
  <sheetViews>
    <sheetView workbookViewId="0">
      <pane ySplit="1" topLeftCell="A64" activePane="bottomLeft" state="frozen"/>
      <selection/>
      <selection pane="bottomLeft" activeCell="C6" sqref="C6"/>
    </sheetView>
  </sheetViews>
  <sheetFormatPr defaultColWidth="8.72727272727273" defaultRowHeight="14" outlineLevelCol="2"/>
  <cols>
    <col min="1" max="1" width="24" style="173" customWidth="1"/>
    <col min="2" max="2" width="10.6363636363636" style="173" customWidth="1"/>
    <col min="3" max="3" width="91.3636363636364" style="173" customWidth="1"/>
    <col min="4" max="16384" width="8.72727272727273" style="174"/>
  </cols>
  <sheetData>
    <row r="1" s="172" customFormat="1" ht="15" spans="1:3">
      <c r="A1" s="175" t="s">
        <v>181</v>
      </c>
      <c r="B1" s="175" t="s">
        <v>182</v>
      </c>
      <c r="C1" s="175" t="s">
        <v>183</v>
      </c>
    </row>
    <row r="2" spans="1:3">
      <c r="A2" s="176" t="s">
        <v>184</v>
      </c>
      <c r="B2" s="176" t="s">
        <v>185</v>
      </c>
      <c r="C2" s="176" t="s">
        <v>186</v>
      </c>
    </row>
    <row r="3" spans="1:3">
      <c r="A3" s="177" t="s">
        <v>21</v>
      </c>
      <c r="B3" s="176" t="s">
        <v>187</v>
      </c>
      <c r="C3" s="176" t="s">
        <v>188</v>
      </c>
    </row>
    <row r="4" spans="1:3">
      <c r="A4" s="178"/>
      <c r="B4" s="176" t="s">
        <v>189</v>
      </c>
      <c r="C4" s="176" t="s">
        <v>190</v>
      </c>
    </row>
    <row r="5" ht="28" spans="1:3">
      <c r="A5" s="179" t="s">
        <v>191</v>
      </c>
      <c r="B5" s="176" t="s">
        <v>192</v>
      </c>
      <c r="C5" s="176" t="s">
        <v>193</v>
      </c>
    </row>
    <row r="6" spans="1:3">
      <c r="A6" s="180" t="s">
        <v>108</v>
      </c>
      <c r="B6" s="176" t="s">
        <v>194</v>
      </c>
      <c r="C6" s="176" t="s">
        <v>195</v>
      </c>
    </row>
    <row r="7" ht="140" spans="1:3">
      <c r="A7" s="180"/>
      <c r="B7" s="176" t="s">
        <v>196</v>
      </c>
      <c r="C7" s="176" t="s">
        <v>197</v>
      </c>
    </row>
    <row r="8" spans="1:3">
      <c r="A8" s="180"/>
      <c r="B8" s="176" t="s">
        <v>198</v>
      </c>
      <c r="C8" s="176" t="s">
        <v>199</v>
      </c>
    </row>
    <row r="9" spans="1:3">
      <c r="A9" s="180"/>
      <c r="B9" s="176" t="s">
        <v>200</v>
      </c>
      <c r="C9" s="176" t="s">
        <v>201</v>
      </c>
    </row>
    <row r="10" spans="1:3">
      <c r="A10" s="180"/>
      <c r="B10" s="176" t="s">
        <v>202</v>
      </c>
      <c r="C10" s="176" t="s">
        <v>203</v>
      </c>
    </row>
    <row r="11" ht="42" spans="1:3">
      <c r="A11" s="180"/>
      <c r="B11" s="176" t="s">
        <v>204</v>
      </c>
      <c r="C11" s="176" t="s">
        <v>205</v>
      </c>
    </row>
    <row r="12" ht="28" spans="1:3">
      <c r="A12" s="180"/>
      <c r="B12" s="176" t="s">
        <v>206</v>
      </c>
      <c r="C12" s="176" t="s">
        <v>207</v>
      </c>
    </row>
    <row r="13" ht="28" spans="1:3">
      <c r="A13" s="178"/>
      <c r="B13" s="176" t="s">
        <v>208</v>
      </c>
      <c r="C13" s="176" t="s">
        <v>209</v>
      </c>
    </row>
    <row r="14" spans="1:3">
      <c r="A14" s="176" t="s">
        <v>210</v>
      </c>
      <c r="B14" s="176" t="s">
        <v>211</v>
      </c>
      <c r="C14" s="176" t="s">
        <v>212</v>
      </c>
    </row>
    <row r="15" spans="1:3">
      <c r="A15" s="177" t="s">
        <v>74</v>
      </c>
      <c r="B15" s="176" t="s">
        <v>213</v>
      </c>
      <c r="C15" s="176" t="s">
        <v>214</v>
      </c>
    </row>
    <row r="16" spans="1:3">
      <c r="A16" s="180"/>
      <c r="B16" s="176" t="s">
        <v>215</v>
      </c>
      <c r="C16" s="176" t="s">
        <v>216</v>
      </c>
    </row>
    <row r="17" ht="56" spans="1:3">
      <c r="A17" s="180"/>
      <c r="B17" s="176" t="s">
        <v>217</v>
      </c>
      <c r="C17" s="176" t="s">
        <v>218</v>
      </c>
    </row>
    <row r="18" spans="1:3">
      <c r="A18" s="180"/>
      <c r="B18" s="176" t="s">
        <v>219</v>
      </c>
      <c r="C18" s="176" t="s">
        <v>220</v>
      </c>
    </row>
    <row r="19" ht="28" spans="1:3">
      <c r="A19" s="180"/>
      <c r="B19" s="176" t="s">
        <v>221</v>
      </c>
      <c r="C19" s="176" t="s">
        <v>222</v>
      </c>
    </row>
    <row r="20" spans="1:3">
      <c r="A20" s="180"/>
      <c r="B20" s="176" t="s">
        <v>223</v>
      </c>
      <c r="C20" s="176" t="s">
        <v>224</v>
      </c>
    </row>
    <row r="21" spans="1:3">
      <c r="A21" s="180"/>
      <c r="B21" s="176" t="s">
        <v>225</v>
      </c>
      <c r="C21" s="176" t="s">
        <v>226</v>
      </c>
    </row>
    <row r="22" spans="1:3">
      <c r="A22" s="180"/>
      <c r="B22" s="176" t="s">
        <v>227</v>
      </c>
      <c r="C22" s="176" t="s">
        <v>228</v>
      </c>
    </row>
    <row r="23" spans="1:3">
      <c r="A23" s="180"/>
      <c r="B23" s="176" t="s">
        <v>225</v>
      </c>
      <c r="C23" s="176" t="s">
        <v>229</v>
      </c>
    </row>
    <row r="24" spans="1:3">
      <c r="A24" s="180"/>
      <c r="B24" s="176" t="s">
        <v>230</v>
      </c>
      <c r="C24" s="176" t="s">
        <v>231</v>
      </c>
    </row>
    <row r="25" spans="1:3">
      <c r="A25" s="180"/>
      <c r="B25" s="176" t="s">
        <v>232</v>
      </c>
      <c r="C25" s="176" t="s">
        <v>233</v>
      </c>
    </row>
    <row r="26" spans="1:3">
      <c r="A26" s="180"/>
      <c r="B26" s="176" t="s">
        <v>234</v>
      </c>
      <c r="C26" s="176" t="s">
        <v>235</v>
      </c>
    </row>
    <row r="27" spans="1:3">
      <c r="A27" s="180"/>
      <c r="B27" s="176" t="s">
        <v>234</v>
      </c>
      <c r="C27" s="176" t="s">
        <v>236</v>
      </c>
    </row>
    <row r="28" spans="1:3">
      <c r="A28" s="180"/>
      <c r="B28" s="176"/>
      <c r="C28" s="176"/>
    </row>
    <row r="29" spans="1:3">
      <c r="A29" s="180"/>
      <c r="B29" s="176"/>
      <c r="C29" s="176"/>
    </row>
    <row r="30" spans="1:3">
      <c r="A30" s="180"/>
      <c r="B30" s="176"/>
      <c r="C30" s="176"/>
    </row>
    <row r="31" spans="1:3">
      <c r="A31" s="181" t="s">
        <v>237</v>
      </c>
      <c r="B31" s="176" t="s">
        <v>215</v>
      </c>
      <c r="C31" s="176" t="s">
        <v>238</v>
      </c>
    </row>
    <row r="32" spans="1:3">
      <c r="A32" s="179"/>
      <c r="B32" s="176" t="s">
        <v>239</v>
      </c>
      <c r="C32" s="176" t="s">
        <v>240</v>
      </c>
    </row>
    <row r="33" ht="28" spans="1:3">
      <c r="A33" s="177" t="s">
        <v>241</v>
      </c>
      <c r="B33" s="176" t="s">
        <v>242</v>
      </c>
      <c r="C33" s="176" t="s">
        <v>243</v>
      </c>
    </row>
    <row r="34" spans="1:3">
      <c r="A34" s="180"/>
      <c r="B34" s="176" t="s">
        <v>196</v>
      </c>
      <c r="C34" s="176" t="s">
        <v>244</v>
      </c>
    </row>
    <row r="35" spans="1:3">
      <c r="A35" s="180"/>
      <c r="B35" s="176" t="s">
        <v>245</v>
      </c>
      <c r="C35" s="176" t="s">
        <v>246</v>
      </c>
    </row>
    <row r="36" spans="1:3">
      <c r="A36" s="180"/>
      <c r="B36" s="176"/>
      <c r="C36" s="176"/>
    </row>
    <row r="37" spans="1:3">
      <c r="A37" s="181" t="s">
        <v>247</v>
      </c>
      <c r="B37" s="176" t="s">
        <v>248</v>
      </c>
      <c r="C37" s="176" t="s">
        <v>249</v>
      </c>
    </row>
    <row r="38" spans="1:3">
      <c r="A38" s="179"/>
      <c r="B38" s="176" t="s">
        <v>194</v>
      </c>
      <c r="C38" s="176" t="s">
        <v>250</v>
      </c>
    </row>
    <row r="39" ht="28" spans="1:3">
      <c r="A39" s="177" t="s">
        <v>53</v>
      </c>
      <c r="B39" s="176" t="s">
        <v>194</v>
      </c>
      <c r="C39" s="176" t="s">
        <v>251</v>
      </c>
    </row>
    <row r="40" spans="1:3">
      <c r="A40" s="180"/>
      <c r="B40" s="173" t="s">
        <v>252</v>
      </c>
      <c r="C40" s="173" t="s">
        <v>253</v>
      </c>
    </row>
    <row r="41" spans="1:3">
      <c r="A41" s="180"/>
      <c r="B41" s="173" t="s">
        <v>219</v>
      </c>
      <c r="C41" s="173" t="s">
        <v>254</v>
      </c>
    </row>
    <row r="42" spans="1:3">
      <c r="A42" s="180"/>
      <c r="B42" s="173" t="s">
        <v>225</v>
      </c>
      <c r="C42" s="173" t="s">
        <v>255</v>
      </c>
    </row>
    <row r="43" ht="28" spans="1:3">
      <c r="A43" s="180"/>
      <c r="B43" s="173" t="s">
        <v>225</v>
      </c>
      <c r="C43" s="173" t="s">
        <v>256</v>
      </c>
    </row>
    <row r="44" spans="1:3">
      <c r="A44" s="180"/>
      <c r="B44" s="173" t="s">
        <v>257</v>
      </c>
      <c r="C44" s="173" t="s">
        <v>258</v>
      </c>
    </row>
    <row r="45" ht="98" spans="1:3">
      <c r="A45" s="177" t="s">
        <v>259</v>
      </c>
      <c r="B45" s="173" t="s">
        <v>194</v>
      </c>
      <c r="C45" s="173" t="s">
        <v>260</v>
      </c>
    </row>
    <row r="46" ht="84" spans="1:3">
      <c r="A46" s="180"/>
      <c r="B46" s="173" t="s">
        <v>261</v>
      </c>
      <c r="C46" s="173" t="s">
        <v>262</v>
      </c>
    </row>
    <row r="47" ht="28" spans="1:3">
      <c r="A47" s="178"/>
      <c r="B47" s="173" t="s">
        <v>263</v>
      </c>
      <c r="C47" s="173" t="s">
        <v>264</v>
      </c>
    </row>
    <row r="48" spans="1:3">
      <c r="A48" s="173" t="s">
        <v>43</v>
      </c>
      <c r="B48" s="173" t="s">
        <v>265</v>
      </c>
      <c r="C48" s="173" t="s">
        <v>266</v>
      </c>
    </row>
    <row r="49" spans="1:3">
      <c r="A49" s="177" t="s">
        <v>267</v>
      </c>
      <c r="B49" s="173" t="s">
        <v>196</v>
      </c>
      <c r="C49" s="173" t="s">
        <v>268</v>
      </c>
    </row>
    <row r="50" spans="1:3">
      <c r="A50" s="173" t="s">
        <v>63</v>
      </c>
      <c r="B50" s="173" t="s">
        <v>198</v>
      </c>
      <c r="C50" s="173" t="s">
        <v>269</v>
      </c>
    </row>
    <row r="51" spans="1:3">
      <c r="A51" s="177" t="s">
        <v>270</v>
      </c>
      <c r="B51" s="173" t="s">
        <v>271</v>
      </c>
      <c r="C51" s="173" t="s">
        <v>272</v>
      </c>
    </row>
    <row r="52" spans="1:3">
      <c r="A52" s="178"/>
      <c r="B52" s="173" t="s">
        <v>225</v>
      </c>
      <c r="C52" s="173" t="s">
        <v>273</v>
      </c>
    </row>
    <row r="53" spans="1:3">
      <c r="A53" s="173" t="s">
        <v>274</v>
      </c>
      <c r="B53" s="173" t="s">
        <v>275</v>
      </c>
      <c r="C53" s="173" t="s">
        <v>276</v>
      </c>
    </row>
    <row r="54" spans="1:3">
      <c r="A54" s="177" t="s">
        <v>10</v>
      </c>
      <c r="B54" s="173" t="s">
        <v>261</v>
      </c>
      <c r="C54" s="173" t="s">
        <v>277</v>
      </c>
    </row>
    <row r="55" spans="1:3">
      <c r="A55" s="178"/>
      <c r="B55" s="173" t="s">
        <v>278</v>
      </c>
      <c r="C55" s="173" t="s">
        <v>279</v>
      </c>
    </row>
    <row r="56" spans="1:3">
      <c r="A56" s="173" t="s">
        <v>280</v>
      </c>
      <c r="B56" s="173" t="s">
        <v>281</v>
      </c>
      <c r="C56" s="173" t="s">
        <v>282</v>
      </c>
    </row>
    <row r="57" spans="1:3">
      <c r="A57" s="173" t="s">
        <v>283</v>
      </c>
      <c r="B57" s="173" t="s">
        <v>284</v>
      </c>
      <c r="C57" s="173" t="s">
        <v>285</v>
      </c>
    </row>
    <row r="58" spans="1:3">
      <c r="A58" s="173" t="s">
        <v>286</v>
      </c>
      <c r="B58" s="173" t="s">
        <v>284</v>
      </c>
      <c r="C58" s="173" t="s">
        <v>287</v>
      </c>
    </row>
    <row r="59" ht="28" spans="1:3">
      <c r="A59" s="173" t="s">
        <v>288</v>
      </c>
      <c r="B59" s="173" t="s">
        <v>263</v>
      </c>
      <c r="C59" s="173" t="s">
        <v>289</v>
      </c>
    </row>
    <row r="60" ht="28" spans="1:3">
      <c r="A60" s="177" t="s">
        <v>290</v>
      </c>
      <c r="B60" s="173" t="s">
        <v>263</v>
      </c>
      <c r="C60" s="173" t="s">
        <v>291</v>
      </c>
    </row>
    <row r="61" spans="1:3">
      <c r="A61" s="178"/>
      <c r="B61" s="173" t="s">
        <v>292</v>
      </c>
      <c r="C61" s="173" t="s">
        <v>293</v>
      </c>
    </row>
    <row r="62" ht="140" spans="1:3">
      <c r="A62" s="173" t="s">
        <v>294</v>
      </c>
      <c r="B62" s="173" t="s">
        <v>295</v>
      </c>
      <c r="C62" s="173" t="s">
        <v>296</v>
      </c>
    </row>
    <row r="63" spans="1:3">
      <c r="A63" s="173" t="s">
        <v>297</v>
      </c>
      <c r="B63" s="173" t="s">
        <v>298</v>
      </c>
      <c r="C63" s="173" t="s">
        <v>299</v>
      </c>
    </row>
    <row r="64" ht="70" spans="1:3">
      <c r="A64" s="173" t="s">
        <v>300</v>
      </c>
      <c r="B64" s="173" t="s">
        <v>301</v>
      </c>
      <c r="C64" s="173" t="s">
        <v>302</v>
      </c>
    </row>
    <row r="65" ht="28" spans="1:3">
      <c r="A65" s="173" t="s">
        <v>47</v>
      </c>
      <c r="B65" s="173" t="s">
        <v>303</v>
      </c>
      <c r="C65" s="173" t="s">
        <v>304</v>
      </c>
    </row>
    <row r="66" spans="1:3">
      <c r="A66" s="177" t="s">
        <v>305</v>
      </c>
      <c r="B66" s="173" t="s">
        <v>306</v>
      </c>
      <c r="C66" s="173" t="s">
        <v>307</v>
      </c>
    </row>
    <row r="67" spans="1:3">
      <c r="A67" s="178"/>
      <c r="B67" s="173" t="s">
        <v>308</v>
      </c>
      <c r="C67" s="173" t="s">
        <v>309</v>
      </c>
    </row>
    <row r="68" spans="1:3">
      <c r="A68" s="177" t="s">
        <v>310</v>
      </c>
      <c r="B68" s="173" t="s">
        <v>311</v>
      </c>
      <c r="C68" s="173" t="s">
        <v>312</v>
      </c>
    </row>
    <row r="69" spans="1:3">
      <c r="A69" s="180"/>
      <c r="B69" s="173" t="s">
        <v>313</v>
      </c>
      <c r="C69" s="173" t="s">
        <v>314</v>
      </c>
    </row>
    <row r="70" spans="1:3">
      <c r="A70" s="178"/>
      <c r="B70" s="173" t="s">
        <v>315</v>
      </c>
      <c r="C70" s="173" t="s">
        <v>316</v>
      </c>
    </row>
    <row r="71" spans="1:3">
      <c r="B71" s="173" t="s">
        <v>317</v>
      </c>
      <c r="C71" s="173" t="s">
        <v>318</v>
      </c>
    </row>
    <row r="72" ht="56" spans="1:3">
      <c r="B72" s="173" t="s">
        <v>319</v>
      </c>
      <c r="C72" s="173" t="s">
        <v>320</v>
      </c>
    </row>
    <row r="73" spans="1:3">
      <c r="B73" s="173" t="s">
        <v>321</v>
      </c>
      <c r="C73" s="173" t="s">
        <v>322</v>
      </c>
    </row>
    <row r="74" ht="42" spans="1:3">
      <c r="C74" s="173" t="s">
        <v>323</v>
      </c>
    </row>
    <row r="75" spans="1:3">
      <c r="B75" s="173" t="s">
        <v>324</v>
      </c>
      <c r="C75" s="173" t="s">
        <v>325</v>
      </c>
    </row>
    <row r="76" spans="1:3">
      <c r="B76" s="173" t="s">
        <v>324</v>
      </c>
      <c r="C76" s="173" t="s">
        <v>326</v>
      </c>
    </row>
    <row r="77" spans="1:3">
      <c r="C77" s="173" t="s">
        <v>327</v>
      </c>
    </row>
  </sheetData>
  <mergeCells count="13">
    <mergeCell ref="A3:A4"/>
    <mergeCell ref="A6:A13"/>
    <mergeCell ref="A15:A30"/>
    <mergeCell ref="A31:A32"/>
    <mergeCell ref="A33:A36"/>
    <mergeCell ref="A37:A38"/>
    <mergeCell ref="A39:A44"/>
    <mergeCell ref="A45:A47"/>
    <mergeCell ref="A51:A52"/>
    <mergeCell ref="A54:A55"/>
    <mergeCell ref="A60:A61"/>
    <mergeCell ref="A66:A67"/>
    <mergeCell ref="A68:A7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4"/>
      <c r="B1" s="145" t="s">
        <v>1</v>
      </c>
      <c r="C1" s="145"/>
      <c r="D1" s="146" t="s">
        <v>2</v>
      </c>
      <c r="E1" s="147"/>
      <c r="F1" s="148"/>
      <c r="G1" s="145" t="s">
        <v>3</v>
      </c>
      <c r="H1" s="145" t="s">
        <v>4</v>
      </c>
      <c r="I1" s="145" t="s">
        <v>5</v>
      </c>
      <c r="J1" s="145" t="s">
        <v>6</v>
      </c>
    </row>
    <row r="2" ht="16.5" spans="1:10">
      <c r="A2" s="145" t="s">
        <v>328</v>
      </c>
      <c r="B2" s="149" t="s">
        <v>329</v>
      </c>
      <c r="C2" s="150" t="s">
        <v>330</v>
      </c>
      <c r="D2" s="151"/>
      <c r="E2" s="149" t="s">
        <v>329</v>
      </c>
      <c r="F2" s="149"/>
      <c r="G2" s="152" t="s">
        <v>331</v>
      </c>
      <c r="H2" s="152"/>
      <c r="I2" s="144"/>
      <c r="J2" s="153"/>
    </row>
    <row r="3" ht="16.5" spans="1:10">
      <c r="A3" s="145" t="s">
        <v>332</v>
      </c>
      <c r="B3" s="154" t="s">
        <v>333</v>
      </c>
      <c r="C3" s="154"/>
      <c r="D3" s="154"/>
      <c r="E3" s="154"/>
      <c r="F3" s="154"/>
      <c r="G3" s="154"/>
      <c r="H3" s="154"/>
      <c r="I3" s="144"/>
      <c r="J3" s="153"/>
    </row>
    <row r="4" ht="16.5" spans="1:10">
      <c r="A4" s="145" t="s">
        <v>334</v>
      </c>
      <c r="B4" s="155" t="s">
        <v>241</v>
      </c>
      <c r="C4" s="155"/>
      <c r="D4" s="155"/>
      <c r="E4" s="155"/>
      <c r="F4" s="155"/>
      <c r="G4" s="155"/>
      <c r="H4" s="155"/>
      <c r="I4" s="144"/>
      <c r="J4" s="153"/>
    </row>
    <row r="5" ht="16.5" spans="1:10">
      <c r="A5" s="145" t="s">
        <v>335</v>
      </c>
      <c r="B5" s="156">
        <v>1</v>
      </c>
      <c r="C5" s="156"/>
      <c r="D5" s="157">
        <v>2</v>
      </c>
      <c r="E5" s="157"/>
      <c r="F5" s="157"/>
      <c r="G5" s="156" t="s">
        <v>336</v>
      </c>
      <c r="H5" s="156"/>
      <c r="I5" s="144"/>
      <c r="J5" s="153"/>
    </row>
    <row r="6" ht="16.5" spans="1:10">
      <c r="A6" s="145" t="s">
        <v>337</v>
      </c>
      <c r="B6" s="158">
        <v>1</v>
      </c>
      <c r="C6" s="158"/>
      <c r="D6" s="158"/>
      <c r="E6" s="158"/>
      <c r="F6" s="158"/>
      <c r="G6" s="159" t="s">
        <v>338</v>
      </c>
      <c r="H6" s="159"/>
      <c r="I6" s="144"/>
      <c r="J6" s="153"/>
    </row>
    <row r="7" ht="16.5" spans="1:10">
      <c r="A7" s="145" t="s">
        <v>339</v>
      </c>
      <c r="B7" s="160" t="s">
        <v>340</v>
      </c>
      <c r="C7" s="160"/>
      <c r="D7" s="160"/>
      <c r="E7" s="160"/>
      <c r="F7" s="160"/>
      <c r="G7" s="161" t="s">
        <v>341</v>
      </c>
      <c r="H7" s="161"/>
      <c r="I7" s="144"/>
      <c r="J7" s="153"/>
    </row>
    <row r="8" ht="16.5" spans="1:10">
      <c r="A8" s="145" t="s">
        <v>342</v>
      </c>
      <c r="B8" s="162">
        <v>1</v>
      </c>
      <c r="C8" s="162"/>
      <c r="D8" s="163" t="s">
        <v>343</v>
      </c>
      <c r="E8" s="163"/>
      <c r="F8" s="163"/>
      <c r="G8" s="162" t="s">
        <v>344</v>
      </c>
      <c r="H8" s="162"/>
      <c r="I8" s="144"/>
      <c r="J8" s="153"/>
    </row>
    <row r="9" s="3" customFormat="1" ht="16.5" spans="1:10">
      <c r="A9" s="145" t="s">
        <v>345</v>
      </c>
      <c r="B9" s="4" t="s">
        <v>346</v>
      </c>
      <c r="C9" s="4"/>
      <c r="D9" s="4"/>
      <c r="E9" s="4"/>
      <c r="F9" s="4"/>
      <c r="G9" s="164" t="s">
        <v>347</v>
      </c>
      <c r="H9" s="164"/>
      <c r="I9" s="3"/>
      <c r="J9" s="165"/>
    </row>
    <row r="10" s="3" customFormat="1" ht="16.5" spans="1:10">
      <c r="A10" s="145" t="s">
        <v>348</v>
      </c>
      <c r="B10" s="20" t="s">
        <v>346</v>
      </c>
      <c r="C10" s="20"/>
      <c r="D10" s="20"/>
      <c r="E10" s="20"/>
      <c r="F10" s="20"/>
      <c r="G10" s="20"/>
      <c r="H10" s="20"/>
      <c r="I10" s="166"/>
      <c r="J10" s="165"/>
    </row>
    <row r="11" ht="16.5" spans="1:10">
      <c r="A11" s="145" t="s">
        <v>349</v>
      </c>
      <c r="B11" s="149" t="s">
        <v>350</v>
      </c>
      <c r="C11" s="149"/>
      <c r="D11" s="149"/>
      <c r="E11" s="149"/>
      <c r="F11" s="149"/>
      <c r="G11" s="149"/>
      <c r="H11" s="149"/>
      <c r="I11" s="144"/>
      <c r="J11" s="153"/>
    </row>
    <row r="12" ht="16.5" spans="1:10">
      <c r="A12" s="145" t="s">
        <v>351</v>
      </c>
      <c r="B12" s="154">
        <v>1</v>
      </c>
      <c r="C12" s="154"/>
      <c r="D12" s="167" t="s">
        <v>352</v>
      </c>
      <c r="E12" s="154">
        <v>1</v>
      </c>
      <c r="F12" s="167" t="s">
        <v>352</v>
      </c>
      <c r="G12" s="144" t="s">
        <v>346</v>
      </c>
      <c r="H12" s="144"/>
      <c r="I12" s="144"/>
      <c r="J12" s="153"/>
    </row>
    <row r="13" ht="16.5" spans="1:10">
      <c r="A13" s="145" t="s">
        <v>353</v>
      </c>
      <c r="B13" s="155">
        <v>1</v>
      </c>
      <c r="C13" s="155"/>
      <c r="D13" s="155"/>
      <c r="E13" s="155"/>
      <c r="F13" s="155"/>
      <c r="G13" s="155"/>
      <c r="H13" s="144" t="s">
        <v>346</v>
      </c>
      <c r="I13" s="144"/>
      <c r="J13" s="153"/>
    </row>
    <row r="14" ht="16.5" spans="1:10">
      <c r="A14" s="145" t="s">
        <v>354</v>
      </c>
      <c r="B14" s="168">
        <v>1</v>
      </c>
      <c r="C14" s="168"/>
      <c r="D14" s="168"/>
      <c r="E14" s="168"/>
      <c r="F14" s="168"/>
      <c r="G14" s="169">
        <v>2</v>
      </c>
      <c r="H14" s="170" t="s">
        <v>346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14" customFormat="1" spans="1:10">
      <c r="A1" s="117" t="s">
        <v>355</v>
      </c>
      <c r="B1" s="118"/>
      <c r="C1" s="114" t="s">
        <v>1</v>
      </c>
      <c r="D1" s="114" t="s">
        <v>2</v>
      </c>
      <c r="E1" s="119" t="s">
        <v>3</v>
      </c>
      <c r="F1" s="120"/>
      <c r="G1" s="119" t="s">
        <v>4</v>
      </c>
      <c r="H1" s="120"/>
      <c r="I1" s="114" t="s">
        <v>5</v>
      </c>
      <c r="J1" s="114" t="s">
        <v>6</v>
      </c>
    </row>
    <row r="2" s="115" customFormat="1" spans="1:10">
      <c r="A2" s="121" t="s">
        <v>356</v>
      </c>
      <c r="B2" s="122" t="s">
        <v>357</v>
      </c>
      <c r="C2" s="123" t="s">
        <v>7</v>
      </c>
      <c r="D2" s="124"/>
      <c r="E2" s="124"/>
      <c r="F2" s="124"/>
      <c r="G2" s="124"/>
      <c r="H2" s="125"/>
    </row>
    <row r="3" s="115" customFormat="1" spans="1:10">
      <c r="A3" s="126"/>
      <c r="B3" s="122" t="s">
        <v>358</v>
      </c>
      <c r="C3" s="123" t="s">
        <v>31</v>
      </c>
      <c r="D3" s="124"/>
      <c r="E3" s="124"/>
      <c r="F3" s="124"/>
      <c r="G3" s="124"/>
      <c r="H3" s="125"/>
    </row>
    <row r="4" s="115" customFormat="1" spans="1:10">
      <c r="A4" s="126"/>
      <c r="B4" s="122"/>
      <c r="C4" s="123" t="s">
        <v>25</v>
      </c>
      <c r="D4" s="124"/>
      <c r="E4" s="124"/>
      <c r="F4" s="124"/>
      <c r="G4" s="124"/>
      <c r="H4" s="125"/>
    </row>
    <row r="5" s="115" customFormat="1" spans="1:10">
      <c r="A5" s="126"/>
      <c r="B5" s="122" t="s">
        <v>359</v>
      </c>
      <c r="C5" s="123" t="s">
        <v>36</v>
      </c>
      <c r="D5" s="124"/>
      <c r="E5" s="124"/>
      <c r="F5" s="124"/>
      <c r="G5" s="124"/>
      <c r="H5" s="125"/>
    </row>
    <row r="6" s="115" customFormat="1" spans="1:10">
      <c r="A6" s="126"/>
      <c r="B6" s="122" t="s">
        <v>360</v>
      </c>
      <c r="C6" s="55" t="s">
        <v>21</v>
      </c>
      <c r="D6" s="127" t="s">
        <v>124</v>
      </c>
      <c r="E6" s="128"/>
      <c r="F6" s="128"/>
      <c r="G6" s="128"/>
      <c r="H6" s="129"/>
    </row>
    <row r="7" s="115" customFormat="1" spans="1:10">
      <c r="A7" s="126"/>
      <c r="B7" s="122"/>
      <c r="C7" s="55" t="s">
        <v>59</v>
      </c>
      <c r="D7" s="115" t="s">
        <v>92</v>
      </c>
      <c r="E7" s="127" t="s">
        <v>108</v>
      </c>
      <c r="F7" s="128"/>
      <c r="G7" s="128"/>
      <c r="H7" s="129"/>
    </row>
    <row r="8" s="115" customFormat="1" spans="1:10">
      <c r="A8" s="126"/>
      <c r="B8" s="122" t="s">
        <v>361</v>
      </c>
      <c r="C8" s="55" t="s">
        <v>15</v>
      </c>
      <c r="D8" s="127" t="s">
        <v>97</v>
      </c>
      <c r="E8" s="128"/>
      <c r="F8" s="128"/>
      <c r="G8" s="128"/>
      <c r="H8" s="129"/>
    </row>
    <row r="9" s="115" customFormat="1" spans="1:10">
      <c r="A9" s="126"/>
      <c r="B9" s="122" t="s">
        <v>362</v>
      </c>
      <c r="C9" s="123" t="s">
        <v>27</v>
      </c>
      <c r="D9" s="124"/>
      <c r="E9" s="124"/>
      <c r="F9" s="124"/>
      <c r="G9" s="124"/>
      <c r="H9" s="125"/>
    </row>
    <row r="10" s="115" customFormat="1" spans="1:10">
      <c r="A10" s="126"/>
      <c r="B10" s="122" t="s">
        <v>363</v>
      </c>
      <c r="C10" s="123" t="s">
        <v>39</v>
      </c>
      <c r="D10" s="124"/>
      <c r="E10" s="124"/>
      <c r="F10" s="124"/>
      <c r="G10" s="124"/>
      <c r="H10" s="125"/>
    </row>
    <row r="11" s="115" customFormat="1" spans="1:10">
      <c r="A11" s="130"/>
      <c r="B11" s="122" t="s">
        <v>364</v>
      </c>
      <c r="C11" s="123" t="s">
        <v>85</v>
      </c>
      <c r="D11" s="124"/>
      <c r="E11" s="124"/>
      <c r="F11" s="124"/>
      <c r="G11" s="124"/>
      <c r="H11" s="125"/>
    </row>
    <row r="12" s="116" customFormat="1" spans="1:10">
      <c r="A12" s="131" t="s">
        <v>365</v>
      </c>
      <c r="B12" s="132" t="s">
        <v>366</v>
      </c>
      <c r="C12" s="133" t="s">
        <v>108</v>
      </c>
      <c r="D12" s="134"/>
      <c r="E12" s="135" t="s">
        <v>21</v>
      </c>
      <c r="F12" s="136"/>
      <c r="G12" s="136"/>
      <c r="H12" s="137"/>
    </row>
    <row r="13" s="116" customFormat="1" spans="1:10">
      <c r="A13" s="138"/>
      <c r="B13" s="132"/>
      <c r="C13" s="133" t="s">
        <v>45</v>
      </c>
      <c r="D13" s="139"/>
      <c r="E13" s="139"/>
      <c r="F13" s="139"/>
      <c r="G13" s="139"/>
      <c r="H13" s="134"/>
    </row>
    <row r="14" s="116" customFormat="1" spans="1:10">
      <c r="A14" s="138"/>
      <c r="B14" s="132" t="s">
        <v>367</v>
      </c>
      <c r="C14" s="133" t="s">
        <v>368</v>
      </c>
      <c r="D14" s="139"/>
      <c r="E14" s="134"/>
      <c r="F14" s="136" t="s">
        <v>39</v>
      </c>
      <c r="G14" s="136"/>
      <c r="H14" s="137"/>
    </row>
    <row r="15" s="116" customFormat="1" spans="1:10">
      <c r="A15" s="138"/>
      <c r="B15" s="132" t="s">
        <v>369</v>
      </c>
      <c r="C15" s="133" t="s">
        <v>10</v>
      </c>
      <c r="D15" s="139"/>
      <c r="E15" s="139"/>
      <c r="F15" s="139"/>
      <c r="G15" s="139"/>
      <c r="H15" s="134"/>
    </row>
    <row r="16" s="116" customFormat="1" spans="1:10">
      <c r="A16" s="138"/>
      <c r="B16" s="132"/>
      <c r="C16" s="133" t="s">
        <v>13</v>
      </c>
      <c r="D16" s="139"/>
      <c r="E16" s="139"/>
      <c r="F16" s="139"/>
      <c r="G16" s="139"/>
      <c r="H16" s="134"/>
    </row>
    <row r="17" s="116" customFormat="1" spans="1:10">
      <c r="A17" s="138"/>
      <c r="B17" s="132" t="s">
        <v>370</v>
      </c>
      <c r="C17" s="133" t="s">
        <v>30</v>
      </c>
      <c r="D17" s="139"/>
      <c r="E17" s="139"/>
      <c r="F17" s="139"/>
      <c r="G17" s="139"/>
      <c r="H17" s="134"/>
    </row>
    <row r="18" s="116" customFormat="1" spans="1:10">
      <c r="A18" s="138"/>
      <c r="B18" s="132" t="s">
        <v>371</v>
      </c>
      <c r="C18" s="133" t="s">
        <v>50</v>
      </c>
      <c r="D18" s="139"/>
      <c r="E18" s="139"/>
      <c r="F18" s="139"/>
      <c r="G18" s="139"/>
      <c r="H18" s="134"/>
    </row>
    <row r="19" s="116" customFormat="1" spans="1:10">
      <c r="A19" s="138"/>
      <c r="B19" s="132" t="s">
        <v>372</v>
      </c>
      <c r="C19" s="133" t="s">
        <v>97</v>
      </c>
      <c r="D19" s="139"/>
      <c r="E19" s="139"/>
      <c r="F19" s="139"/>
      <c r="G19" s="139"/>
      <c r="H19" s="134"/>
      <c r="I19" s="140"/>
      <c r="J19" s="141"/>
    </row>
    <row r="20" s="116" customFormat="1" spans="1:10">
      <c r="A20" s="138"/>
      <c r="B20" s="132" t="s">
        <v>373</v>
      </c>
      <c r="C20" s="133" t="s">
        <v>101</v>
      </c>
      <c r="D20" s="139"/>
      <c r="E20" s="139"/>
      <c r="F20" s="139"/>
      <c r="G20" s="134"/>
      <c r="H20" s="137" t="s">
        <v>38</v>
      </c>
      <c r="I20" s="140"/>
      <c r="J20" s="141"/>
    </row>
    <row r="21" s="116" customFormat="1" spans="1:10">
      <c r="A21" s="138"/>
      <c r="B21" s="132" t="s">
        <v>374</v>
      </c>
      <c r="C21" s="140"/>
      <c r="D21" s="141"/>
      <c r="E21" s="135" t="s">
        <v>28</v>
      </c>
      <c r="F21" s="136"/>
      <c r="G21" s="136"/>
      <c r="H21" s="137"/>
    </row>
    <row r="22" s="116" customFormat="1" spans="1:10">
      <c r="A22" s="142"/>
      <c r="B22" s="132" t="s">
        <v>375</v>
      </c>
      <c r="C22" s="140"/>
      <c r="D22" s="143"/>
      <c r="E22" s="143"/>
      <c r="F22" s="143"/>
      <c r="G22" s="143"/>
      <c r="H22" s="141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70"/>
  <sheetViews>
    <sheetView topLeftCell="A40" workbookViewId="0">
      <selection activeCell="C64" sqref="C64"/>
    </sheetView>
  </sheetViews>
  <sheetFormatPr defaultColWidth="8.72727272727273" defaultRowHeight="14" outlineLevelCol="2"/>
  <cols>
    <col min="1" max="1" width="5.16363636363636" style="102" customWidth="1"/>
    <col min="2" max="2" width="20.5545454545455" style="103" customWidth="1"/>
    <col min="3" max="3" width="61.9" style="104" customWidth="1"/>
  </cols>
  <sheetData>
    <row r="1" spans="1:3">
      <c r="A1" s="105" t="s">
        <v>376</v>
      </c>
      <c r="B1" s="106" t="s">
        <v>377</v>
      </c>
      <c r="C1" s="107" t="s">
        <v>183</v>
      </c>
    </row>
    <row r="2" spans="1:3">
      <c r="A2" s="108" t="s">
        <v>1</v>
      </c>
      <c r="B2" s="103" t="s">
        <v>378</v>
      </c>
      <c r="C2" s="104" t="s">
        <v>379</v>
      </c>
    </row>
    <row r="3" spans="1:3">
      <c r="A3" s="108"/>
      <c r="B3" s="103" t="s">
        <v>380</v>
      </c>
      <c r="C3" s="104" t="s">
        <v>381</v>
      </c>
    </row>
    <row r="4" spans="1:3">
      <c r="A4" s="108"/>
      <c r="B4" s="103" t="s">
        <v>382</v>
      </c>
      <c r="C4" s="104" t="s">
        <v>383</v>
      </c>
    </row>
    <row r="5" spans="1:3">
      <c r="A5" s="108"/>
      <c r="B5" s="103" t="s">
        <v>384</v>
      </c>
      <c r="C5" s="104" t="s">
        <v>385</v>
      </c>
    </row>
    <row r="6" spans="1:3">
      <c r="A6" s="108"/>
      <c r="B6" s="103" t="s">
        <v>386</v>
      </c>
      <c r="C6" s="104" t="s">
        <v>387</v>
      </c>
    </row>
    <row r="7" spans="1:3">
      <c r="A7" s="108"/>
      <c r="B7" s="103" t="s">
        <v>388</v>
      </c>
      <c r="C7" s="104" t="s">
        <v>389</v>
      </c>
    </row>
    <row r="8" spans="1:3">
      <c r="A8" s="108"/>
      <c r="B8" s="103" t="s">
        <v>390</v>
      </c>
      <c r="C8" s="104" t="s">
        <v>391</v>
      </c>
    </row>
    <row r="9" spans="1:3">
      <c r="A9" s="108"/>
      <c r="B9" s="103" t="s">
        <v>392</v>
      </c>
      <c r="C9" s="104" t="s">
        <v>393</v>
      </c>
    </row>
    <row r="10" spans="1:3">
      <c r="A10" s="108"/>
      <c r="B10" s="103" t="s">
        <v>394</v>
      </c>
      <c r="C10" s="104" t="s">
        <v>395</v>
      </c>
    </row>
    <row r="11" spans="1:3">
      <c r="A11" s="108"/>
      <c r="B11" s="103" t="s">
        <v>396</v>
      </c>
      <c r="C11" s="104" t="s">
        <v>397</v>
      </c>
    </row>
    <row r="12" spans="1:3">
      <c r="A12" s="108"/>
      <c r="B12" s="103" t="s">
        <v>398</v>
      </c>
      <c r="C12" s="104" t="s">
        <v>399</v>
      </c>
    </row>
    <row r="13" spans="1:3">
      <c r="A13" s="108"/>
      <c r="B13" s="103" t="s">
        <v>400</v>
      </c>
      <c r="C13" s="104" t="s">
        <v>401</v>
      </c>
    </row>
    <row r="14" spans="1:3">
      <c r="A14" s="108"/>
      <c r="B14" s="103" t="s">
        <v>402</v>
      </c>
      <c r="C14" s="104" t="s">
        <v>403</v>
      </c>
    </row>
    <row r="15" spans="1:3">
      <c r="A15" s="108"/>
      <c r="B15" s="103" t="s">
        <v>404</v>
      </c>
      <c r="C15" s="104" t="s">
        <v>405</v>
      </c>
    </row>
    <row r="16" spans="1:3">
      <c r="A16" s="108"/>
      <c r="B16" s="103" t="s">
        <v>406</v>
      </c>
      <c r="C16" s="104" t="s">
        <v>407</v>
      </c>
    </row>
    <row r="17" spans="1:3">
      <c r="A17" s="108"/>
      <c r="B17" s="103" t="s">
        <v>408</v>
      </c>
      <c r="C17" s="104" t="s">
        <v>409</v>
      </c>
    </row>
    <row r="18" spans="1:3">
      <c r="A18" s="108"/>
      <c r="B18" s="103" t="s">
        <v>410</v>
      </c>
      <c r="C18" s="104" t="s">
        <v>411</v>
      </c>
    </row>
    <row r="19" spans="1:3">
      <c r="A19" s="108"/>
      <c r="B19" s="103" t="s">
        <v>412</v>
      </c>
      <c r="C19" s="104" t="s">
        <v>413</v>
      </c>
    </row>
    <row r="20" spans="1:3">
      <c r="A20" s="108"/>
      <c r="B20" s="103" t="s">
        <v>414</v>
      </c>
      <c r="C20" s="104" t="s">
        <v>415</v>
      </c>
    </row>
    <row r="21" spans="1:3">
      <c r="A21" s="109" t="s">
        <v>2</v>
      </c>
      <c r="B21" s="103" t="s">
        <v>416</v>
      </c>
      <c r="C21" s="104" t="s">
        <v>417</v>
      </c>
    </row>
    <row r="22" spans="1:3">
      <c r="A22" s="109"/>
      <c r="B22" s="103" t="s">
        <v>418</v>
      </c>
      <c r="C22" s="104" t="s">
        <v>419</v>
      </c>
    </row>
    <row r="23" spans="1:3">
      <c r="A23" s="109"/>
      <c r="B23" s="103" t="s">
        <v>420</v>
      </c>
      <c r="C23" s="104" t="s">
        <v>421</v>
      </c>
    </row>
    <row r="24" spans="1:3">
      <c r="A24" s="109"/>
      <c r="B24" s="103" t="s">
        <v>422</v>
      </c>
      <c r="C24" s="104" t="s">
        <v>423</v>
      </c>
    </row>
    <row r="25" spans="1:3">
      <c r="A25" s="109"/>
      <c r="B25" s="103" t="s">
        <v>424</v>
      </c>
      <c r="C25" s="104" t="s">
        <v>425</v>
      </c>
    </row>
    <row r="26" spans="1:3">
      <c r="A26" s="109"/>
      <c r="B26" s="103" t="s">
        <v>426</v>
      </c>
      <c r="C26" s="104" t="s">
        <v>427</v>
      </c>
    </row>
    <row r="27" spans="1:3">
      <c r="A27" s="109"/>
      <c r="B27" s="103" t="s">
        <v>428</v>
      </c>
      <c r="C27" s="104" t="s">
        <v>429</v>
      </c>
    </row>
    <row r="28" spans="1:3">
      <c r="A28" s="109"/>
      <c r="B28" s="103" t="s">
        <v>430</v>
      </c>
      <c r="C28" s="104" t="s">
        <v>431</v>
      </c>
    </row>
    <row r="29" spans="1:3">
      <c r="A29" s="109"/>
      <c r="B29" s="103" t="s">
        <v>432</v>
      </c>
      <c r="C29" s="104" t="s">
        <v>433</v>
      </c>
    </row>
    <row r="30" spans="1:3">
      <c r="A30" s="109"/>
      <c r="B30" s="103" t="s">
        <v>434</v>
      </c>
      <c r="C30" s="104" t="s">
        <v>435</v>
      </c>
    </row>
    <row r="31" spans="1:3">
      <c r="A31" s="109"/>
      <c r="B31" s="103" t="s">
        <v>436</v>
      </c>
      <c r="C31" s="104" t="s">
        <v>437</v>
      </c>
    </row>
    <row r="32" spans="1:3">
      <c r="A32" s="109"/>
      <c r="B32" s="103" t="s">
        <v>438</v>
      </c>
      <c r="C32" s="104" t="s">
        <v>439</v>
      </c>
    </row>
    <row r="33" spans="1:3">
      <c r="A33" s="110"/>
      <c r="B33" s="103" t="s">
        <v>440</v>
      </c>
      <c r="C33" s="104" t="s">
        <v>441</v>
      </c>
    </row>
    <row r="34" spans="1:3">
      <c r="A34" s="111" t="s">
        <v>3</v>
      </c>
      <c r="B34" s="103" t="s">
        <v>442</v>
      </c>
      <c r="C34" s="104" t="s">
        <v>443</v>
      </c>
    </row>
    <row r="35" spans="1:3">
      <c r="A35" s="112"/>
      <c r="B35" s="103" t="s">
        <v>444</v>
      </c>
      <c r="C35" s="104" t="s">
        <v>445</v>
      </c>
    </row>
    <row r="36" spans="1:3">
      <c r="A36" s="112"/>
      <c r="B36" s="103" t="s">
        <v>446</v>
      </c>
      <c r="C36" s="104" t="s">
        <v>447</v>
      </c>
    </row>
    <row r="37" spans="1:3">
      <c r="A37" s="112"/>
      <c r="B37" s="103" t="s">
        <v>448</v>
      </c>
      <c r="C37" s="104" t="s">
        <v>387</v>
      </c>
    </row>
    <row r="38" spans="1:3">
      <c r="A38" s="112"/>
      <c r="B38" s="103" t="s">
        <v>449</v>
      </c>
      <c r="C38" s="104" t="s">
        <v>450</v>
      </c>
    </row>
    <row r="39" spans="1:3">
      <c r="A39" s="112"/>
      <c r="B39" s="103" t="s">
        <v>451</v>
      </c>
      <c r="C39" s="104" t="s">
        <v>452</v>
      </c>
    </row>
    <row r="40" spans="1:3">
      <c r="A40" s="112"/>
      <c r="B40" s="103" t="s">
        <v>453</v>
      </c>
      <c r="C40" s="104" t="s">
        <v>454</v>
      </c>
    </row>
    <row r="41" spans="1:3">
      <c r="A41" s="112"/>
      <c r="B41" s="103" t="s">
        <v>455</v>
      </c>
      <c r="C41" s="104" t="s">
        <v>456</v>
      </c>
    </row>
    <row r="42" spans="1:3">
      <c r="A42" s="112"/>
      <c r="B42" s="103" t="s">
        <v>457</v>
      </c>
      <c r="C42" s="104" t="s">
        <v>458</v>
      </c>
    </row>
    <row r="43" spans="1:3">
      <c r="A43" s="112"/>
      <c r="B43" s="103" t="s">
        <v>459</v>
      </c>
      <c r="C43" s="104" t="s">
        <v>460</v>
      </c>
    </row>
    <row r="44" spans="1:3">
      <c r="A44" s="112"/>
      <c r="B44" s="103" t="s">
        <v>461</v>
      </c>
      <c r="C44" s="104" t="s">
        <v>462</v>
      </c>
    </row>
    <row r="45" spans="1:3">
      <c r="A45" s="112"/>
      <c r="B45" s="103" t="s">
        <v>463</v>
      </c>
      <c r="C45" s="104" t="s">
        <v>464</v>
      </c>
    </row>
    <row r="46" spans="1:3">
      <c r="A46" s="112"/>
      <c r="B46" s="103" t="s">
        <v>465</v>
      </c>
      <c r="C46" s="104" t="s">
        <v>466</v>
      </c>
    </row>
    <row r="47" customFormat="1" spans="1:3">
      <c r="A47" s="112"/>
      <c r="B47" s="103" t="s">
        <v>467</v>
      </c>
      <c r="C47" s="104" t="s">
        <v>468</v>
      </c>
    </row>
    <row r="48" customFormat="1" spans="1:3">
      <c r="A48" s="113"/>
      <c r="B48" s="103" t="s">
        <v>469</v>
      </c>
      <c r="C48" s="104" t="s">
        <v>470</v>
      </c>
    </row>
    <row r="49" spans="1:3">
      <c r="A49" s="109" t="s">
        <v>4</v>
      </c>
      <c r="B49" s="103" t="s">
        <v>471</v>
      </c>
      <c r="C49" s="104" t="s">
        <v>472</v>
      </c>
    </row>
    <row r="50" spans="1:3">
      <c r="A50" s="109"/>
      <c r="B50" s="103" t="s">
        <v>473</v>
      </c>
      <c r="C50" s="104" t="s">
        <v>474</v>
      </c>
    </row>
    <row r="51" spans="1:3">
      <c r="A51" s="109"/>
      <c r="B51" s="103" t="s">
        <v>475</v>
      </c>
      <c r="C51" s="104" t="s">
        <v>476</v>
      </c>
    </row>
    <row r="52" spans="1:3">
      <c r="A52" s="109"/>
      <c r="B52" s="103" t="s">
        <v>477</v>
      </c>
      <c r="C52" s="104" t="s">
        <v>478</v>
      </c>
    </row>
    <row r="53" spans="1:3">
      <c r="A53" s="109"/>
      <c r="B53" s="103" t="s">
        <v>479</v>
      </c>
      <c r="C53" s="104" t="s">
        <v>480</v>
      </c>
    </row>
    <row r="54" spans="1:3">
      <c r="A54" s="109"/>
      <c r="B54" s="103" t="s">
        <v>481</v>
      </c>
      <c r="C54" s="104" t="s">
        <v>482</v>
      </c>
    </row>
    <row r="55" spans="1:3">
      <c r="A55" s="109"/>
      <c r="B55" s="103" t="s">
        <v>483</v>
      </c>
      <c r="C55" s="104" t="s">
        <v>484</v>
      </c>
    </row>
    <row r="56" spans="1:3">
      <c r="A56" s="109"/>
      <c r="B56" s="103" t="s">
        <v>485</v>
      </c>
      <c r="C56" s="104" t="s">
        <v>486</v>
      </c>
    </row>
    <row r="57" spans="1:3">
      <c r="A57" s="109"/>
      <c r="B57" s="103" t="s">
        <v>487</v>
      </c>
      <c r="C57" s="104" t="s">
        <v>488</v>
      </c>
    </row>
    <row r="58" spans="1:3">
      <c r="A58" s="109"/>
      <c r="B58" s="103" t="s">
        <v>489</v>
      </c>
      <c r="C58" s="104" t="s">
        <v>490</v>
      </c>
    </row>
    <row r="59" spans="1:3">
      <c r="A59" s="109"/>
      <c r="B59" s="103" t="s">
        <v>491</v>
      </c>
      <c r="C59" s="104" t="s">
        <v>492</v>
      </c>
    </row>
    <row r="60" spans="1:3">
      <c r="A60" s="109"/>
      <c r="B60" s="103" t="s">
        <v>493</v>
      </c>
      <c r="C60" s="104" t="s">
        <v>494</v>
      </c>
    </row>
    <row r="61" spans="1:3">
      <c r="A61" s="109"/>
      <c r="B61" s="103" t="s">
        <v>495</v>
      </c>
      <c r="C61" s="104" t="s">
        <v>496</v>
      </c>
    </row>
    <row r="62" spans="1:3">
      <c r="A62" s="109"/>
      <c r="B62" s="103" t="s">
        <v>497</v>
      </c>
      <c r="C62" s="104" t="s">
        <v>498</v>
      </c>
    </row>
    <row r="63" spans="1:3">
      <c r="A63" s="111" t="s">
        <v>5</v>
      </c>
      <c r="B63" s="103" t="s">
        <v>499</v>
      </c>
    </row>
    <row r="64" spans="1:3">
      <c r="A64" s="112"/>
      <c r="B64" s="103" t="s">
        <v>499</v>
      </c>
    </row>
    <row r="65" spans="1:2">
      <c r="A65" s="112"/>
      <c r="B65" s="103" t="s">
        <v>499</v>
      </c>
    </row>
    <row r="66" spans="1:2">
      <c r="A66" s="112"/>
      <c r="B66" s="103" t="s">
        <v>499</v>
      </c>
    </row>
    <row r="67" spans="1:2">
      <c r="A67" s="112"/>
      <c r="B67" s="103" t="s">
        <v>499</v>
      </c>
    </row>
    <row r="68" spans="1:2">
      <c r="A68" s="112"/>
      <c r="B68" s="103" t="s">
        <v>499</v>
      </c>
    </row>
    <row r="69" spans="1:2">
      <c r="A69" s="112"/>
      <c r="B69" s="103" t="s">
        <v>499</v>
      </c>
    </row>
    <row r="70" spans="1:2">
      <c r="A70" s="112"/>
      <c r="B70" s="103" t="s">
        <v>499</v>
      </c>
    </row>
  </sheetData>
  <mergeCells count="5">
    <mergeCell ref="A2:A20"/>
    <mergeCell ref="A21:A33"/>
    <mergeCell ref="A34:A48"/>
    <mergeCell ref="A49:A62"/>
    <mergeCell ref="A63:A70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workbookViewId="0">
      <selection activeCell="D22" sqref="D22"/>
    </sheetView>
  </sheetViews>
  <sheetFormatPr defaultColWidth="8.72727272727273" defaultRowHeight="14" outlineLevelCol="4"/>
  <cols>
    <col min="1" max="1" width="4" style="86" customWidth="1"/>
    <col min="2" max="2" width="7.21818181818182" style="87" customWidth="1"/>
    <col min="3" max="3" width="9.21818181818182" style="88" customWidth="1"/>
    <col min="4" max="4" width="62.4545454545455" style="89" customWidth="1"/>
  </cols>
  <sheetData>
    <row r="1" spans="1:5">
      <c r="A1" s="90" t="s">
        <v>500</v>
      </c>
      <c r="B1" s="91" t="s">
        <v>0</v>
      </c>
      <c r="C1" s="92" t="s">
        <v>501</v>
      </c>
      <c r="D1" s="93" t="s">
        <v>502</v>
      </c>
    </row>
    <row r="2" spans="1:5">
      <c r="A2" s="94">
        <v>1</v>
      </c>
      <c r="B2" s="95" t="s">
        <v>7</v>
      </c>
      <c r="C2" s="96">
        <v>20111216</v>
      </c>
      <c r="D2" s="89" t="s">
        <v>503</v>
      </c>
    </row>
    <row r="3" spans="1:5">
      <c r="A3" s="94">
        <v>2</v>
      </c>
      <c r="B3" s="95" t="s">
        <v>10</v>
      </c>
      <c r="C3" s="97">
        <v>20111227</v>
      </c>
      <c r="D3" s="89" t="s">
        <v>504</v>
      </c>
    </row>
    <row r="4" spans="1:5">
      <c r="A4" s="94">
        <v>3</v>
      </c>
      <c r="B4" s="95" t="s">
        <v>13</v>
      </c>
      <c r="C4" s="97">
        <v>20120518</v>
      </c>
      <c r="D4" s="89" t="s">
        <v>505</v>
      </c>
    </row>
    <row r="5" customFormat="1" spans="1:5">
      <c r="A5" s="94">
        <v>4</v>
      </c>
      <c r="B5" s="95" t="s">
        <v>15</v>
      </c>
      <c r="C5" s="97">
        <v>20120714</v>
      </c>
      <c r="D5" s="89" t="s">
        <v>17</v>
      </c>
    </row>
    <row r="6" spans="1:5">
      <c r="A6" s="94">
        <v>5</v>
      </c>
      <c r="B6" s="95" t="s">
        <v>19</v>
      </c>
      <c r="C6" s="97">
        <v>20120504</v>
      </c>
      <c r="D6" s="89" t="s">
        <v>329</v>
      </c>
    </row>
    <row r="7" spans="1:5">
      <c r="A7" s="94">
        <v>6</v>
      </c>
      <c r="B7" s="95" t="s">
        <v>21</v>
      </c>
      <c r="C7" s="97">
        <v>20120809</v>
      </c>
      <c r="D7" s="89" t="s">
        <v>506</v>
      </c>
    </row>
    <row r="8" spans="1:5">
      <c r="A8" s="94">
        <v>7</v>
      </c>
      <c r="B8" s="95" t="s">
        <v>25</v>
      </c>
      <c r="C8" s="97">
        <v>20120227</v>
      </c>
      <c r="D8" s="89" t="s">
        <v>507</v>
      </c>
    </row>
    <row r="9" spans="1:5">
      <c r="A9" s="94">
        <v>8</v>
      </c>
      <c r="B9" s="95" t="s">
        <v>27</v>
      </c>
      <c r="C9" s="97">
        <v>20120127</v>
      </c>
      <c r="D9" s="89" t="s">
        <v>508</v>
      </c>
    </row>
    <row r="10" spans="1:5">
      <c r="A10" s="94">
        <v>9</v>
      </c>
      <c r="B10" s="95" t="s">
        <v>28</v>
      </c>
      <c r="C10" s="97">
        <v>20111202</v>
      </c>
      <c r="D10" s="89" t="s">
        <v>509</v>
      </c>
    </row>
    <row r="11" customFormat="1" spans="1:5">
      <c r="A11" s="94">
        <v>10</v>
      </c>
      <c r="B11" s="95" t="s">
        <v>30</v>
      </c>
      <c r="C11" s="97">
        <v>20120623</v>
      </c>
      <c r="D11" s="89"/>
    </row>
    <row r="12" spans="1:5">
      <c r="A12" s="94">
        <v>11</v>
      </c>
      <c r="B12" s="95" t="s">
        <v>31</v>
      </c>
      <c r="C12" s="97">
        <v>20111024</v>
      </c>
      <c r="D12" s="89" t="s">
        <v>510</v>
      </c>
    </row>
    <row r="13" spans="1:5">
      <c r="A13" s="94">
        <v>12</v>
      </c>
      <c r="B13" s="95" t="s">
        <v>33</v>
      </c>
      <c r="C13" s="97">
        <v>20110908</v>
      </c>
      <c r="D13" s="89" t="s">
        <v>511</v>
      </c>
    </row>
    <row r="14" spans="1:5">
      <c r="A14" s="94">
        <v>13</v>
      </c>
      <c r="B14" s="95" t="s">
        <v>36</v>
      </c>
      <c r="C14" s="97">
        <v>20120228</v>
      </c>
      <c r="D14" s="89" t="s">
        <v>512</v>
      </c>
    </row>
    <row r="15" customFormat="1" spans="1:5">
      <c r="A15" s="94">
        <v>14</v>
      </c>
      <c r="B15" s="95" t="s">
        <v>38</v>
      </c>
      <c r="C15" s="97">
        <v>20110904</v>
      </c>
      <c r="D15" s="89"/>
    </row>
    <row r="16" spans="1:5">
      <c r="A16" s="94">
        <v>15</v>
      </c>
      <c r="B16" s="95" t="s">
        <v>39</v>
      </c>
      <c r="C16" s="96">
        <v>20111201</v>
      </c>
      <c r="D16" s="89" t="s">
        <v>513</v>
      </c>
      <c r="E16" t="s">
        <v>514</v>
      </c>
    </row>
    <row r="17" spans="1:5">
      <c r="A17" s="94">
        <v>16</v>
      </c>
      <c r="B17" s="95" t="s">
        <v>43</v>
      </c>
      <c r="C17" s="97">
        <v>20120722</v>
      </c>
      <c r="D17" s="89" t="s">
        <v>515</v>
      </c>
    </row>
    <row r="18" customFormat="1" spans="1:5">
      <c r="A18" s="94">
        <v>17</v>
      </c>
      <c r="B18" s="95" t="s">
        <v>45</v>
      </c>
      <c r="C18" s="97">
        <v>20111215</v>
      </c>
      <c r="D18" s="89"/>
      <c r="E18" t="s">
        <v>514</v>
      </c>
    </row>
    <row r="19" customFormat="1" spans="1:5">
      <c r="A19" s="94">
        <v>18</v>
      </c>
      <c r="B19" s="95" t="s">
        <v>47</v>
      </c>
      <c r="C19" s="97">
        <v>20120509</v>
      </c>
      <c r="D19" s="89"/>
    </row>
    <row r="20" spans="1:5">
      <c r="A20" s="94">
        <v>19</v>
      </c>
      <c r="B20" s="95" t="s">
        <v>50</v>
      </c>
      <c r="C20" s="97">
        <v>20120530</v>
      </c>
      <c r="D20" s="89" t="s">
        <v>516</v>
      </c>
    </row>
    <row r="21" spans="1:5">
      <c r="A21" s="94">
        <v>20</v>
      </c>
      <c r="B21" s="95" t="s">
        <v>53</v>
      </c>
      <c r="C21" s="97">
        <v>20120827</v>
      </c>
      <c r="D21" s="89" t="s">
        <v>517</v>
      </c>
      <c r="E21" t="s">
        <v>514</v>
      </c>
    </row>
    <row r="22" customFormat="1" spans="1:5">
      <c r="A22" s="94">
        <v>21</v>
      </c>
      <c r="B22" s="95" t="s">
        <v>58</v>
      </c>
      <c r="C22" s="97">
        <v>20120816</v>
      </c>
      <c r="D22" s="89"/>
    </row>
    <row r="23" spans="1:5">
      <c r="A23" s="94">
        <v>22</v>
      </c>
      <c r="B23" s="95" t="s">
        <v>59</v>
      </c>
      <c r="C23" s="97">
        <v>20120518</v>
      </c>
      <c r="D23" s="89" t="s">
        <v>518</v>
      </c>
    </row>
    <row r="24" spans="1:5">
      <c r="A24" s="94">
        <v>23</v>
      </c>
      <c r="B24" s="95" t="s">
        <v>63</v>
      </c>
      <c r="C24" s="97">
        <v>20120413</v>
      </c>
      <c r="D24" s="89" t="s">
        <v>519</v>
      </c>
    </row>
    <row r="25" spans="1:5">
      <c r="A25" s="94">
        <v>24</v>
      </c>
      <c r="B25" s="95" t="s">
        <v>68</v>
      </c>
      <c r="C25" s="97">
        <v>20120629</v>
      </c>
      <c r="D25" s="89" t="s">
        <v>520</v>
      </c>
    </row>
    <row r="26" spans="1:5">
      <c r="A26" s="94">
        <v>25</v>
      </c>
      <c r="B26" s="95" t="s">
        <v>69</v>
      </c>
      <c r="C26" s="97">
        <v>20111105</v>
      </c>
      <c r="D26" s="89" t="s">
        <v>521</v>
      </c>
    </row>
    <row r="27" spans="1:5">
      <c r="A27" s="94">
        <v>26</v>
      </c>
      <c r="B27" s="95" t="s">
        <v>70</v>
      </c>
      <c r="C27" s="97">
        <v>20120112</v>
      </c>
      <c r="D27" s="89" t="s">
        <v>522</v>
      </c>
    </row>
    <row r="28" spans="1:5">
      <c r="A28" s="94">
        <v>27</v>
      </c>
      <c r="B28" s="95" t="s">
        <v>74</v>
      </c>
      <c r="C28" s="97">
        <v>20111119</v>
      </c>
      <c r="D28" s="89" t="s">
        <v>523</v>
      </c>
    </row>
    <row r="29" customFormat="1" spans="1:5">
      <c r="A29" s="94">
        <v>28</v>
      </c>
      <c r="B29" s="95" t="s">
        <v>79</v>
      </c>
      <c r="C29" s="97">
        <v>20120110</v>
      </c>
      <c r="D29" s="89" t="s">
        <v>524</v>
      </c>
    </row>
    <row r="30" spans="1:5">
      <c r="A30" s="94">
        <v>29</v>
      </c>
      <c r="B30" s="95" t="s">
        <v>82</v>
      </c>
      <c r="C30" s="97">
        <v>20120331</v>
      </c>
      <c r="D30" s="89" t="s">
        <v>525</v>
      </c>
    </row>
    <row r="31" spans="1:5">
      <c r="A31" s="94">
        <v>30</v>
      </c>
      <c r="B31" s="95" t="s">
        <v>85</v>
      </c>
      <c r="C31" s="97">
        <v>20111109</v>
      </c>
      <c r="D31" s="89" t="s">
        <v>526</v>
      </c>
    </row>
    <row r="32" spans="1:5">
      <c r="A32" s="94">
        <v>31</v>
      </c>
      <c r="B32" s="95" t="s">
        <v>86</v>
      </c>
      <c r="C32" s="97">
        <v>20120824</v>
      </c>
      <c r="D32" s="89" t="s">
        <v>527</v>
      </c>
    </row>
    <row r="33" customFormat="1" spans="1:5">
      <c r="A33" s="94">
        <v>32</v>
      </c>
      <c r="B33" s="95" t="s">
        <v>87</v>
      </c>
      <c r="C33" s="97">
        <v>20120425</v>
      </c>
      <c r="D33" s="89"/>
    </row>
    <row r="34" spans="1:5">
      <c r="A34" s="94">
        <v>33</v>
      </c>
      <c r="B34" s="95" t="s">
        <v>88</v>
      </c>
      <c r="C34" s="97">
        <v>20120624</v>
      </c>
      <c r="D34" s="89" t="s">
        <v>528</v>
      </c>
    </row>
    <row r="35" customFormat="1" spans="1:5">
      <c r="A35" s="94">
        <v>34</v>
      </c>
      <c r="B35" s="95" t="s">
        <v>89</v>
      </c>
      <c r="C35" s="97">
        <v>20120507</v>
      </c>
      <c r="D35" s="89"/>
    </row>
    <row r="36" spans="1:5">
      <c r="A36" s="94">
        <v>35</v>
      </c>
      <c r="B36" s="95" t="s">
        <v>90</v>
      </c>
      <c r="C36" s="97">
        <v>20120603</v>
      </c>
      <c r="D36" s="89" t="s">
        <v>529</v>
      </c>
    </row>
    <row r="37" spans="1:5">
      <c r="A37" s="94">
        <v>36</v>
      </c>
      <c r="B37" s="95" t="s">
        <v>92</v>
      </c>
      <c r="C37" s="96">
        <v>20120326</v>
      </c>
      <c r="D37" s="89" t="s">
        <v>530</v>
      </c>
    </row>
    <row r="38" spans="1:5">
      <c r="A38" s="98">
        <v>37</v>
      </c>
      <c r="B38" s="98" t="s">
        <v>95</v>
      </c>
      <c r="C38" s="99">
        <v>20111106</v>
      </c>
      <c r="D38" s="100" t="s">
        <v>531</v>
      </c>
      <c r="E38" t="s">
        <v>514</v>
      </c>
    </row>
    <row r="39" spans="1:5">
      <c r="A39" s="94">
        <v>38</v>
      </c>
      <c r="B39" s="95" t="s">
        <v>97</v>
      </c>
      <c r="C39" s="97">
        <v>20120811</v>
      </c>
      <c r="D39" s="101" t="s">
        <v>532</v>
      </c>
    </row>
    <row r="40" spans="1:5">
      <c r="A40" s="94">
        <v>39</v>
      </c>
      <c r="B40" s="95" t="s">
        <v>101</v>
      </c>
      <c r="C40" s="97">
        <v>20111217</v>
      </c>
      <c r="D40" s="101" t="s">
        <v>533</v>
      </c>
    </row>
    <row r="41" spans="1:5">
      <c r="A41" s="94">
        <v>40</v>
      </c>
      <c r="B41" s="95" t="s">
        <v>108</v>
      </c>
      <c r="C41" s="97">
        <v>20111013</v>
      </c>
      <c r="D41" s="89" t="s">
        <v>534</v>
      </c>
      <c r="E41" t="s">
        <v>514</v>
      </c>
    </row>
    <row r="42" customFormat="1" spans="1:5">
      <c r="A42" s="94">
        <v>41</v>
      </c>
      <c r="B42" s="95" t="s">
        <v>117</v>
      </c>
      <c r="C42" s="97">
        <v>20111027</v>
      </c>
      <c r="D42" s="89"/>
    </row>
    <row r="43" spans="1:5">
      <c r="A43" s="94">
        <v>42</v>
      </c>
      <c r="B43" s="95" t="s">
        <v>118</v>
      </c>
      <c r="C43" s="97">
        <v>20120207</v>
      </c>
      <c r="D43" s="89" t="s">
        <v>535</v>
      </c>
      <c r="E43" t="s">
        <v>514</v>
      </c>
    </row>
    <row r="44" customFormat="1" spans="1:5">
      <c r="A44" s="94">
        <v>43</v>
      </c>
      <c r="B44" s="95" t="s">
        <v>122</v>
      </c>
      <c r="C44" s="96">
        <v>20120508</v>
      </c>
      <c r="D44" s="89"/>
    </row>
    <row r="45" spans="1:5">
      <c r="A45" s="94">
        <v>44</v>
      </c>
      <c r="B45" s="95" t="s">
        <v>124</v>
      </c>
      <c r="C45" s="97">
        <v>20110929</v>
      </c>
      <c r="D45" s="89" t="s">
        <v>536</v>
      </c>
    </row>
    <row r="46" customFormat="1" spans="1:5">
      <c r="A46" s="94">
        <v>45</v>
      </c>
      <c r="B46" s="95" t="s">
        <v>128</v>
      </c>
      <c r="C46" s="97">
        <v>20111205</v>
      </c>
      <c r="D46" s="89"/>
    </row>
    <row r="47" spans="1:5">
      <c r="A47" s="94">
        <v>46</v>
      </c>
      <c r="B47" s="95" t="s">
        <v>129</v>
      </c>
      <c r="C47" s="97">
        <v>20120108</v>
      </c>
      <c r="D47" s="89" t="s">
        <v>537</v>
      </c>
      <c r="E47" t="s">
        <v>514</v>
      </c>
    </row>
    <row r="48" spans="1:5">
      <c r="A48" s="94">
        <v>47</v>
      </c>
      <c r="B48" s="95" t="s">
        <v>131</v>
      </c>
      <c r="C48" s="97">
        <v>20120311</v>
      </c>
      <c r="D48" s="89" t="s">
        <v>538</v>
      </c>
    </row>
    <row r="49" customFormat="1" spans="1:4">
      <c r="A49" s="94">
        <v>48</v>
      </c>
      <c r="B49" s="95" t="s">
        <v>135</v>
      </c>
      <c r="C49" s="97">
        <v>20110902</v>
      </c>
      <c r="D49" s="89"/>
    </row>
    <row r="50" spans="1:4">
      <c r="A50" s="94">
        <v>49</v>
      </c>
      <c r="B50" s="95" t="s">
        <v>137</v>
      </c>
      <c r="C50" s="97">
        <v>20120723</v>
      </c>
      <c r="D50" s="89" t="s">
        <v>539</v>
      </c>
    </row>
    <row r="51" customFormat="1" spans="1:4">
      <c r="A51" s="94">
        <v>50</v>
      </c>
      <c r="B51" s="95" t="s">
        <v>139</v>
      </c>
      <c r="C51" s="97">
        <v>20120101</v>
      </c>
      <c r="D51" s="89"/>
    </row>
    <row r="52" spans="1:4">
      <c r="A52" s="94">
        <v>51</v>
      </c>
      <c r="B52" s="95" t="s">
        <v>140</v>
      </c>
      <c r="C52" s="97">
        <v>20111220</v>
      </c>
      <c r="D52" s="89" t="s">
        <v>540</v>
      </c>
    </row>
    <row r="54" spans="1:4">
      <c r="B54" s="87" t="s">
        <v>241</v>
      </c>
      <c r="D54" s="89" t="s">
        <v>541</v>
      </c>
    </row>
    <row r="55" spans="1:4">
      <c r="B55" s="87" t="s">
        <v>333</v>
      </c>
      <c r="D55" s="89" t="s">
        <v>542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29"/>
  <sheetViews>
    <sheetView topLeftCell="A50" workbookViewId="0">
      <selection activeCell="G14" sqref="G14"/>
    </sheetView>
  </sheetViews>
  <sheetFormatPr defaultColWidth="8.72727272727273" defaultRowHeight="14" outlineLevelCol="4"/>
  <cols>
    <col min="1" max="1" width="5.17272727272727" style="64" customWidth="1"/>
    <col min="2" max="2" width="8.72727272727273" style="65"/>
    <col min="3" max="3" width="7.55454545454545" style="66" customWidth="1"/>
    <col min="4" max="4" width="8.72727272727273" style="67"/>
    <col min="5" max="5" width="77.2727272727273" style="68" customWidth="1"/>
    <col min="6" max="16384" width="8.72727272727273" style="63"/>
  </cols>
  <sheetData>
    <row r="1" s="62" customFormat="1" spans="1:5">
      <c r="A1" s="69" t="s">
        <v>543</v>
      </c>
      <c r="B1" s="70" t="s">
        <v>544</v>
      </c>
      <c r="C1" s="71" t="s">
        <v>545</v>
      </c>
      <c r="D1" s="72"/>
      <c r="E1" s="73" t="s">
        <v>546</v>
      </c>
    </row>
    <row r="2" s="63" customFormat="1" ht="409" customHeight="1" spans="1:5">
      <c r="A2" s="74" t="s">
        <v>334</v>
      </c>
      <c r="B2" s="75" t="s">
        <v>241</v>
      </c>
      <c r="C2" s="76" t="s">
        <v>547</v>
      </c>
      <c r="D2" s="67" t="s">
        <v>548</v>
      </c>
      <c r="E2" s="68" t="s">
        <v>549</v>
      </c>
    </row>
    <row r="3" s="63" customFormat="1" ht="56" spans="1:5">
      <c r="A3" s="77"/>
      <c r="B3" s="78"/>
      <c r="C3" s="79"/>
      <c r="D3" s="67" t="s">
        <v>550</v>
      </c>
      <c r="E3" s="68" t="s">
        <v>551</v>
      </c>
    </row>
    <row r="4" s="63" customFormat="1" spans="1:5">
      <c r="A4" s="77"/>
      <c r="B4" s="78"/>
      <c r="C4" s="79"/>
      <c r="D4" s="67" t="s">
        <v>552</v>
      </c>
      <c r="E4" s="68" t="s">
        <v>553</v>
      </c>
    </row>
    <row r="5" s="63" customFormat="1" ht="56" spans="1:5">
      <c r="A5" s="77"/>
      <c r="B5" s="78"/>
      <c r="C5" s="79"/>
      <c r="D5" s="67" t="s">
        <v>554</v>
      </c>
      <c r="E5" s="68" t="s">
        <v>555</v>
      </c>
    </row>
    <row r="6" s="63" customFormat="1" ht="238" spans="1:5">
      <c r="A6" s="77"/>
      <c r="B6" s="78"/>
      <c r="C6" s="79"/>
      <c r="D6" s="67" t="s">
        <v>556</v>
      </c>
      <c r="E6" s="68" t="s">
        <v>557</v>
      </c>
    </row>
    <row r="7" s="63" customFormat="1" ht="238" spans="1:5">
      <c r="A7" s="77"/>
      <c r="B7" s="78"/>
      <c r="C7" s="76" t="s">
        <v>558</v>
      </c>
      <c r="D7" s="67" t="s">
        <v>559</v>
      </c>
      <c r="E7" s="68" t="s">
        <v>560</v>
      </c>
    </row>
    <row r="8" s="63" customFormat="1" ht="56" spans="1:5">
      <c r="A8" s="77"/>
      <c r="B8" s="78"/>
      <c r="C8" s="79"/>
      <c r="D8" s="67" t="s">
        <v>561</v>
      </c>
      <c r="E8" s="68" t="s">
        <v>562</v>
      </c>
    </row>
    <row r="9" s="63" customFormat="1" ht="84" spans="1:5">
      <c r="A9" s="77"/>
      <c r="B9" s="78"/>
      <c r="C9" s="79"/>
      <c r="D9" s="67" t="s">
        <v>563</v>
      </c>
      <c r="E9" s="68" t="s">
        <v>564</v>
      </c>
    </row>
    <row r="10" s="63" customFormat="1" ht="28" spans="1:5">
      <c r="A10" s="77"/>
      <c r="B10" s="78"/>
      <c r="C10" s="79"/>
      <c r="D10" s="67" t="s">
        <v>565</v>
      </c>
      <c r="E10" s="68" t="s">
        <v>566</v>
      </c>
    </row>
    <row r="11" s="63" customFormat="1" spans="1:5">
      <c r="A11" s="77"/>
      <c r="B11" s="78"/>
      <c r="C11" s="80"/>
      <c r="D11" s="67" t="s">
        <v>567</v>
      </c>
      <c r="E11" s="68" t="s">
        <v>568</v>
      </c>
    </row>
    <row r="12" s="63" customFormat="1" ht="154" spans="1:5">
      <c r="A12" s="77"/>
      <c r="B12" s="78"/>
      <c r="C12" s="66"/>
      <c r="D12" s="67" t="s">
        <v>569</v>
      </c>
      <c r="E12" s="68" t="s">
        <v>570</v>
      </c>
    </row>
    <row r="13" s="63" customFormat="1" ht="56" spans="1:5">
      <c r="A13" s="77"/>
      <c r="B13" s="78"/>
      <c r="C13" s="81" t="s">
        <v>571</v>
      </c>
      <c r="D13" s="72"/>
      <c r="E13" s="68" t="s">
        <v>572</v>
      </c>
    </row>
    <row r="14" s="63" customFormat="1" ht="84" spans="1:5">
      <c r="A14" s="77"/>
      <c r="B14" s="78"/>
      <c r="C14" s="81" t="s">
        <v>573</v>
      </c>
      <c r="D14" s="72"/>
      <c r="E14" s="68" t="s">
        <v>574</v>
      </c>
    </row>
    <row r="15" s="63" customFormat="1" ht="28" spans="1:5">
      <c r="A15" s="77"/>
      <c r="B15" s="78"/>
      <c r="C15" s="81" t="s">
        <v>575</v>
      </c>
      <c r="D15" s="72"/>
      <c r="E15" s="68" t="s">
        <v>576</v>
      </c>
    </row>
    <row r="16" s="63" customFormat="1" spans="1:5">
      <c r="A16" s="77"/>
      <c r="B16" s="78"/>
      <c r="C16" s="81" t="s">
        <v>577</v>
      </c>
      <c r="D16" s="72"/>
      <c r="E16" s="68"/>
    </row>
    <row r="17" s="63" customFormat="1" spans="1:5">
      <c r="A17" s="77"/>
      <c r="B17" s="78"/>
      <c r="C17" s="81" t="s">
        <v>578</v>
      </c>
      <c r="D17" s="72"/>
      <c r="E17" s="68" t="s">
        <v>579</v>
      </c>
    </row>
    <row r="18" s="63" customFormat="1" spans="1:5">
      <c r="A18" s="77"/>
      <c r="B18" s="78"/>
      <c r="C18" s="76" t="s">
        <v>580</v>
      </c>
      <c r="D18" s="67" t="s">
        <v>581</v>
      </c>
      <c r="E18" s="68" t="s">
        <v>582</v>
      </c>
    </row>
    <row r="19" s="63" customFormat="1" spans="1:5">
      <c r="A19" s="77"/>
      <c r="B19" s="78"/>
      <c r="C19" s="80"/>
      <c r="D19" s="67" t="s">
        <v>583</v>
      </c>
      <c r="E19" s="68" t="s">
        <v>584</v>
      </c>
    </row>
    <row r="20" s="63" customFormat="1" spans="1:5">
      <c r="A20" s="77"/>
      <c r="B20" s="78"/>
      <c r="C20" s="81" t="s">
        <v>585</v>
      </c>
      <c r="D20" s="72"/>
      <c r="E20" s="68"/>
    </row>
    <row r="21" s="63" customFormat="1" spans="1:5">
      <c r="A21" s="77"/>
      <c r="B21" s="78"/>
      <c r="C21" s="81" t="s">
        <v>586</v>
      </c>
      <c r="D21" s="72"/>
      <c r="E21" s="68" t="s">
        <v>587</v>
      </c>
    </row>
    <row r="22" s="63" customFormat="1" ht="28" spans="1:5">
      <c r="A22" s="77"/>
      <c r="B22" s="78"/>
      <c r="C22" s="81" t="s">
        <v>588</v>
      </c>
      <c r="D22" s="82"/>
      <c r="E22" s="68" t="s">
        <v>589</v>
      </c>
    </row>
    <row r="23" s="63" customFormat="1" spans="1:5">
      <c r="A23" s="77"/>
      <c r="B23" s="78"/>
      <c r="C23" s="66" t="s">
        <v>590</v>
      </c>
      <c r="D23" s="66"/>
      <c r="E23" s="68" t="s">
        <v>591</v>
      </c>
    </row>
    <row r="24" s="63" customFormat="1" spans="1:5">
      <c r="A24" s="77"/>
      <c r="B24" s="78"/>
      <c r="C24" s="66" t="s">
        <v>592</v>
      </c>
      <c r="D24" s="66"/>
      <c r="E24" s="68" t="s">
        <v>593</v>
      </c>
    </row>
    <row r="25" s="63" customFormat="1" ht="28" spans="1:5">
      <c r="A25" s="74" t="s">
        <v>332</v>
      </c>
      <c r="B25" s="75" t="s">
        <v>333</v>
      </c>
      <c r="C25" s="79" t="s">
        <v>547</v>
      </c>
      <c r="D25" s="83" t="s">
        <v>594</v>
      </c>
      <c r="E25" s="68" t="s">
        <v>595</v>
      </c>
    </row>
    <row r="26" s="63" customFormat="1" spans="1:5">
      <c r="A26" s="77"/>
      <c r="B26" s="78"/>
      <c r="C26" s="79"/>
      <c r="D26" s="67" t="s">
        <v>596</v>
      </c>
      <c r="E26" s="68" t="s">
        <v>597</v>
      </c>
    </row>
    <row r="27" s="63" customFormat="1" ht="28" spans="1:5">
      <c r="A27" s="77"/>
      <c r="B27" s="78"/>
      <c r="C27" s="79"/>
      <c r="D27" s="67" t="s">
        <v>598</v>
      </c>
      <c r="E27" s="68" t="s">
        <v>599</v>
      </c>
    </row>
    <row r="28" s="63" customFormat="1" ht="42" spans="1:5">
      <c r="A28" s="77"/>
      <c r="B28" s="78"/>
      <c r="C28" s="79"/>
      <c r="D28" s="67" t="s">
        <v>600</v>
      </c>
      <c r="E28" s="68" t="s">
        <v>601</v>
      </c>
    </row>
    <row r="29" s="63" customFormat="1" spans="1:5">
      <c r="A29" s="84"/>
      <c r="B29" s="85"/>
      <c r="C29" s="81" t="s">
        <v>558</v>
      </c>
      <c r="D29" s="82"/>
      <c r="E29" s="68" t="s">
        <v>602</v>
      </c>
    </row>
  </sheetData>
  <mergeCells count="20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29:D29"/>
    <mergeCell ref="A2:A24"/>
    <mergeCell ref="A25:A28"/>
    <mergeCell ref="B2:B24"/>
    <mergeCell ref="B25:B28"/>
    <mergeCell ref="C2:C5"/>
    <mergeCell ref="C7:C11"/>
    <mergeCell ref="C18:C19"/>
    <mergeCell ref="C25:C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32"/>
  <sheetViews>
    <sheetView zoomScale="70" zoomScaleNormal="70" topLeftCell="A16" workbookViewId="0">
      <selection activeCell="A19" sqref="$A19:$XFD19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28" spans="1:7">
      <c r="A2" s="54" t="s">
        <v>15</v>
      </c>
      <c r="B2" s="48"/>
      <c r="C2" s="49" t="s">
        <v>603</v>
      </c>
      <c r="D2" s="50"/>
      <c r="E2" s="51"/>
      <c r="F2" s="52"/>
      <c r="G2" s="53"/>
    </row>
    <row r="3" s="46" customFormat="1" spans="1:7">
      <c r="A3" s="54" t="s">
        <v>19</v>
      </c>
      <c r="B3" s="48"/>
      <c r="C3" s="60" t="s">
        <v>604</v>
      </c>
      <c r="D3" s="50"/>
      <c r="E3" s="51"/>
      <c r="F3" s="52"/>
      <c r="G3" s="53"/>
    </row>
    <row r="4" s="46" customFormat="1" ht="42" spans="1:7">
      <c r="A4" s="54" t="s">
        <v>21</v>
      </c>
      <c r="B4" s="48"/>
      <c r="C4" s="49" t="s">
        <v>605</v>
      </c>
      <c r="D4" s="50"/>
      <c r="E4" s="51"/>
      <c r="F4" s="52"/>
      <c r="G4" s="53"/>
    </row>
    <row r="5" s="46" customFormat="1" spans="1:7">
      <c r="A5" s="54" t="s">
        <v>25</v>
      </c>
      <c r="B5" s="48"/>
      <c r="C5" s="49"/>
      <c r="D5" s="50"/>
      <c r="E5" s="51"/>
      <c r="F5" s="52"/>
      <c r="G5" s="53"/>
    </row>
    <row r="6" s="46" customFormat="1" spans="1:7">
      <c r="A6" s="54" t="s">
        <v>27</v>
      </c>
      <c r="B6" s="48"/>
      <c r="C6" s="49"/>
      <c r="D6" s="50"/>
      <c r="E6" s="51"/>
      <c r="F6" s="52"/>
      <c r="G6" s="53"/>
    </row>
    <row r="7" s="46" customFormat="1" ht="28" spans="1:7">
      <c r="A7" s="54" t="s">
        <v>28</v>
      </c>
      <c r="B7" s="61" t="s">
        <v>606</v>
      </c>
      <c r="C7" s="49"/>
      <c r="D7" s="50"/>
      <c r="E7" s="51"/>
      <c r="F7" s="52"/>
      <c r="G7" s="53"/>
    </row>
    <row r="8" s="46" customFormat="1" spans="1:7">
      <c r="A8" s="54" t="s">
        <v>30</v>
      </c>
      <c r="B8" s="48"/>
      <c r="C8" s="49"/>
      <c r="D8" s="50"/>
      <c r="E8" s="51"/>
      <c r="F8" s="52"/>
      <c r="G8" s="53"/>
    </row>
    <row r="9" s="46" customFormat="1" spans="1:7">
      <c r="A9" s="54" t="s">
        <v>31</v>
      </c>
      <c r="B9" s="48"/>
      <c r="C9" s="49"/>
      <c r="D9" s="50"/>
      <c r="E9" s="51"/>
      <c r="F9" s="52"/>
      <c r="G9" s="53"/>
    </row>
    <row r="10" s="46" customFormat="1" spans="1:7">
      <c r="A10" s="54" t="s">
        <v>33</v>
      </c>
      <c r="B10" s="48"/>
      <c r="C10" s="49"/>
      <c r="D10" s="50"/>
      <c r="E10" s="51"/>
      <c r="F10" s="52"/>
      <c r="G10" s="53"/>
    </row>
    <row r="11" s="46" customFormat="1" ht="28" spans="1:7">
      <c r="A11" s="54" t="s">
        <v>36</v>
      </c>
      <c r="B11" s="61" t="s">
        <v>607</v>
      </c>
      <c r="C11" s="49"/>
      <c r="D11" s="50"/>
      <c r="E11" s="51"/>
      <c r="F11" s="52"/>
      <c r="G11" s="53"/>
    </row>
    <row r="12" s="46" customFormat="1" spans="1:7">
      <c r="A12" s="54" t="s">
        <v>38</v>
      </c>
      <c r="B12" s="48"/>
      <c r="C12" s="49"/>
      <c r="D12" s="50"/>
      <c r="E12" s="51"/>
      <c r="F12" s="52"/>
      <c r="G12" s="53"/>
    </row>
    <row r="13" s="46" customFormat="1" spans="1:7">
      <c r="A13" s="54" t="s">
        <v>39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43</v>
      </c>
      <c r="B14" s="48"/>
      <c r="C14" s="60" t="s">
        <v>608</v>
      </c>
      <c r="D14" s="50"/>
      <c r="E14" s="51"/>
      <c r="F14" s="52"/>
      <c r="G14" s="53"/>
    </row>
    <row r="15" s="46" customFormat="1" spans="1:7">
      <c r="A15" s="54" t="s">
        <v>45</v>
      </c>
      <c r="B15" s="48"/>
      <c r="C15" s="49"/>
      <c r="D15" s="50"/>
      <c r="E15" s="51"/>
      <c r="F15" s="52"/>
      <c r="G15" s="53"/>
    </row>
    <row r="16" s="46" customFormat="1" spans="1:7">
      <c r="A16" s="54" t="s">
        <v>47</v>
      </c>
      <c r="B16" s="48"/>
      <c r="C16" s="49"/>
      <c r="D16" s="50"/>
      <c r="E16" s="51"/>
      <c r="F16" s="52"/>
      <c r="G16" s="53"/>
    </row>
    <row r="17" s="46" customFormat="1" ht="42" spans="1:7">
      <c r="A17" s="54" t="s">
        <v>50</v>
      </c>
      <c r="B17" s="61" t="s">
        <v>609</v>
      </c>
      <c r="C17" s="49" t="s">
        <v>610</v>
      </c>
      <c r="D17" s="50"/>
      <c r="E17" s="51"/>
      <c r="F17" s="52"/>
      <c r="G17" s="53"/>
    </row>
    <row r="18" s="46" customFormat="1" ht="280" spans="1:7">
      <c r="A18" s="54" t="s">
        <v>53</v>
      </c>
      <c r="B18" s="48" t="s">
        <v>611</v>
      </c>
      <c r="C18" s="49" t="s">
        <v>612</v>
      </c>
      <c r="D18" s="50"/>
      <c r="E18" s="51"/>
      <c r="F18" s="52"/>
      <c r="G18" s="53"/>
    </row>
    <row r="19" s="46" customFormat="1" ht="56" spans="1:7">
      <c r="A19" s="54" t="s">
        <v>59</v>
      </c>
      <c r="B19" s="61" t="s">
        <v>613</v>
      </c>
      <c r="C19" s="49"/>
      <c r="D19" s="50"/>
      <c r="E19" s="51"/>
      <c r="F19" s="52"/>
      <c r="G19" s="53"/>
    </row>
    <row r="20" s="46" customFormat="1" ht="70" spans="1:7">
      <c r="A20" s="54" t="s">
        <v>63</v>
      </c>
      <c r="B20" s="61" t="s">
        <v>614</v>
      </c>
      <c r="C20" s="60" t="s">
        <v>615</v>
      </c>
      <c r="D20" s="50"/>
      <c r="E20" s="51"/>
      <c r="F20" s="52"/>
      <c r="G20" s="53"/>
    </row>
    <row r="21" s="46" customFormat="1" ht="112" spans="1:7">
      <c r="A21" s="54" t="s">
        <v>70</v>
      </c>
      <c r="B21" s="48" t="s">
        <v>616</v>
      </c>
      <c r="C21" s="60" t="s">
        <v>617</v>
      </c>
      <c r="D21" s="50"/>
      <c r="E21" s="51"/>
      <c r="F21" s="52"/>
      <c r="G21" s="53"/>
    </row>
    <row r="22" s="46" customFormat="1" ht="409" customHeight="1" spans="1:7">
      <c r="A22" s="54" t="s">
        <v>74</v>
      </c>
      <c r="B22" s="48" t="s">
        <v>618</v>
      </c>
      <c r="C22" s="60" t="s">
        <v>619</v>
      </c>
      <c r="D22" s="50"/>
      <c r="E22" s="51"/>
      <c r="F22" s="52"/>
      <c r="G22" s="53"/>
    </row>
    <row r="23" s="46" customFormat="1" ht="42" spans="1:7">
      <c r="A23" s="54" t="s">
        <v>90</v>
      </c>
      <c r="B23" s="61" t="s">
        <v>620</v>
      </c>
      <c r="C23" s="49"/>
      <c r="D23" s="50"/>
      <c r="E23" s="51"/>
      <c r="F23" s="52"/>
      <c r="G23" s="53"/>
    </row>
    <row r="24" s="46" customFormat="1" ht="126" spans="1:7">
      <c r="A24" s="54" t="s">
        <v>92</v>
      </c>
      <c r="B24" s="48"/>
      <c r="C24" s="60" t="s">
        <v>621</v>
      </c>
      <c r="D24" s="50"/>
      <c r="E24" s="51"/>
      <c r="F24" s="52"/>
      <c r="G24" s="53"/>
    </row>
    <row r="25" s="46" customFormat="1" ht="42" spans="1:7">
      <c r="A25" s="54" t="s">
        <v>97</v>
      </c>
      <c r="B25" s="48"/>
      <c r="C25" s="60" t="s">
        <v>622</v>
      </c>
      <c r="D25" s="50"/>
      <c r="E25" s="51"/>
      <c r="F25" s="52"/>
      <c r="G25" s="53"/>
    </row>
    <row r="26" s="46" customFormat="1" spans="1:7">
      <c r="A26" s="54" t="s">
        <v>101</v>
      </c>
      <c r="B26" s="61" t="s">
        <v>623</v>
      </c>
      <c r="C26" s="60" t="s">
        <v>624</v>
      </c>
      <c r="D26" s="50"/>
      <c r="E26" s="51"/>
      <c r="F26" s="52"/>
      <c r="G26" s="53"/>
    </row>
    <row r="27" s="46" customFormat="1" ht="126" spans="1:7">
      <c r="A27" s="54" t="s">
        <v>108</v>
      </c>
      <c r="B27" s="48"/>
      <c r="C27" s="60" t="s">
        <v>625</v>
      </c>
      <c r="D27" s="50"/>
      <c r="E27" s="51"/>
      <c r="F27" s="52"/>
      <c r="G27" s="53"/>
    </row>
    <row r="28" s="46" customFormat="1" spans="1:7">
      <c r="A28" s="54" t="s">
        <v>118</v>
      </c>
      <c r="B28" s="61" t="s">
        <v>626</v>
      </c>
      <c r="C28" s="49"/>
      <c r="D28" s="50"/>
      <c r="E28" s="51"/>
      <c r="F28" s="52"/>
      <c r="G28" s="53"/>
    </row>
    <row r="29" s="46" customFormat="1" ht="387" spans="1:7">
      <c r="A29" s="54" t="s">
        <v>124</v>
      </c>
      <c r="B29" s="48" t="s">
        <v>627</v>
      </c>
      <c r="C29" s="49"/>
      <c r="D29" s="50"/>
      <c r="E29" s="51"/>
      <c r="F29" s="52"/>
      <c r="G29" s="53"/>
    </row>
    <row r="30" s="46" customFormat="1" spans="1:7">
      <c r="A30" s="54" t="s">
        <v>131</v>
      </c>
      <c r="B30" s="48"/>
      <c r="C30" s="60" t="s">
        <v>628</v>
      </c>
      <c r="D30" s="50"/>
      <c r="E30" s="51"/>
      <c r="F30" s="52"/>
      <c r="G30" s="53"/>
    </row>
    <row r="31" s="46" customFormat="1" ht="322" spans="1:7">
      <c r="A31" s="54" t="s">
        <v>137</v>
      </c>
      <c r="B31" s="48"/>
      <c r="C31" s="60" t="s">
        <v>629</v>
      </c>
      <c r="D31" s="50"/>
      <c r="E31" s="51"/>
      <c r="F31" s="52"/>
      <c r="G31" s="53"/>
    </row>
    <row r="32" s="46" customFormat="1" ht="224" spans="1:7">
      <c r="A32" s="54" t="s">
        <v>140</v>
      </c>
      <c r="B32" s="48" t="s">
        <v>630</v>
      </c>
      <c r="C32" s="60" t="s">
        <v>631</v>
      </c>
      <c r="D32" s="50"/>
      <c r="E32" s="51"/>
      <c r="F32" s="52"/>
      <c r="G32" s="53"/>
    </row>
  </sheetData>
  <conditionalFormatting sqref="A1">
    <cfRule type="duplicateValues" dxfId="0" priority="2"/>
  </conditionalFormatting>
  <conditionalFormatting sqref="A2:A32">
    <cfRule type="duplicateValues" dxfId="0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T80" sqref="BT80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632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633</v>
      </c>
      <c r="BD1" s="12" t="s">
        <v>634</v>
      </c>
      <c r="BF1" s="11">
        <v>1</v>
      </c>
      <c r="BG1" s="11">
        <v>2</v>
      </c>
      <c r="BH1" s="11">
        <v>3</v>
      </c>
      <c r="BI1" s="11">
        <v>4</v>
      </c>
      <c r="BJ1" s="11" t="s">
        <v>635</v>
      </c>
      <c r="BK1" s="11">
        <v>5</v>
      </c>
      <c r="BL1" s="11">
        <v>6</v>
      </c>
      <c r="BM1" s="11">
        <v>7</v>
      </c>
      <c r="BN1" s="11">
        <v>8</v>
      </c>
      <c r="BO1" s="13" t="s">
        <v>634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>SUM(D3:BB3)</f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>SUM(D4:BB4)</f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>SUM(D5:BB5)</f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>SUM(D6:BB6)</f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>SUM(D7:BB7)</f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>SUM(D8:BB8)</f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>SUM(D9:BB9)</f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>SUM(D10:BB10)</f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>SUM(D11:BB11)</f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>SUM(D12:BB12)</f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>SUM(D13:BB13)</f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>SUM(D14:BB14)</f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>SUM(D15:BB15)</f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>SUM(D16:BB16)</f>
        <v>1</v>
      </c>
      <c r="BE16" s="13" t="s">
        <v>328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>SUM(D17:BB17)</f>
        <v>13</v>
      </c>
      <c r="BE17" s="13" t="s">
        <v>332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>SUM(D18:BB18)</f>
        <v>13</v>
      </c>
      <c r="BE18" s="13" t="s">
        <v>335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>SUM(BF18:BN18)</f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>SUM(D19:BB19)</f>
        <v>15</v>
      </c>
      <c r="BE19" s="13" t="s">
        <v>337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>SUM(BF19:BN19)</f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>SUM(D20:BB20)</f>
        <v>28</v>
      </c>
      <c r="BE20" s="13" t="s">
        <v>339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>SUM(BF20:BN20)</f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>SUM(D21:BB21)</f>
        <v>5</v>
      </c>
      <c r="BE21" s="13" t="s">
        <v>342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>SUM(BF21:BN21)</f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>SUM(D22:BB22)</f>
        <v>13</v>
      </c>
      <c r="BE22" s="13" t="s">
        <v>345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>SUM(BF22:BN22)</f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>SUM(D23:BB23)</f>
        <v>3</v>
      </c>
      <c r="BE23" s="13" t="s">
        <v>348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>SUM(BF23:BN23)</f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>SUM(D24:BB24)</f>
        <v>2</v>
      </c>
      <c r="BF24" s="24"/>
      <c r="BG24" s="24"/>
      <c r="BH24" s="24"/>
      <c r="BI24" s="24"/>
      <c r="BJ24" s="24"/>
      <c r="BK24" s="24"/>
      <c r="BL24" s="24"/>
      <c r="BM24" s="24" t="s">
        <v>636</v>
      </c>
      <c r="BN24" s="25"/>
      <c r="BO24" s="21">
        <f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>SUM(D25:BB25)</f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>COUNTA(BF25:BN25)</f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>SUM(D26:BB26)</f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>COUNTA(BF26:BN26)</f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>SUM(D27:BB27)</f>
        <v>4</v>
      </c>
      <c r="BF27" s="21"/>
      <c r="BG27" s="21"/>
      <c r="BH27" s="21"/>
      <c r="BI27" s="21"/>
      <c r="BJ27" s="21"/>
      <c r="BK27" s="21" t="s">
        <v>637</v>
      </c>
      <c r="BL27" s="21"/>
      <c r="BM27" s="21"/>
      <c r="BN27" s="26"/>
      <c r="BO27" s="21">
        <f>COUNTA(BF27:BN27)</f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>SUM(D28:BB28)</f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>COUNTA(BF28:BN28)</f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>SUM(D29:BB29)</f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>COUNTA(BF29:BN29)</f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>SUM(D30:BB30)</f>
        <v>2</v>
      </c>
      <c r="BF30" s="21" t="s">
        <v>637</v>
      </c>
      <c r="BG30" s="21"/>
      <c r="BH30" s="21"/>
      <c r="BI30" s="21"/>
      <c r="BJ30" s="21"/>
      <c r="BK30" s="21"/>
      <c r="BL30" s="21"/>
      <c r="BM30" s="21"/>
      <c r="BN30" s="26"/>
      <c r="BO30" s="21">
        <f>COUNTA(BF30:BN30)</f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>SUM(D31:BB31)</f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>COUNTA(BF31:BN31)</f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>SUM(D32:BB32)</f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>COUNTA(BF32:BN32)</f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>SUM(D33:BB33)</f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>COUNTA(BF33:BN33)</f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>SUM(D34:BB34)</f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>COUNTA(BF34:BN34)</f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>SUM(D35:BB35)</f>
        <v>0</v>
      </c>
      <c r="BF35" s="21"/>
      <c r="BG35" s="21"/>
      <c r="BH35" s="21" t="s">
        <v>638</v>
      </c>
      <c r="BI35" s="21"/>
      <c r="BJ35" s="21"/>
      <c r="BK35" s="21" t="s">
        <v>639</v>
      </c>
      <c r="BL35" s="21"/>
      <c r="BM35" s="21"/>
      <c r="BN35" s="26"/>
      <c r="BO35" s="21">
        <f>COUNTA(BF35:BN35)</f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>SUM(D36:BB36)</f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>COUNTA(BF36:BN36)</f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>SUM(D37:BB37)</f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>COUNTA(BF37:BN37)</f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>SUM(D38:BB38)</f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>COUNTA(BF38:BN38)</f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>SUM(D39:BB39)</f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>COUNTA(BF39:BN39)</f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>SUM(D40:BB40)</f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>COUNTA(BF40:BN40)</f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>SUM(D41:BB41)</f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>COUNTA(BF41:BN41)</f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>SUM(D42:BB42)</f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>COUNTA(BF42:BN42)</f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>SUM(D43:BB43)</f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>COUNTA(BF43:BN43)</f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>SUM(D44:BB44)</f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>COUNTA(BF44:BN44)</f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>SUM(D45:BB45)</f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>COUNTA(BF45:BN45)</f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>SUM(D46:BB46)</f>
        <v>9</v>
      </c>
      <c r="BF46" s="21"/>
      <c r="BG46" s="21"/>
      <c r="BH46" s="21"/>
      <c r="BI46" s="21" t="s">
        <v>640</v>
      </c>
      <c r="BJ46" s="21"/>
      <c r="BK46" s="21"/>
      <c r="BL46" s="21"/>
      <c r="BM46" s="21"/>
      <c r="BN46" s="26"/>
      <c r="BO46" s="21">
        <f>COUNTA(BF46:BN46)</f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>SUM(D47:BB47)</f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>COUNTA(BF47:BN47)</f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>SUM(D48:BB48)</f>
        <v>8</v>
      </c>
      <c r="BF48" s="21"/>
      <c r="BG48" s="21"/>
      <c r="BH48" s="21"/>
      <c r="BI48" s="21"/>
      <c r="BJ48" s="21"/>
      <c r="BK48" s="21"/>
      <c r="BL48" s="21" t="s">
        <v>639</v>
      </c>
      <c r="BM48" s="21"/>
      <c r="BN48" s="26"/>
      <c r="BO48" s="21">
        <f>COUNTA(BF48:BN48)</f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>SUM(D49:BB49)</f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>SUM(D50:BB50)</f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>COUNTA(BF50:BN50)</f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>SUM(D51:BB51)</f>
        <v>17</v>
      </c>
      <c r="BF51" s="21"/>
      <c r="BG51" s="21"/>
      <c r="BH51" s="21" t="s">
        <v>638</v>
      </c>
      <c r="BI51" s="21"/>
      <c r="BJ51" s="21"/>
      <c r="BK51" s="21"/>
      <c r="BL51" s="21"/>
      <c r="BM51" s="21"/>
      <c r="BN51" s="26"/>
      <c r="BO51" s="21">
        <f>COUNTA(BF51:BN51)</f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>SUM(D52:BB52)</f>
        <v>15</v>
      </c>
      <c r="BF52" s="21"/>
      <c r="BG52" s="21"/>
      <c r="BH52" s="21"/>
      <c r="BI52" s="21"/>
      <c r="BJ52" s="21"/>
      <c r="BK52" s="21"/>
      <c r="BL52" s="21" t="s">
        <v>641</v>
      </c>
      <c r="BM52" s="21"/>
      <c r="BN52" s="26"/>
      <c r="BO52" s="21">
        <f>COUNTA(BF52:BN52)</f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>SUM(D53:BB53)</f>
        <v>20</v>
      </c>
      <c r="BF53" s="21"/>
      <c r="BG53" s="21"/>
      <c r="BH53" s="21"/>
      <c r="BI53" s="21" t="s">
        <v>638</v>
      </c>
      <c r="BJ53" s="21"/>
      <c r="BK53" s="21" t="s">
        <v>639</v>
      </c>
      <c r="BL53" s="21" t="s">
        <v>639</v>
      </c>
      <c r="BM53" s="21"/>
      <c r="BN53" s="26"/>
      <c r="BO53" s="21">
        <f>COUNTA(BF53:BN53)</f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>SUM(D54:BB54)</f>
        <v>12</v>
      </c>
      <c r="BF54" s="21"/>
      <c r="BG54" s="21"/>
      <c r="BH54" s="21"/>
      <c r="BI54" s="21"/>
      <c r="BJ54" s="21"/>
      <c r="BK54" s="21" t="s">
        <v>636</v>
      </c>
      <c r="BL54" s="21"/>
      <c r="BM54" s="21"/>
      <c r="BN54" s="26"/>
      <c r="BO54" s="21">
        <f>COUNTA(BF54:BN54)</f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>SUM(D55:BB55)</f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>COUNTA(BF55:BN55)</f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>SUM(D56:BB56)</f>
        <v>14</v>
      </c>
      <c r="BF56" s="21"/>
      <c r="BG56" s="21"/>
      <c r="BH56" s="21" t="s">
        <v>638</v>
      </c>
      <c r="BI56" s="21"/>
      <c r="BJ56" s="21"/>
      <c r="BK56" s="21"/>
      <c r="BL56" s="21"/>
      <c r="BM56" s="21"/>
      <c r="BN56" s="26"/>
      <c r="BO56" s="21">
        <f>COUNTA(BF56:BN56)</f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>SUM(D57:BB57)</f>
        <v>27</v>
      </c>
      <c r="BF57" s="21"/>
      <c r="BG57" s="21"/>
      <c r="BH57" s="21"/>
      <c r="BI57" s="21" t="s">
        <v>639</v>
      </c>
      <c r="BJ57" s="21"/>
      <c r="BK57" s="21"/>
      <c r="BL57" s="21"/>
      <c r="BM57" s="21"/>
      <c r="BN57" s="26"/>
      <c r="BO57" s="21">
        <f>COUNTA(BF57:BN57)</f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>SUM(D58:BB58)</f>
        <v>18</v>
      </c>
      <c r="BF58" s="21"/>
      <c r="BG58" s="21"/>
      <c r="BH58" s="21"/>
      <c r="BI58" s="21"/>
      <c r="BJ58" s="21"/>
      <c r="BK58" s="21"/>
      <c r="BL58" s="21" t="s">
        <v>639</v>
      </c>
      <c r="BM58" s="21"/>
      <c r="BN58" s="26"/>
      <c r="BO58" s="21">
        <f>COUNTA(BF58:BN58)</f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>SUM(D59:BB59)</f>
        <v>20</v>
      </c>
      <c r="BF59" s="21"/>
      <c r="BG59" s="21"/>
      <c r="BH59" s="21" t="s">
        <v>638</v>
      </c>
      <c r="BI59" s="21"/>
      <c r="BJ59" s="21"/>
      <c r="BK59" s="21"/>
      <c r="BL59" s="21"/>
      <c r="BM59" s="21"/>
      <c r="BN59" s="26"/>
      <c r="BO59" s="21">
        <f>COUNTA(BF59:BN59)</f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>SUM(D60:BB60)</f>
        <v>8</v>
      </c>
      <c r="BF60" s="21"/>
      <c r="BG60" s="21"/>
      <c r="BH60" s="21"/>
      <c r="BI60" s="21"/>
      <c r="BJ60" s="21"/>
      <c r="BK60" s="21" t="s">
        <v>641</v>
      </c>
      <c r="BL60" s="21"/>
      <c r="BM60" s="21"/>
      <c r="BN60" s="26"/>
      <c r="BO60" s="21">
        <f>COUNTA(BF60:BN60)</f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>SUM(D61:BB61)</f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>COUNTA(BF61:BN61)</f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>SUM(D62:BB62)</f>
        <v>24</v>
      </c>
      <c r="BF62" s="21"/>
      <c r="BG62" s="21"/>
      <c r="BH62" s="21"/>
      <c r="BI62" s="21"/>
      <c r="BJ62" s="21" t="s">
        <v>636</v>
      </c>
      <c r="BK62" s="21"/>
      <c r="BL62" s="21"/>
      <c r="BM62" s="21" t="s">
        <v>642</v>
      </c>
      <c r="BN62" s="26"/>
      <c r="BO62" s="21">
        <f>COUNTA(BF62:BN62)</f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>SUM(D63:BB63)</f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>COUNTA(BF63:BN63)</f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>SUM(D64:BB64)</f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>COUNTA(BF64:BN64)</f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>SUM(D65:BB65)</f>
        <v>0</v>
      </c>
      <c r="BF65" s="21"/>
      <c r="BG65" s="21"/>
      <c r="BH65" s="21" t="s">
        <v>638</v>
      </c>
      <c r="BI65" s="21"/>
      <c r="BJ65" s="21"/>
      <c r="BK65" s="21"/>
      <c r="BL65" s="21"/>
      <c r="BM65" s="21"/>
      <c r="BN65" s="26"/>
      <c r="BO65" s="21">
        <f>COUNTA(BF65:BN65)</f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>COUNTA(BF66:BN66)</f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>SUM(D67:BB67)</f>
        <v>10</v>
      </c>
      <c r="BF67" s="21"/>
      <c r="BG67" s="21"/>
      <c r="BH67" s="21"/>
      <c r="BI67" s="21"/>
      <c r="BJ67" s="21"/>
      <c r="BK67" s="21"/>
      <c r="BL67" s="21" t="s">
        <v>639</v>
      </c>
      <c r="BM67" s="21"/>
      <c r="BN67" s="26"/>
      <c r="BO67" s="21">
        <f>COUNTA(BF67:BN67)</f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>SUM(D68:BB68)</f>
        <v>3</v>
      </c>
      <c r="BF68" s="21"/>
      <c r="BG68" s="21" t="s">
        <v>637</v>
      </c>
      <c r="BH68" s="21"/>
      <c r="BI68" s="21"/>
      <c r="BJ68" s="21"/>
      <c r="BK68" s="21"/>
      <c r="BL68" s="21"/>
      <c r="BM68" s="21"/>
      <c r="BN68" s="26"/>
      <c r="BO68" s="21">
        <f>COUNTA(BF68:BN68)</f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>SUM(D69:BB69)</f>
        <v>6</v>
      </c>
      <c r="BF69" s="21"/>
      <c r="BG69" s="21"/>
      <c r="BH69" s="21"/>
      <c r="BI69" s="21"/>
      <c r="BJ69" s="21" t="s">
        <v>639</v>
      </c>
      <c r="BK69" s="21"/>
      <c r="BL69" s="21"/>
      <c r="BM69" s="21"/>
      <c r="BN69" s="26"/>
      <c r="BO69" s="21">
        <f>COUNTA(BF69:BN69)</f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>SUM(D70:BB70)</f>
        <v>8</v>
      </c>
      <c r="BF70" s="21"/>
      <c r="BG70" s="21"/>
      <c r="BH70" s="21" t="s">
        <v>638</v>
      </c>
      <c r="BI70" s="21"/>
      <c r="BJ70" s="21"/>
      <c r="BK70" s="21"/>
      <c r="BL70" s="21"/>
      <c r="BM70" s="21"/>
      <c r="BN70" s="26"/>
      <c r="BO70" s="21">
        <f>COUNTA(BF70:BN70)</f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>SUM(D71:BB71)</f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>COUNTA(BF71:BN71)</f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>SUM(D72:BB72)</f>
        <v>1</v>
      </c>
      <c r="BF72" s="21"/>
      <c r="BG72" s="21"/>
      <c r="BH72" s="21" t="s">
        <v>642</v>
      </c>
      <c r="BI72" s="21" t="s">
        <v>638</v>
      </c>
      <c r="BJ72" s="21"/>
      <c r="BK72" s="21"/>
      <c r="BL72" s="21" t="s">
        <v>639</v>
      </c>
      <c r="BM72" s="21"/>
      <c r="BN72" s="26"/>
      <c r="BO72" s="21">
        <f>COUNTA(BF72:BN72)</f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>SUM(D73:BB73)</f>
        <v>12</v>
      </c>
      <c r="BF73" s="21"/>
      <c r="BG73" s="21"/>
      <c r="BH73" s="21" t="s">
        <v>637</v>
      </c>
      <c r="BI73" s="21"/>
      <c r="BJ73" s="21"/>
      <c r="BK73" s="21"/>
      <c r="BL73" s="21" t="s">
        <v>641</v>
      </c>
      <c r="BM73" s="21"/>
      <c r="BN73" s="26"/>
      <c r="BO73" s="21">
        <f>COUNTA(BF73:BN73)</f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>SUM(D74:BB74)</f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>COUNTA(BF74:BN74)</f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>SUM(D75:BB75)</f>
        <v>11</v>
      </c>
      <c r="BF75" s="21"/>
      <c r="BG75" s="21" t="s">
        <v>637</v>
      </c>
      <c r="BH75" s="21"/>
      <c r="BI75" s="21"/>
      <c r="BJ75" s="21"/>
      <c r="BK75" s="21"/>
      <c r="BL75" s="21"/>
      <c r="BM75" s="21"/>
      <c r="BN75" s="26"/>
      <c r="BO75" s="21">
        <f>COUNTA(BF75:BN75)</f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>SUM(D76:BB76)</f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>COUNTA(BF76:BN76)</f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>SUM(D77:BB77)</f>
        <v>18</v>
      </c>
      <c r="BF77" s="21"/>
      <c r="BG77" s="21"/>
      <c r="BH77" s="21"/>
      <c r="BI77" s="21"/>
      <c r="BJ77" s="21"/>
      <c r="BK77" s="21"/>
      <c r="BL77" s="21" t="s">
        <v>642</v>
      </c>
      <c r="BM77" s="21"/>
      <c r="BN77" s="26"/>
      <c r="BO77" s="21">
        <f>COUNTA(BF77:BN77)</f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>SUM(D78:BB78)</f>
        <v>14</v>
      </c>
      <c r="BF78" s="21"/>
      <c r="BG78" s="21"/>
      <c r="BH78" s="21"/>
      <c r="BI78" s="21" t="s">
        <v>637</v>
      </c>
      <c r="BJ78" s="21"/>
      <c r="BK78" s="21"/>
      <c r="BL78" s="21"/>
      <c r="BM78" s="21"/>
      <c r="BN78" s="26"/>
      <c r="BO78" s="21">
        <f>COUNTA(BF78:BN78)</f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>SUM(D79:BB79)</f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>COUNTA(BF79:BN79)</f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>SUM(D80:BB80)</f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>COUNTA(BF80:BN80)</f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>SUM(D81:BB81)</f>
        <v>5</v>
      </c>
      <c r="BF81" s="21"/>
      <c r="BG81" s="21"/>
      <c r="BH81" s="21"/>
      <c r="BI81" s="21" t="s">
        <v>638</v>
      </c>
      <c r="BJ81" s="21"/>
      <c r="BK81" s="21"/>
      <c r="BL81" s="21"/>
      <c r="BM81" s="21"/>
      <c r="BN81" s="26"/>
      <c r="BO81" s="21">
        <f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>SUM(D82:BB82)</f>
        <v>12</v>
      </c>
      <c r="BF82" s="21"/>
      <c r="BG82" s="21"/>
      <c r="BH82" s="21"/>
      <c r="BI82" s="21" t="s">
        <v>637</v>
      </c>
      <c r="BJ82" s="21"/>
      <c r="BK82" s="21"/>
      <c r="BL82" s="21"/>
      <c r="BM82" s="21"/>
      <c r="BN82" s="26"/>
      <c r="BO82" s="21">
        <f>COUNTA(BF82:BN82)</f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>SUM(D83:BB83)</f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>COUNTA(BF83:BN83)</f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>SUM(D84:BB84)</f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>COUNTA(BF84:BN84)</f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>SUM(D85:BB85)</f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>COUNTA(BF85:BN85)</f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>SUM(D86:BB86)</f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>COUNTA(BF86:BN86)</f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>SUM(D87:BB87)</f>
        <v>3</v>
      </c>
      <c r="BF87" s="21"/>
      <c r="BG87" s="21"/>
      <c r="BH87" s="21"/>
      <c r="BI87" s="21" t="s">
        <v>642</v>
      </c>
      <c r="BJ87" s="21"/>
      <c r="BK87" s="21"/>
      <c r="BL87" s="21"/>
      <c r="BM87" s="21"/>
      <c r="BN87" s="26"/>
      <c r="BO87" s="21">
        <f>COUNTA(BF87:BN87)</f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>SUM(D88:BB88)</f>
        <v>6</v>
      </c>
      <c r="BF88" s="21"/>
      <c r="BG88" s="21"/>
      <c r="BH88" s="21"/>
      <c r="BI88" s="21" t="s">
        <v>642</v>
      </c>
      <c r="BJ88" s="21"/>
      <c r="BK88" s="21"/>
      <c r="BL88" s="21"/>
      <c r="BM88" s="21"/>
      <c r="BN88" s="26"/>
      <c r="BO88" s="21">
        <f>COUNTA(BF88:BN88)</f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>SUM(D89:BB89)</f>
        <v>10</v>
      </c>
      <c r="BF89" s="21"/>
      <c r="BG89" s="21"/>
      <c r="BH89" s="21" t="s">
        <v>638</v>
      </c>
      <c r="BI89" s="21"/>
      <c r="BJ89" s="21"/>
      <c r="BK89" s="21"/>
      <c r="BL89" s="21"/>
      <c r="BM89" s="21"/>
      <c r="BN89" s="26"/>
      <c r="BO89" s="21">
        <f>COUNTA(BF89:BN89)</f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>SUM(D90:BB90)</f>
        <v>5</v>
      </c>
      <c r="BF90" s="21"/>
      <c r="BG90" s="21"/>
      <c r="BH90" s="21"/>
      <c r="BI90" s="21" t="s">
        <v>638</v>
      </c>
      <c r="BJ90" s="21"/>
      <c r="BK90" s="21"/>
      <c r="BL90" s="21"/>
      <c r="BM90" s="21"/>
      <c r="BN90" s="26"/>
      <c r="BO90" s="21">
        <f>COUNTA(BF90:BN90)</f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>SUM(D91:BB91)</f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>COUNTA(BF91:BN91)</f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>SUM(D92:BB92)</f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>COUNTA(BF92:BN92)</f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>SUM(D93:BB93)</f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>COUNTA(BF93:BN93)</f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>SUM(D94:BB94)</f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>COUNTA(BF94:BN94)</f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>SUM(D95:BB95)</f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>COUNTA(BF95:BN95)</f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>SUM(D96:BB96)</f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>COUNTA(BF96:BN96)</f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>SUM(D97:BB97)</f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>COUNTA(BF97:BN97)</f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>SUM(D98:BB98)</f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>COUNTA(BF98:BN98)</f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>SUM(D99:BB99)</f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>COUNTA(BF99:BN99)</f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>SUM(D100:BB100)</f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>COUNTA(BF100:BN100)</f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>SUM(D101:BB101)</f>
        <v>15</v>
      </c>
      <c r="BF101" s="27"/>
      <c r="BG101" s="27"/>
      <c r="BH101" s="27"/>
      <c r="BI101" s="27" t="s">
        <v>638</v>
      </c>
      <c r="BJ101" s="27"/>
      <c r="BK101" s="27"/>
      <c r="BL101" s="27" t="s">
        <v>639</v>
      </c>
      <c r="BM101" s="27"/>
      <c r="BN101" s="28"/>
      <c r="BO101" s="21">
        <f>COUNTA(BF101:BN101)</f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>SUM(D103:BB103)</f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>COUNTA(BF103:BN103)</f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>SUM(D104:BB104)</f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>COUNTA(BF104:BN104)</f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>SUM(D105:BB105)</f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>COUNTA(BF105:BN105)</f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>SUM(D106:BB106)</f>
        <v>6</v>
      </c>
      <c r="BF106" s="27"/>
      <c r="BG106" s="27"/>
      <c r="BH106" s="27"/>
      <c r="BI106" s="27"/>
      <c r="BJ106" s="27" t="s">
        <v>639</v>
      </c>
      <c r="BK106" s="27"/>
      <c r="BL106" s="27"/>
      <c r="BM106" s="27"/>
      <c r="BN106" s="28"/>
      <c r="BO106" s="21">
        <f>COUNTA(BF106:BN106)</f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>SUM(D107:BB107)</f>
        <v>2</v>
      </c>
      <c r="BF107" s="27"/>
      <c r="BG107" s="27"/>
      <c r="BH107" s="27" t="s">
        <v>638</v>
      </c>
      <c r="BI107" s="27"/>
      <c r="BJ107" s="27"/>
      <c r="BK107" s="27"/>
      <c r="BL107" s="27"/>
      <c r="BM107" s="27"/>
      <c r="BN107" s="28"/>
      <c r="BO107" s="21">
        <f>COUNTA(BF107:BN107)</f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>SUM(D108:BB108)</f>
        <v>4</v>
      </c>
      <c r="BF108" s="27"/>
      <c r="BG108" s="27" t="s">
        <v>639</v>
      </c>
      <c r="BH108" s="27"/>
      <c r="BI108" s="27"/>
      <c r="BJ108" s="27"/>
      <c r="BK108" s="27"/>
      <c r="BL108" s="27"/>
      <c r="BM108" s="27"/>
      <c r="BN108" s="28"/>
      <c r="BO108" s="21">
        <f>COUNTA(BF108:BN108)</f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>SUM(D109:BB109)</f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>COUNTA(BF109:BN109)</f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>SUM(D110:BB110)</f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>COUNTA(BF110:BN110)</f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>SUM(D111:BB111)</f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>COUNTA(BF111:BN111)</f>
        <v>0</v>
      </c>
    </row>
    <row r="112" customHeight="1" spans="1:67">
      <c r="A112" s="31" t="s">
        <v>643</v>
      </c>
      <c r="B112" s="32"/>
      <c r="C112" s="33"/>
      <c r="D112" s="34">
        <f>SUM(D2:D111)</f>
        <v>6</v>
      </c>
      <c r="E112" s="34">
        <f>SUM(E2:E111)</f>
        <v>55</v>
      </c>
      <c r="F112" s="34">
        <f>SUM(F2:F111)</f>
        <v>18</v>
      </c>
      <c r="G112" s="34">
        <f>SUM(G2:G111)</f>
        <v>9</v>
      </c>
      <c r="H112" s="34">
        <f>SUM(H2:H111)</f>
        <v>17</v>
      </c>
      <c r="I112" s="34">
        <f>SUM(I2:I111)</f>
        <v>52</v>
      </c>
      <c r="J112" s="34">
        <f>SUM(J2:J111)</f>
        <v>47</v>
      </c>
      <c r="K112" s="34">
        <f>SUM(K2:K111)</f>
        <v>4</v>
      </c>
      <c r="L112" s="34">
        <f>SUM(L2:L111)</f>
        <v>26</v>
      </c>
      <c r="M112" s="34">
        <f>SUM(M2:M111)</f>
        <v>7</v>
      </c>
      <c r="N112" s="34">
        <f>SUM(N2:N111)</f>
        <v>29</v>
      </c>
      <c r="O112" s="34">
        <f>SUM(O2:O111)</f>
        <v>8</v>
      </c>
      <c r="P112" s="34">
        <f>SUM(P2:P111)</f>
        <v>47</v>
      </c>
      <c r="Q112" s="34">
        <f>SUM(Q2:Q111)</f>
        <v>5</v>
      </c>
      <c r="R112" s="34">
        <f>SUM(R2:R111)</f>
        <v>11</v>
      </c>
      <c r="S112" s="34">
        <f>SUM(S2:S111)</f>
        <v>1</v>
      </c>
      <c r="T112" s="34">
        <f>SUM(T2:T111)</f>
        <v>15</v>
      </c>
      <c r="U112" s="34">
        <f>SUM(U2:U111)</f>
        <v>2</v>
      </c>
      <c r="V112" s="34">
        <f>SUM(V2:V111)</f>
        <v>7</v>
      </c>
      <c r="W112" s="34">
        <f>SUM(W2:W111)</f>
        <v>42</v>
      </c>
      <c r="X112" s="34">
        <f>SUM(X2:X111)</f>
        <v>1</v>
      </c>
      <c r="Y112" s="34">
        <f>SUM(Y2:Y111)</f>
        <v>36</v>
      </c>
      <c r="Z112" s="34">
        <f>SUM(Z2:Z111)</f>
        <v>1</v>
      </c>
      <c r="AA112" s="34">
        <f>SUM(AA2:AA111)</f>
        <v>0</v>
      </c>
      <c r="AB112" s="34">
        <f>SUM(AB2:AB111)</f>
        <v>1</v>
      </c>
      <c r="AC112" s="34">
        <f>SUM(AC2:AC111)</f>
        <v>32</v>
      </c>
      <c r="AD112" s="34">
        <f>SUM(AD2:AD111)</f>
        <v>22</v>
      </c>
      <c r="AE112" s="34">
        <f>SUM(AE2:AE111)</f>
        <v>17</v>
      </c>
      <c r="AF112" s="34">
        <f>SUM(AF2:AF111)</f>
        <v>28</v>
      </c>
      <c r="AG112" s="34">
        <f>SUM(AG2:AG111)</f>
        <v>36</v>
      </c>
      <c r="AH112" s="34">
        <f>SUM(AH2:AH111)</f>
        <v>16</v>
      </c>
      <c r="AI112" s="34">
        <f>SUM(AI2:AI111)</f>
        <v>0</v>
      </c>
      <c r="AJ112" s="34">
        <f>SUM(AJ2:AJ111)</f>
        <v>0</v>
      </c>
      <c r="AK112" s="34">
        <f>SUM(AK2:AK111)</f>
        <v>2</v>
      </c>
      <c r="AL112" s="34">
        <f>SUM(AL2:AL111)</f>
        <v>23</v>
      </c>
      <c r="AM112" s="34">
        <f>SUM(AM2:AM111)</f>
        <v>19</v>
      </c>
      <c r="AN112" s="34">
        <f>SUM(AN2:AN111)</f>
        <v>0</v>
      </c>
      <c r="AO112" s="34">
        <f>SUM(AO2:AO111)</f>
        <v>64</v>
      </c>
      <c r="AP112" s="34">
        <f>SUM(AP2:AP111)</f>
        <v>52</v>
      </c>
      <c r="AQ112" s="34">
        <f>SUM(AQ2:AQ111)</f>
        <v>67</v>
      </c>
      <c r="AR112" s="34">
        <f>SUM(AR2:AR111)</f>
        <v>1</v>
      </c>
      <c r="AS112" s="34">
        <f>SUM(AS2:AS111)</f>
        <v>53</v>
      </c>
      <c r="AT112" s="34">
        <f>SUM(AT2:AT111)</f>
        <v>0</v>
      </c>
      <c r="AU112" s="34">
        <f>SUM(AU2:AU111)</f>
        <v>91</v>
      </c>
      <c r="AV112" s="34">
        <f>SUM(AV2:AV111)</f>
        <v>0</v>
      </c>
      <c r="AW112" s="34">
        <f>SUM(AW2:AW111)</f>
        <v>36</v>
      </c>
      <c r="AX112" s="34">
        <f>SUM(AX2:AX111)</f>
        <v>11</v>
      </c>
      <c r="AY112" s="34">
        <f>SUM(AY2:AY111)</f>
        <v>8</v>
      </c>
      <c r="AZ112" s="34">
        <f>SUM(AZ2:AZ111)</f>
        <v>1</v>
      </c>
      <c r="BA112" s="34">
        <f>SUM(BA2:BA111)</f>
        <v>0</v>
      </c>
      <c r="BB112" s="34">
        <f>SUM(BB2:BB111)</f>
        <v>2</v>
      </c>
      <c r="BC112" s="35" t="s">
        <v>644</v>
      </c>
      <c r="BD112" s="36"/>
      <c r="BE112" s="37"/>
      <c r="BF112" s="21">
        <f>COUNTA(BF24:BF111)</f>
        <v>1</v>
      </c>
      <c r="BG112" s="21">
        <f>COUNTA(BG24:BG111)</f>
        <v>3</v>
      </c>
      <c r="BH112" s="21">
        <f>COUNTA(BH24:BH111)</f>
        <v>10</v>
      </c>
      <c r="BI112" s="21">
        <f>COUNTA(BI24:BI111)</f>
        <v>11</v>
      </c>
      <c r="BJ112" s="21">
        <f>COUNTA(BJ24:BJ111)</f>
        <v>3</v>
      </c>
      <c r="BK112" s="21">
        <f>COUNTA(BK24:BK111)</f>
        <v>5</v>
      </c>
      <c r="BL112" s="21">
        <f>COUNTA(BL24:BL111)</f>
        <v>9</v>
      </c>
      <c r="BM112" s="21">
        <f>COUNTA(BM24:BM111)</f>
        <v>2</v>
      </c>
      <c r="BN112" s="21">
        <f>COUNTA(BN24:BN111)</f>
        <v>0</v>
      </c>
      <c r="BO112" s="38">
        <f>SUM(BF112:BN112)</f>
        <v>44</v>
      </c>
    </row>
    <row r="113" customHeight="1" spans="1:67">
      <c r="A113" s="31" t="s">
        <v>645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646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647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2:BD114 A112:C114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师生</vt:lpstr>
      <vt:lpstr>集体</vt:lpstr>
      <vt:lpstr>事例</vt:lpstr>
      <vt:lpstr>老师</vt:lpstr>
      <vt:lpstr>职务</vt:lpstr>
      <vt:lpstr>大事</vt:lpstr>
      <vt:lpstr>外号</vt:lpstr>
      <vt:lpstr>老（旧）</vt:lpstr>
      <vt:lpstr>生（旧）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2026-08-07T02:52:30Z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