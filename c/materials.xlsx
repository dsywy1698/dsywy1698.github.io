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<sst xmlns="http://schemas.openxmlformats.org/spreadsheetml/2006/main" count="1280" uniqueCount="738">
  <si>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</si>
  <si>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</si>
  <si>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</si>
  <si>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</si>
  <si>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</si>
  <si>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</si>
  <si>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</si>
  <si>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</si>
  <si>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</si>
  <si>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</si>
  <si>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</si>
  <si>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</si>
  <si>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</si>
  <si>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</si>
  <si>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</si>
  <si>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</si>
  <si>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</si>
  <si>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</si>
  <si>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</si>
  <si>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</si>
  <si>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</si>
  <si>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</si>
  <si>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</si>
  <si>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</si>
  <si>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</si>
  <si>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</si>
  <si>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</si>
  <si>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</si>
  <si>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</si>
  <si>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</si>
  <si>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</si>
  <si>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</si>
  <si>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</si>
  <si>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</si>
  <si>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</si>
  <si>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</si>
  <si>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</si>
  <si>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</si>
  <si>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</si>
  <si>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</si>
  <si>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</si>
  <si>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</si>
  <si>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</si>
  <si>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</si>
  <si>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</si>
  <si>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</si>
  <si>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</si>
  <si>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</si>
  <si>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</si>
  <si>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</si>
  <si>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</si>
  <si>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</si>
  <si>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</si>
  <si>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</si>
  <si>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</si>
  <si>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</si>
  <si>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</si>
  <si>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</si>
  <si>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</si>
  <si>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</si>
  <si>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</si>
  <si>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</si>
  <si>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</si>
  <si>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</si>
  <si>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</si>
  <si>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</si>
  <si>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</si>
  <si>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</si>
  <si>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</si>
  <si>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</si>
  <si>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</si>
  <si>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</si>
  <si>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</si>
  <si>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</si>
  <si>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</si>
  <si>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</si>
  <si>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</si>
  <si>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</si>
  <si>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</si>
  <si>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</si>
  <si>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</si>
  <si>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</si>
  <si>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</si>
  <si>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</si>
  <si>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</si>
  <si>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</si>
  <si>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</si>
  <si>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</si>
  <si>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</si>
  <si>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</si>
  <si>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</si>
  <si>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</si>
  <si>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</si>
  <si>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</si>
  <si>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</si>
  <si>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</si>
  <si>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</si>
  <si>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</si>
  <si>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</si>
  <si>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</si>
  <si>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</si>
  <si>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</si>
  <si>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</si>
  <si>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</si>
  <si>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</si>
  <si>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</si>
  <si>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</si>
  <si>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</si>
  <si>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</si>
  <si>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</si>
  <si>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</si>
  <si>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</si>
  <si>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</si>
  <si>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</si>
  <si>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</si>
  <si>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</si>
  <si>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</si>
  <si>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</si>
  <si>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</si>
  <si>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</si>
  <si>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</si>
  <si>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</si>
  <si>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</si>
  <si>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</si>
  <si>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</si>
  <si>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</si>
  <si>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</si>
  <si>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</si>
  <si>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</si>
  <si>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</si>
  <si>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</si>
  <si>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</si>
  <si>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</si>
  <si>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</si>
  <si>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</si>
  <si>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</si>
  <si>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</si>
  <si>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</si>
  <si>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</si>
  <si>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</si>
  <si>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</si>
  <si>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</si>
  <si>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</si>
  <si>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</si>
  <si>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</si>
  <si>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</si>
  <si>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</si>
  <si>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</si>
  <si>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</si>
  <si>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</si>
  <si>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</si>
  <si>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</si>
  <si>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</si>
  <si>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</si>
  <si>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</si>
  <si>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</si>
  <si>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</si>
  <si>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</si>
  <si>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</si>
  <si>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</si>
  <si>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</si>
  <si>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</si>
  <si>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</si>
  <si>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</si>
  <si>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</si>
  <si>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</si>
  <si>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</si>
  <si>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</si>
  <si>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</si>
  <si>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</si>
  <si>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</si>
  <si>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</si>
  <si>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</si>
  <si>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</si>
  <si>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</si>
  <si>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</si>
  <si>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</si>
  <si>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</si>
  <si>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</si>
  <si>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</si>
  <si>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</si>
  <si>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</si>
  <si>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</si>
  <si>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</si>
  <si>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</si>
  <si>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</si>
  <si>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</si>
  <si>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</si>
  <si>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</si>
  <si>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</si>
  <si>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</si>
  <si>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</si>
  <si>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</si>
  <si>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</si>
  <si>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</si>
  <si>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</si>
  <si>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</si>
  <si>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</si>
  <si>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</si>
  <si>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</si>
  <si>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</si>
  <si>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</si>
  <si>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</si>
  <si>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</si>
  <si>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</si>
  <si>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</si>
  <si>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</si>
  <si>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</si>
  <si>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</si>
  <si>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</si>
  <si>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</si>
  <si>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</si>
  <si>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</si>
  <si>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</si>
  <si>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</si>
  <si>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</si>
  <si>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</si>
  <si>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</si>
  <si>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</si>
  <si>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</si>
  <si>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</si>
  <si>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</si>
  <si>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</si>
  <si>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</si>
  <si>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</si>
  <si>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</si>
  <si>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</si>
  <si>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</si>
  <si>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</si>
  <si>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</si>
  <si>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</si>
  <si>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</si>
  <si>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</si>
  <si>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</si>
  <si>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</si>
  <si>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</si>
  <si>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</si>
  <si>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</si>
  <si>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</si>
  <si>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</si>
  <si>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</si>
  <si>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</si>
  <si>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</si>
  <si>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</si>
  <si>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</si>
  <si>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</si>
  <si>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</si>
  <si>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</si>
  <si>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</si>
  <si>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</si>
  <si>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</si>
  <si>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</si>
  <si>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</si>
  <si>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</si>
  <si>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八上6.1</t>
  </si>
  <si>
    <t>小装不叫装。
（数学145方法）每天刷100套卷子。
（数学月考）我除了最后一道题，其他题都是失误。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</si>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</sst>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0"/>
      <name val="宋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C5" workbookViewId="0">
      <selection activeCell="D8" sqref="D8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E43" s="228" t="s">
        <v>116</v>
      </c>
      <c r="H43" s="229" t="s">
        <v>117</v>
      </c>
    </row>
    <row r="44" ht="26" spans="1:10">
      <c r="A44" s="234" t="s">
        <v>118</v>
      </c>
      <c r="B44" s="228" t="s">
        <v>119</v>
      </c>
    </row>
    <row r="45" ht="26" spans="1:10">
      <c r="A45" s="234" t="s">
        <v>120</v>
      </c>
      <c r="C45" s="228" t="s">
        <v>121</v>
      </c>
      <c r="D45" s="228" t="s">
        <v>122</v>
      </c>
      <c r="E45" s="228" t="s">
        <v>123</v>
      </c>
    </row>
    <row r="46" spans="1:10">
      <c r="A46" s="234" t="s">
        <v>124</v>
      </c>
    </row>
    <row r="47" spans="1:10">
      <c r="A47" s="234" t="s">
        <v>125</v>
      </c>
      <c r="D47" s="228" t="s">
        <v>126</v>
      </c>
    </row>
    <row r="48" ht="42" spans="1:10">
      <c r="A48" s="234" t="s">
        <v>127</v>
      </c>
      <c r="C48" s="228" t="s">
        <v>128</v>
      </c>
      <c r="D48" s="228" t="s">
        <v>129</v>
      </c>
      <c r="H48" s="229" t="s">
        <v>130</v>
      </c>
    </row>
    <row r="49" spans="1:8">
      <c r="A49" s="234" t="s">
        <v>131</v>
      </c>
      <c r="E49" s="228" t="s">
        <v>132</v>
      </c>
    </row>
    <row r="50" ht="78" spans="1:8">
      <c r="A50" s="234" t="s">
        <v>133</v>
      </c>
      <c r="C50" s="228" t="s">
        <v>134</v>
      </c>
    </row>
    <row r="51" spans="1:8">
      <c r="A51" s="234" t="s">
        <v>135</v>
      </c>
    </row>
    <row r="52" ht="26" spans="1:8">
      <c r="A52" s="234" t="s">
        <v>136</v>
      </c>
      <c r="B52" s="228" t="s">
        <v>137</v>
      </c>
      <c r="C52" s="228" t="s">
        <v>138</v>
      </c>
      <c r="E52" s="228" t="s">
        <v>139</v>
      </c>
    </row>
    <row r="53" ht="26" spans="1:8">
      <c r="A53" s="227" t="s">
        <v>140</v>
      </c>
      <c r="B53" s="228" t="s">
        <v>141</v>
      </c>
      <c r="D53" s="235"/>
      <c r="E53" s="235"/>
      <c r="F53" s="235"/>
      <c r="G53" s="235"/>
    </row>
    <row r="54" spans="1:8">
      <c r="A54" s="227" t="s">
        <v>142</v>
      </c>
      <c r="B54" s="228" t="s">
        <v>143</v>
      </c>
      <c r="C54" s="228" t="s">
        <v>144</v>
      </c>
      <c r="D54" s="235"/>
      <c r="E54" s="235"/>
      <c r="F54" s="235"/>
      <c r="G54" s="235"/>
    </row>
    <row r="55" ht="65" spans="1:8">
      <c r="A55" s="227" t="s">
        <v>145</v>
      </c>
      <c r="B55" s="235"/>
      <c r="C55" s="235"/>
      <c r="D55" s="228" t="s">
        <v>146</v>
      </c>
      <c r="E55" s="228" t="s">
        <v>147</v>
      </c>
    </row>
    <row r="56" ht="65" spans="1:8">
      <c r="A56" s="227" t="s">
        <v>148</v>
      </c>
      <c r="B56" s="236" t="s">
        <v>149</v>
      </c>
      <c r="C56" s="236"/>
      <c r="D56" s="228" t="s">
        <v>150</v>
      </c>
      <c r="H56" s="229" t="s">
        <v>151</v>
      </c>
    </row>
    <row r="57" ht="117" spans="1:8">
      <c r="A57" s="227" t="s">
        <v>152</v>
      </c>
      <c r="B57" s="236" t="s">
        <v>153</v>
      </c>
      <c r="C57" s="236" t="s">
        <v>154</v>
      </c>
      <c r="D57" s="228" t="s">
        <v>155</v>
      </c>
    </row>
    <row r="58" spans="1:8">
      <c r="A58" s="227" t="s">
        <v>156</v>
      </c>
      <c r="B58" s="228" t="s">
        <v>157</v>
      </c>
      <c r="C58" s="235"/>
      <c r="D58" s="235"/>
      <c r="E58" s="235"/>
      <c r="F58" s="235"/>
      <c r="G58" s="235"/>
    </row>
    <row r="59" spans="1:8">
      <c r="A59" s="227" t="s">
        <v>158</v>
      </c>
      <c r="B59" s="235"/>
      <c r="C59" s="228" t="s">
        <v>159</v>
      </c>
      <c r="D59" s="235"/>
      <c r="E59" s="235"/>
      <c r="F59" s="235"/>
      <c r="G59" s="235"/>
    </row>
    <row r="60" ht="52" spans="1:8">
      <c r="A60" s="227" t="s">
        <v>160</v>
      </c>
      <c r="B60" s="235" t="s">
        <v>161</v>
      </c>
      <c r="C60" s="235"/>
      <c r="D60" s="228" t="s">
        <v>162</v>
      </c>
    </row>
    <row r="61" spans="1:8">
      <c r="A61" s="227" t="s">
        <v>163</v>
      </c>
      <c r="B61" s="236" t="s">
        <v>164</v>
      </c>
      <c r="C61" s="236"/>
      <c r="D61" s="235"/>
      <c r="E61" s="235"/>
      <c r="F61" s="235"/>
      <c r="G61" s="235"/>
    </row>
    <row r="62" ht="52" spans="1:8">
      <c r="A62" s="227" t="s">
        <v>165</v>
      </c>
      <c r="B62" s="235"/>
      <c r="C62" s="235"/>
      <c r="D62" s="228" t="s">
        <v>166</v>
      </c>
      <c r="E62" s="228" t="s">
        <v>167</v>
      </c>
    </row>
    <row r="63" ht="26" spans="1:8">
      <c r="A63" s="227" t="s">
        <v>168</v>
      </c>
      <c r="B63" s="236" t="s">
        <v>169</v>
      </c>
      <c r="C63" s="236" t="s">
        <v>170</v>
      </c>
      <c r="D63" s="235"/>
      <c r="E63" s="235"/>
      <c r="F63" s="235"/>
      <c r="G63" s="235"/>
    </row>
    <row r="64" ht="26" spans="1:8">
      <c r="A64" s="227" t="s">
        <v>171</v>
      </c>
      <c r="B64" s="235"/>
      <c r="C64" s="235"/>
      <c r="D64" s="228" t="s">
        <v>172</v>
      </c>
      <c r="E64" s="228" t="s">
        <v>173</v>
      </c>
    </row>
    <row r="65" ht="26" spans="1:7">
      <c r="A65" s="227" t="s">
        <v>174</v>
      </c>
      <c r="B65" s="237" t="s">
        <v>175</v>
      </c>
      <c r="C65" s="235"/>
      <c r="D65" s="235"/>
      <c r="E65" s="235"/>
      <c r="F65" s="235"/>
      <c r="G65" s="235"/>
    </row>
    <row r="66" spans="1:7">
      <c r="A66" s="227" t="s">
        <v>176</v>
      </c>
      <c r="B66" s="235"/>
      <c r="C66" s="228" t="s">
        <v>177</v>
      </c>
      <c r="D66" s="235"/>
      <c r="E66" s="235"/>
      <c r="F66" s="235"/>
      <c r="G66" s="235"/>
    </row>
    <row r="67" spans="1:7">
      <c r="A67" s="227" t="s">
        <v>178</v>
      </c>
      <c r="B67" s="235"/>
      <c r="C67" s="235"/>
    </row>
    <row r="68" ht="78" spans="1:7">
      <c r="A68" s="227" t="s">
        <v>179</v>
      </c>
      <c r="B68" s="235"/>
      <c r="C68" s="235"/>
      <c r="D68" s="228" t="s">
        <v>180</v>
      </c>
    </row>
    <row r="69" spans="1:7">
      <c r="A69" s="227" t="s">
        <v>181</v>
      </c>
      <c r="B69" s="236" t="s">
        <v>182</v>
      </c>
      <c r="C69" s="236"/>
    </row>
    <row r="70" ht="26" spans="1:7">
      <c r="A70" s="227" t="s">
        <v>183</v>
      </c>
      <c r="B70" s="236" t="s">
        <v>184</v>
      </c>
      <c r="C70" s="236"/>
      <c r="D70" s="235"/>
      <c r="E70" s="235"/>
      <c r="F70" s="235"/>
      <c r="G70" s="235"/>
    </row>
    <row r="71" spans="1:7">
      <c r="A71" s="227" t="s">
        <v>185</v>
      </c>
      <c r="B71" s="235"/>
      <c r="C71" s="235"/>
    </row>
    <row r="72" spans="1:7">
      <c r="A72" s="227" t="s">
        <v>186</v>
      </c>
      <c r="B72" s="228" t="s">
        <v>187</v>
      </c>
      <c r="C72" s="228" t="s">
        <v>188</v>
      </c>
      <c r="D72" s="235"/>
      <c r="E72" s="235"/>
      <c r="F72" s="235"/>
      <c r="G72" s="235"/>
    </row>
    <row r="73" spans="1:7">
      <c r="A73" s="227" t="s">
        <v>189</v>
      </c>
      <c r="B73" s="235"/>
      <c r="C73" s="228" t="s">
        <v>190</v>
      </c>
      <c r="D73" s="235"/>
      <c r="E73" s="235"/>
      <c r="F73" s="235"/>
      <c r="G73" s="235"/>
    </row>
    <row r="74" spans="1:7">
      <c r="A74" s="227" t="s">
        <v>191</v>
      </c>
    </row>
    <row r="75" spans="1:7">
      <c r="A75" s="227" t="s">
        <v>192</v>
      </c>
      <c r="D75" s="235"/>
      <c r="E75" s="235"/>
      <c r="F75" s="235"/>
      <c r="G75" s="235"/>
    </row>
    <row r="76" spans="1:7">
      <c r="A76" s="227" t="s">
        <v>193</v>
      </c>
      <c r="B76" s="235"/>
      <c r="C76" s="235"/>
      <c r="D76" s="228" t="s">
        <v>194</v>
      </c>
    </row>
    <row r="77" spans="1:7">
      <c r="A77" s="227" t="s">
        <v>195</v>
      </c>
      <c r="B77" s="236"/>
      <c r="C77" s="236"/>
    </row>
    <row r="78" ht="26" spans="1:7">
      <c r="A78" s="238" t="s">
        <v>196</v>
      </c>
      <c r="B78" s="228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198</v>
      </c>
      <c r="B2" s="118"/>
      <c r="C2" s="118"/>
      <c r="D2" s="118" t="s">
        <v>199</v>
      </c>
      <c r="E2" s="118"/>
      <c r="F2" s="118"/>
      <c r="G2" s="118"/>
    </row>
    <row r="3" spans="1:7">
      <c r="A3" s="225" t="s">
        <v>200</v>
      </c>
      <c r="C3" s="106" t="s">
        <v>201</v>
      </c>
    </row>
    <row r="4" spans="1:7">
      <c r="A4" s="225" t="s">
        <v>202</v>
      </c>
      <c r="B4" s="106" t="s">
        <v>203</v>
      </c>
      <c r="D4" s="106" t="s">
        <v>204</v>
      </c>
    </row>
    <row r="5" spans="1:7">
      <c r="A5" s="225" t="s">
        <v>205</v>
      </c>
      <c r="C5" s="106" t="s">
        <v>206</v>
      </c>
      <c r="D5" s="106" t="s">
        <v>207</v>
      </c>
    </row>
    <row r="6" spans="1:7">
      <c r="A6" s="225" t="s">
        <v>208</v>
      </c>
      <c r="B6" s="106" t="s">
        <v>209</v>
      </c>
      <c r="D6" s="106" t="s">
        <v>210</v>
      </c>
    </row>
    <row r="7" spans="1:7">
      <c r="A7" s="225" t="s">
        <v>211</v>
      </c>
      <c r="B7" s="106" t="s">
        <v>212</v>
      </c>
    </row>
    <row r="8" spans="1:7">
      <c r="A8" s="225"/>
      <c r="D8" s="106" t="s">
        <v>213</v>
      </c>
    </row>
    <row r="9" spans="1:7">
      <c r="A9" s="225"/>
    </row>
    <row r="10" spans="1:7">
      <c r="A10" s="225"/>
      <c r="B10" s="106" t="s">
        <v>214</v>
      </c>
    </row>
    <row r="11" spans="1:7">
      <c r="A11" s="225"/>
    </row>
    <row r="12" spans="1:7">
      <c r="A12" s="225"/>
      <c r="B12" s="106" t="s">
        <v>215</v>
      </c>
    </row>
    <row r="13" spans="1:7">
      <c r="A13" s="225"/>
      <c r="B13" s="106" t="s">
        <v>216</v>
      </c>
    </row>
    <row r="14" spans="1:7">
      <c r="A14" s="225"/>
      <c r="B14" s="106" t="s">
        <v>217</v>
      </c>
    </row>
    <row r="15" spans="1:7">
      <c r="A15" s="225"/>
      <c r="B15" s="106" t="s">
        <v>218</v>
      </c>
    </row>
    <row r="16" spans="1:7">
      <c r="A16" s="225"/>
      <c r="B16" s="106" t="s">
        <v>219</v>
      </c>
    </row>
    <row r="17" spans="1:2">
      <c r="A17" s="225"/>
      <c r="B17" s="106" t="s">
        <v>220</v>
      </c>
    </row>
    <row r="18" spans="1:2">
      <c r="A18" s="225"/>
      <c r="B18" s="106" t="s">
        <v>221</v>
      </c>
    </row>
    <row r="19" ht="26" spans="1:2">
      <c r="A19" s="225"/>
      <c r="B19" s="118" t="s">
        <v>222</v>
      </c>
    </row>
    <row r="20" spans="1:2">
      <c r="A20" s="225"/>
      <c r="B20" s="106" t="s">
        <v>223</v>
      </c>
    </row>
    <row r="21" spans="1:2">
      <c r="A21" s="225"/>
      <c r="B21" s="106" t="s">
        <v>224</v>
      </c>
    </row>
    <row r="22" spans="1:2">
      <c r="A22" s="225"/>
      <c r="B22" s="106" t="s">
        <v>225</v>
      </c>
    </row>
    <row r="23" spans="1:2">
      <c r="A23" s="225"/>
      <c r="B23" s="106" t="s">
        <v>226</v>
      </c>
    </row>
    <row r="24" spans="1:2">
      <c r="A24" s="225"/>
      <c r="B24" s="106" t="s">
        <v>227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12" activePane="bottomLeft" state="frozen"/>
      <selection/>
      <selection pane="bottomLeft" activeCell="C16" sqref="C15:C1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228</v>
      </c>
      <c r="B1" s="212" t="s">
        <v>229</v>
      </c>
      <c r="C1" s="212" t="s">
        <v>230</v>
      </c>
    </row>
    <row r="2" spans="1:3">
      <c r="A2" s="213" t="s">
        <v>231</v>
      </c>
      <c r="B2" s="213" t="s">
        <v>232</v>
      </c>
      <c r="C2" s="213" t="s">
        <v>233</v>
      </c>
    </row>
    <row r="3" spans="1:3">
      <c r="A3" s="213" t="s">
        <v>234</v>
      </c>
      <c r="B3" s="213" t="s">
        <v>235</v>
      </c>
      <c r="C3" s="213" t="s">
        <v>236</v>
      </c>
    </row>
    <row r="4" spans="1:3">
      <c r="A4" s="213" t="s">
        <v>237</v>
      </c>
      <c r="B4" s="213" t="s">
        <v>235</v>
      </c>
      <c r="C4" s="213" t="s">
        <v>238</v>
      </c>
    </row>
    <row r="5" ht="56" spans="1:3">
      <c r="A5" s="214" t="s">
        <v>239</v>
      </c>
      <c r="B5" s="213" t="s">
        <v>240</v>
      </c>
      <c r="C5" s="213" t="s">
        <v>241</v>
      </c>
    </row>
    <row r="6" ht="28" spans="1:3">
      <c r="A6" s="215"/>
      <c r="B6" s="213" t="s">
        <v>242</v>
      </c>
      <c r="C6" s="213" t="s">
        <v>243</v>
      </c>
    </row>
    <row r="7" spans="1:3">
      <c r="A7" s="216" t="s">
        <v>106</v>
      </c>
      <c r="B7" s="213" t="s">
        <v>244</v>
      </c>
      <c r="C7" s="213" t="s">
        <v>245</v>
      </c>
    </row>
    <row r="8" ht="140" spans="1:3">
      <c r="A8" s="216"/>
      <c r="B8" s="213" t="s">
        <v>246</v>
      </c>
      <c r="C8" s="213" t="s">
        <v>247</v>
      </c>
    </row>
    <row r="9" spans="1:3">
      <c r="A9" s="216"/>
      <c r="B9" s="213" t="s">
        <v>248</v>
      </c>
      <c r="C9" s="213" t="s">
        <v>249</v>
      </c>
    </row>
    <row r="10" spans="1:3">
      <c r="A10" s="216"/>
      <c r="B10" s="213" t="s">
        <v>250</v>
      </c>
      <c r="C10" s="213" t="s">
        <v>251</v>
      </c>
    </row>
    <row r="11" spans="1:3">
      <c r="A11" s="216"/>
      <c r="B11" s="213" t="s">
        <v>252</v>
      </c>
      <c r="C11" s="213" t="s">
        <v>253</v>
      </c>
    </row>
    <row r="12" ht="42" spans="1:3">
      <c r="A12" s="216"/>
      <c r="B12" s="213" t="s">
        <v>254</v>
      </c>
      <c r="C12" s="213" t="s">
        <v>255</v>
      </c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256</v>
      </c>
      <c r="B15" s="213" t="s">
        <v>257</v>
      </c>
      <c r="C15" s="213" t="s">
        <v>258</v>
      </c>
    </row>
    <row r="16" spans="1:3">
      <c r="A16" s="213" t="s">
        <v>259</v>
      </c>
      <c r="B16" s="213" t="s">
        <v>260</v>
      </c>
      <c r="C16" s="213" t="s">
        <v>261</v>
      </c>
    </row>
    <row r="17" spans="1:3">
      <c r="A17" s="213" t="s">
        <v>262</v>
      </c>
      <c r="B17" s="213" t="s">
        <v>263</v>
      </c>
      <c r="C17" s="218">
        <v>0.440972222222222</v>
      </c>
    </row>
    <row r="18" spans="1:3">
      <c r="A18" s="219" t="s">
        <v>73</v>
      </c>
      <c r="B18" s="213" t="s">
        <v>264</v>
      </c>
      <c r="C18" s="213" t="s">
        <v>265</v>
      </c>
    </row>
    <row r="19" spans="1:3">
      <c r="A19" s="216"/>
      <c r="B19" s="213" t="s">
        <v>266</v>
      </c>
      <c r="C19" s="213" t="s">
        <v>267</v>
      </c>
    </row>
    <row r="20" ht="56" spans="1:3">
      <c r="A20" s="216"/>
      <c r="B20" s="213" t="s">
        <v>268</v>
      </c>
      <c r="C20" s="213" t="s">
        <v>269</v>
      </c>
    </row>
    <row r="21" spans="1:3">
      <c r="A21" s="216"/>
      <c r="B21" s="213" t="s">
        <v>270</v>
      </c>
      <c r="C21" s="213" t="s">
        <v>271</v>
      </c>
    </row>
    <row r="22" ht="28" spans="1:3">
      <c r="A22" s="216"/>
      <c r="B22" s="213" t="s">
        <v>272</v>
      </c>
      <c r="C22" s="213" t="s">
        <v>273</v>
      </c>
    </row>
    <row r="23" spans="1:3">
      <c r="A23" s="216"/>
      <c r="B23" s="213" t="s">
        <v>274</v>
      </c>
      <c r="C23" s="213" t="s">
        <v>275</v>
      </c>
    </row>
    <row r="24" spans="1:3">
      <c r="A24" s="216"/>
      <c r="B24" s="213" t="s">
        <v>276</v>
      </c>
      <c r="C24" s="213" t="s">
        <v>277</v>
      </c>
    </row>
    <row r="25" spans="1:3">
      <c r="A25" s="216"/>
      <c r="B25" s="213" t="s">
        <v>278</v>
      </c>
      <c r="C25" s="213" t="s">
        <v>279</v>
      </c>
    </row>
    <row r="26" spans="1:3">
      <c r="A26" s="216"/>
      <c r="B26" s="213" t="s">
        <v>276</v>
      </c>
      <c r="C26" s="213" t="s">
        <v>280</v>
      </c>
    </row>
    <row r="27" spans="1:3">
      <c r="A27" s="216"/>
      <c r="B27" s="213" t="s">
        <v>281</v>
      </c>
      <c r="C27" s="213" t="s">
        <v>282</v>
      </c>
    </row>
    <row r="28" spans="1:3">
      <c r="A28" s="216"/>
      <c r="B28" s="213" t="s">
        <v>283</v>
      </c>
      <c r="C28" s="213" t="s">
        <v>284</v>
      </c>
    </row>
    <row r="29" spans="1:3">
      <c r="A29" s="216"/>
      <c r="B29" s="213" t="s">
        <v>285</v>
      </c>
      <c r="C29" s="213" t="s">
        <v>286</v>
      </c>
    </row>
    <row r="30" spans="1:3">
      <c r="A30" s="216"/>
      <c r="B30" s="213" t="s">
        <v>285</v>
      </c>
      <c r="C30" s="213" t="s">
        <v>287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288</v>
      </c>
      <c r="B34" s="213" t="s">
        <v>266</v>
      </c>
      <c r="C34" s="213" t="s">
        <v>289</v>
      </c>
    </row>
    <row r="35" spans="1:3">
      <c r="A35" s="215"/>
      <c r="B35" s="213" t="s">
        <v>290</v>
      </c>
      <c r="C35" s="213" t="s">
        <v>291</v>
      </c>
    </row>
    <row r="36" ht="28" spans="1:3">
      <c r="A36" s="219" t="s">
        <v>292</v>
      </c>
      <c r="B36" s="213" t="s">
        <v>293</v>
      </c>
      <c r="C36" s="213" t="s">
        <v>294</v>
      </c>
    </row>
    <row r="37" spans="1:3">
      <c r="A37" s="216"/>
      <c r="B37" s="213" t="s">
        <v>246</v>
      </c>
      <c r="C37" s="213" t="s">
        <v>295</v>
      </c>
    </row>
    <row r="38" spans="1:3">
      <c r="A38" s="216"/>
      <c r="B38" s="213" t="s">
        <v>296</v>
      </c>
      <c r="C38" s="213" t="s">
        <v>297</v>
      </c>
    </row>
    <row r="39" spans="1:3">
      <c r="A39" s="216"/>
      <c r="B39" s="213"/>
      <c r="C39" s="213"/>
    </row>
    <row r="40" spans="1:3">
      <c r="A40" s="214" t="s">
        <v>298</v>
      </c>
      <c r="B40" s="213" t="s">
        <v>299</v>
      </c>
      <c r="C40" s="213" t="s">
        <v>300</v>
      </c>
    </row>
    <row r="41" spans="1:3">
      <c r="A41" s="215"/>
      <c r="B41" s="213" t="s">
        <v>244</v>
      </c>
      <c r="C41" s="213" t="s">
        <v>301</v>
      </c>
    </row>
    <row r="42" ht="28" spans="1:3">
      <c r="A42" s="219" t="s">
        <v>53</v>
      </c>
      <c r="B42" s="213" t="s">
        <v>244</v>
      </c>
      <c r="C42" s="213" t="s">
        <v>302</v>
      </c>
    </row>
    <row r="43" spans="1:3">
      <c r="A43" s="216"/>
      <c r="B43" s="211" t="s">
        <v>303</v>
      </c>
      <c r="C43" s="211" t="s">
        <v>304</v>
      </c>
    </row>
    <row r="44" spans="1:3">
      <c r="A44" s="216"/>
      <c r="B44" s="211" t="s">
        <v>270</v>
      </c>
      <c r="C44" s="211" t="s">
        <v>305</v>
      </c>
    </row>
    <row r="45" spans="1:3">
      <c r="A45" s="216"/>
      <c r="B45" s="211" t="s">
        <v>276</v>
      </c>
      <c r="C45" s="211" t="s">
        <v>306</v>
      </c>
    </row>
    <row r="46" ht="28" spans="1:3">
      <c r="A46" s="216"/>
      <c r="B46" s="211" t="s">
        <v>276</v>
      </c>
      <c r="C46" s="211" t="s">
        <v>307</v>
      </c>
    </row>
    <row r="47" spans="1:3">
      <c r="A47" s="216"/>
      <c r="B47" s="211" t="s">
        <v>308</v>
      </c>
      <c r="C47" s="211" t="s">
        <v>309</v>
      </c>
    </row>
    <row r="48" ht="98" spans="1:3">
      <c r="A48" s="219" t="s">
        <v>310</v>
      </c>
      <c r="B48" s="211" t="s">
        <v>244</v>
      </c>
      <c r="C48" s="211" t="s">
        <v>311</v>
      </c>
    </row>
    <row r="49" ht="84" spans="1:3">
      <c r="A49" s="216"/>
      <c r="B49" s="211" t="s">
        <v>312</v>
      </c>
      <c r="C49" s="211" t="s">
        <v>313</v>
      </c>
    </row>
    <row r="50" ht="28" spans="1:3">
      <c r="A50" s="217"/>
      <c r="B50" s="211" t="s">
        <v>314</v>
      </c>
      <c r="C50" s="211" t="s">
        <v>315</v>
      </c>
    </row>
    <row r="51" spans="1:3">
      <c r="A51" s="211" t="s">
        <v>43</v>
      </c>
      <c r="B51" s="211" t="s">
        <v>316</v>
      </c>
      <c r="C51" s="211" t="s">
        <v>317</v>
      </c>
    </row>
    <row r="52" spans="1:3">
      <c r="A52" s="219" t="s">
        <v>318</v>
      </c>
      <c r="B52" s="211" t="s">
        <v>246</v>
      </c>
      <c r="C52" s="211" t="s">
        <v>319</v>
      </c>
    </row>
    <row r="53" spans="1:3">
      <c r="A53" s="217"/>
      <c r="B53" s="211" t="s">
        <v>312</v>
      </c>
      <c r="C53" s="211" t="s">
        <v>320</v>
      </c>
    </row>
    <row r="54" spans="1:3">
      <c r="A54" s="211" t="s">
        <v>63</v>
      </c>
      <c r="B54" s="211" t="s">
        <v>248</v>
      </c>
      <c r="C54" s="211" t="s">
        <v>321</v>
      </c>
    </row>
    <row r="55" spans="1:3">
      <c r="A55" s="219" t="s">
        <v>322</v>
      </c>
      <c r="B55" s="211" t="s">
        <v>323</v>
      </c>
      <c r="C55" s="211" t="s">
        <v>324</v>
      </c>
    </row>
    <row r="56" spans="1:3">
      <c r="A56" s="217"/>
      <c r="B56" s="211" t="s">
        <v>276</v>
      </c>
      <c r="C56" s="211" t="s">
        <v>325</v>
      </c>
    </row>
    <row r="57" spans="1:3">
      <c r="A57" s="211" t="s">
        <v>326</v>
      </c>
      <c r="B57" s="211" t="s">
        <v>327</v>
      </c>
      <c r="C57" s="211" t="s">
        <v>328</v>
      </c>
    </row>
    <row r="58" spans="1:3">
      <c r="A58" s="211" t="s">
        <v>10</v>
      </c>
      <c r="B58" s="211" t="s">
        <v>312</v>
      </c>
      <c r="C58" s="211" t="s">
        <v>329</v>
      </c>
    </row>
    <row r="59" spans="1:3">
      <c r="A59" s="211" t="s">
        <v>330</v>
      </c>
      <c r="B59" s="211" t="s">
        <v>331</v>
      </c>
      <c r="C59" s="211" t="s">
        <v>332</v>
      </c>
    </row>
    <row r="60" spans="1:3">
      <c r="A60" s="211" t="s">
        <v>333</v>
      </c>
      <c r="B60" s="211" t="s">
        <v>334</v>
      </c>
      <c r="C60" s="211" t="s">
        <v>335</v>
      </c>
    </row>
    <row r="61" spans="1:3">
      <c r="A61" s="211" t="s">
        <v>336</v>
      </c>
      <c r="B61" s="211" t="s">
        <v>334</v>
      </c>
      <c r="C61" s="211" t="s">
        <v>337</v>
      </c>
    </row>
    <row r="62" spans="1:3">
      <c r="A62" s="211" t="s">
        <v>338</v>
      </c>
      <c r="B62" s="211" t="s">
        <v>272</v>
      </c>
      <c r="C62" s="211" t="s">
        <v>339</v>
      </c>
    </row>
    <row r="63" ht="28" spans="1:3">
      <c r="A63" s="211" t="s">
        <v>340</v>
      </c>
      <c r="B63" s="211" t="s">
        <v>314</v>
      </c>
      <c r="C63" s="211" t="s">
        <v>341</v>
      </c>
    </row>
    <row r="64" ht="28" spans="1:3">
      <c r="A64" s="219" t="s">
        <v>342</v>
      </c>
      <c r="B64" s="211" t="s">
        <v>314</v>
      </c>
      <c r="C64" s="211" t="s">
        <v>343</v>
      </c>
    </row>
    <row r="65" spans="1:3">
      <c r="A65" s="217"/>
      <c r="B65" s="211" t="s">
        <v>344</v>
      </c>
      <c r="C65" s="211" t="s">
        <v>345</v>
      </c>
    </row>
    <row r="66" ht="140" spans="1:3">
      <c r="A66" s="211" t="s">
        <v>346</v>
      </c>
      <c r="B66" s="211" t="s">
        <v>347</v>
      </c>
      <c r="C66" s="211" t="s">
        <v>348</v>
      </c>
    </row>
    <row r="67" spans="1:3">
      <c r="A67" s="211" t="s">
        <v>10</v>
      </c>
      <c r="B67" s="211" t="s">
        <v>274</v>
      </c>
      <c r="C67" s="211" t="s">
        <v>349</v>
      </c>
    </row>
    <row r="68" spans="1:3">
      <c r="A68" s="211" t="s">
        <v>350</v>
      </c>
      <c r="B68" s="211" t="s">
        <v>351</v>
      </c>
      <c r="C68" s="211" t="s">
        <v>352</v>
      </c>
    </row>
    <row r="69" spans="1:3">
      <c r="A69" s="211" t="s">
        <v>353</v>
      </c>
      <c r="B69" s="211" t="s">
        <v>354</v>
      </c>
      <c r="C69" s="211" t="s">
        <v>355</v>
      </c>
    </row>
    <row r="70" ht="70" spans="1:3">
      <c r="A70" s="211" t="s">
        <v>356</v>
      </c>
      <c r="B70" s="211" t="s">
        <v>357</v>
      </c>
      <c r="C70" s="211" t="s">
        <v>358</v>
      </c>
    </row>
    <row r="71" spans="1:3">
      <c r="A71" s="211" t="s">
        <v>359</v>
      </c>
      <c r="B71" s="211" t="s">
        <v>281</v>
      </c>
      <c r="C71" s="211" t="s">
        <v>360</v>
      </c>
    </row>
    <row r="72" ht="28" spans="1:3">
      <c r="A72" s="211" t="s">
        <v>47</v>
      </c>
      <c r="B72" s="211" t="s">
        <v>361</v>
      </c>
      <c r="C72" s="211" t="s">
        <v>362</v>
      </c>
    </row>
    <row r="73" spans="1:3">
      <c r="A73" s="211" t="s">
        <v>363</v>
      </c>
      <c r="B73" s="211" t="s">
        <v>364</v>
      </c>
      <c r="C73" s="211" t="s">
        <v>365</v>
      </c>
    </row>
    <row r="74" spans="1:3">
      <c r="A74" s="219" t="s">
        <v>366</v>
      </c>
      <c r="B74" s="211" t="s">
        <v>367</v>
      </c>
      <c r="C74" s="211" t="s">
        <v>368</v>
      </c>
    </row>
    <row r="75" spans="1:3">
      <c r="A75" s="217"/>
      <c r="B75" s="211" t="s">
        <v>364</v>
      </c>
      <c r="C75" s="211" t="s">
        <v>369</v>
      </c>
    </row>
    <row r="76" spans="1:3">
      <c r="A76" s="219" t="s">
        <v>370</v>
      </c>
      <c r="B76" s="211" t="s">
        <v>371</v>
      </c>
      <c r="C76" s="211" t="s">
        <v>372</v>
      </c>
    </row>
    <row r="77" spans="1:3">
      <c r="A77" s="217"/>
      <c r="B77" s="211" t="s">
        <v>373</v>
      </c>
      <c r="C77" s="211" t="s">
        <v>374</v>
      </c>
    </row>
    <row r="78" spans="1:3">
      <c r="A78" s="211" t="s">
        <v>375</v>
      </c>
      <c r="B78" s="211" t="s">
        <v>376</v>
      </c>
      <c r="C78" s="211" t="s">
        <v>377</v>
      </c>
    </row>
    <row r="79" ht="56" spans="1:3">
      <c r="A79" s="211" t="s">
        <v>378</v>
      </c>
      <c r="B79" s="211" t="s">
        <v>379</v>
      </c>
      <c r="C79" s="211" t="s">
        <v>380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381</v>
      </c>
      <c r="B2" s="187" t="s">
        <v>382</v>
      </c>
      <c r="C2" s="188" t="s">
        <v>383</v>
      </c>
      <c r="D2" s="189"/>
      <c r="E2" s="187" t="s">
        <v>382</v>
      </c>
      <c r="F2" s="187"/>
      <c r="G2" s="190" t="s">
        <v>384</v>
      </c>
      <c r="H2" s="190"/>
      <c r="I2" s="182"/>
      <c r="J2" s="191"/>
    </row>
    <row r="3" ht="16.5" spans="1:10">
      <c r="A3" s="183" t="s">
        <v>385</v>
      </c>
      <c r="B3" s="192" t="s">
        <v>386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387</v>
      </c>
      <c r="B4" s="193" t="s">
        <v>292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388</v>
      </c>
      <c r="B5" s="194">
        <v>1</v>
      </c>
      <c r="C5" s="194"/>
      <c r="D5" s="195">
        <v>2</v>
      </c>
      <c r="E5" s="195"/>
      <c r="F5" s="195"/>
      <c r="G5" s="194" t="s">
        <v>389</v>
      </c>
      <c r="H5" s="194"/>
      <c r="I5" s="182"/>
      <c r="J5" s="191"/>
    </row>
    <row r="6" ht="16.5" spans="1:10">
      <c r="A6" s="183" t="s">
        <v>390</v>
      </c>
      <c r="B6" s="196">
        <v>1</v>
      </c>
      <c r="C6" s="196"/>
      <c r="D6" s="196"/>
      <c r="E6" s="196"/>
      <c r="F6" s="196"/>
      <c r="G6" s="197" t="s">
        <v>391</v>
      </c>
      <c r="H6" s="197"/>
      <c r="I6" s="182"/>
      <c r="J6" s="191"/>
    </row>
    <row r="7" ht="16.5" spans="1:10">
      <c r="A7" s="183" t="s">
        <v>392</v>
      </c>
      <c r="B7" s="198" t="s">
        <v>393</v>
      </c>
      <c r="C7" s="198"/>
      <c r="D7" s="198"/>
      <c r="E7" s="198"/>
      <c r="F7" s="198"/>
      <c r="G7" s="199" t="s">
        <v>394</v>
      </c>
      <c r="H7" s="199"/>
      <c r="I7" s="182"/>
      <c r="J7" s="191"/>
    </row>
    <row r="8" ht="16.5" spans="1:10">
      <c r="A8" s="183" t="s">
        <v>395</v>
      </c>
      <c r="B8" s="200">
        <v>1</v>
      </c>
      <c r="C8" s="200"/>
      <c r="D8" s="201" t="s">
        <v>396</v>
      </c>
      <c r="E8" s="201"/>
      <c r="F8" s="201"/>
      <c r="G8" s="200" t="s">
        <v>397</v>
      </c>
      <c r="H8" s="200"/>
      <c r="I8" s="182"/>
      <c r="J8" s="191"/>
    </row>
    <row r="9" s="3" customFormat="1" ht="16.5" spans="1:10">
      <c r="A9" s="183" t="s">
        <v>398</v>
      </c>
      <c r="B9" s="4" t="s">
        <v>399</v>
      </c>
      <c r="C9" s="4"/>
      <c r="D9" s="4"/>
      <c r="E9" s="4"/>
      <c r="F9" s="4"/>
      <c r="G9" s="202" t="s">
        <v>400</v>
      </c>
      <c r="H9" s="202"/>
      <c r="I9" s="3"/>
      <c r="J9" s="203"/>
    </row>
    <row r="10" s="3" customFormat="1" ht="16.5" spans="1:10">
      <c r="A10" s="183" t="s">
        <v>401</v>
      </c>
      <c r="B10" s="20" t="s">
        <v>399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402</v>
      </c>
      <c r="B11" s="187" t="s">
        <v>403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404</v>
      </c>
      <c r="B12" s="192">
        <v>1</v>
      </c>
      <c r="C12" s="192"/>
      <c r="D12" s="205" t="s">
        <v>405</v>
      </c>
      <c r="E12" s="192">
        <v>1</v>
      </c>
      <c r="F12" s="205" t="s">
        <v>405</v>
      </c>
      <c r="G12" s="182" t="s">
        <v>399</v>
      </c>
      <c r="H12" s="182"/>
      <c r="I12" s="182"/>
      <c r="J12" s="191"/>
    </row>
    <row r="13" ht="16.5" spans="1:10">
      <c r="A13" s="183" t="s">
        <v>406</v>
      </c>
      <c r="B13" s="193">
        <v>1</v>
      </c>
      <c r="C13" s="193"/>
      <c r="D13" s="193"/>
      <c r="E13" s="193"/>
      <c r="F13" s="193"/>
      <c r="G13" s="193"/>
      <c r="H13" s="182" t="s">
        <v>399</v>
      </c>
      <c r="I13" s="182"/>
      <c r="J13" s="191"/>
    </row>
    <row r="14" ht="16.5" spans="1:10">
      <c r="A14" s="183" t="s">
        <v>407</v>
      </c>
      <c r="B14" s="206">
        <v>1</v>
      </c>
      <c r="C14" s="206"/>
      <c r="D14" s="206"/>
      <c r="E14" s="206"/>
      <c r="F14" s="206"/>
      <c r="G14" s="207">
        <v>2</v>
      </c>
      <c r="H14" s="208" t="s">
        <v>399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408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409</v>
      </c>
      <c r="B2" s="160" t="s">
        <v>410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411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412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413</v>
      </c>
      <c r="C6" s="56" t="s">
        <v>21</v>
      </c>
      <c r="D6" s="165" t="s">
        <v>120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91</v>
      </c>
      <c r="E7" s="165" t="s">
        <v>106</v>
      </c>
      <c r="F7" s="166"/>
      <c r="G7" s="166"/>
      <c r="H7" s="167"/>
    </row>
    <row r="8" s="153" customFormat="1" spans="1:10">
      <c r="A8" s="164"/>
      <c r="B8" s="160" t="s">
        <v>414</v>
      </c>
      <c r="C8" s="56" t="s">
        <v>15</v>
      </c>
      <c r="D8" s="165" t="s">
        <v>96</v>
      </c>
      <c r="E8" s="166"/>
      <c r="F8" s="166"/>
      <c r="G8" s="166"/>
      <c r="H8" s="167"/>
    </row>
    <row r="9" s="153" customFormat="1" spans="1:10">
      <c r="A9" s="164"/>
      <c r="B9" s="160" t="s">
        <v>415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416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417</v>
      </c>
      <c r="C11" s="161" t="s">
        <v>84</v>
      </c>
      <c r="D11" s="162"/>
      <c r="E11" s="162"/>
      <c r="F11" s="162"/>
      <c r="G11" s="162"/>
      <c r="H11" s="163"/>
    </row>
    <row r="12" s="154" customFormat="1" spans="1:10">
      <c r="A12" s="169" t="s">
        <v>418</v>
      </c>
      <c r="B12" s="170" t="s">
        <v>419</v>
      </c>
      <c r="C12" s="171" t="s">
        <v>106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420</v>
      </c>
      <c r="C14" s="171" t="s">
        <v>421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422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423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424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425</v>
      </c>
      <c r="C19" s="171" t="s">
        <v>96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426</v>
      </c>
      <c r="C20" s="171" t="s">
        <v>100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427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428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429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430</v>
      </c>
      <c r="B2" s="136"/>
      <c r="C2" s="137"/>
      <c r="D2" s="138" t="s">
        <v>50</v>
      </c>
      <c r="E2" s="138" t="s">
        <v>124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78</v>
      </c>
      <c r="G3" s="139" t="s">
        <v>91</v>
      </c>
      <c r="H3" s="140" t="s">
        <v>124</v>
      </c>
      <c r="I3" s="140" t="s">
        <v>106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135</v>
      </c>
      <c r="E4" s="138" t="s">
        <v>94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85</v>
      </c>
      <c r="C5" s="137" t="s">
        <v>31</v>
      </c>
      <c r="D5" s="138" t="s">
        <v>47</v>
      </c>
      <c r="E5" s="138" t="s">
        <v>88</v>
      </c>
      <c r="F5" s="139" t="s">
        <v>84</v>
      </c>
      <c r="G5" s="139" t="s">
        <v>28</v>
      </c>
      <c r="H5" s="140" t="s">
        <v>39</v>
      </c>
      <c r="I5" s="140" t="s">
        <v>125</v>
      </c>
    </row>
    <row r="6" s="132" customFormat="1" customHeight="1" spans="1:16">
      <c r="A6" s="141"/>
      <c r="B6" s="137" t="s">
        <v>25</v>
      </c>
      <c r="C6" s="137" t="s">
        <v>87</v>
      </c>
      <c r="D6" s="138" t="s">
        <v>10</v>
      </c>
      <c r="E6" s="138" t="s">
        <v>86</v>
      </c>
      <c r="F6" s="139" t="s">
        <v>100</v>
      </c>
      <c r="G6" s="139" t="s">
        <v>133</v>
      </c>
      <c r="H6" s="140" t="s">
        <v>73</v>
      </c>
      <c r="I6" s="140" t="s">
        <v>19</v>
      </c>
    </row>
    <row r="7" s="132" customFormat="1" customHeight="1" spans="1:16">
      <c r="A7" s="141"/>
      <c r="B7" s="137" t="s">
        <v>118</v>
      </c>
      <c r="C7" s="137" t="s">
        <v>36</v>
      </c>
      <c r="D7" s="138" t="s">
        <v>70</v>
      </c>
      <c r="E7" s="138" t="s">
        <v>13</v>
      </c>
      <c r="F7" s="139" t="s">
        <v>113</v>
      </c>
      <c r="G7" s="139" t="s">
        <v>59</v>
      </c>
      <c r="H7" s="140" t="s">
        <v>89</v>
      </c>
      <c r="I7" s="140" t="s">
        <v>114</v>
      </c>
    </row>
    <row r="8" s="132" customFormat="1" customHeight="1" spans="1:16">
      <c r="A8" s="141"/>
      <c r="B8" s="137" t="s">
        <v>131</v>
      </c>
      <c r="C8" s="137" t="s">
        <v>68</v>
      </c>
      <c r="D8" s="138" t="s">
        <v>81</v>
      </c>
      <c r="E8" s="138" t="s">
        <v>120</v>
      </c>
      <c r="F8" s="139" t="s">
        <v>53</v>
      </c>
      <c r="G8" s="139" t="s">
        <v>127</v>
      </c>
      <c r="H8" s="140" t="s">
        <v>63</v>
      </c>
      <c r="I8" s="140" t="s">
        <v>96</v>
      </c>
    </row>
    <row r="9" s="132" customFormat="1" customHeight="1" spans="1:16">
      <c r="A9" s="142"/>
      <c r="B9" s="143"/>
      <c r="C9" s="144"/>
      <c r="D9" s="145" t="s">
        <v>136</v>
      </c>
      <c r="E9" s="146"/>
      <c r="F9" s="147"/>
      <c r="G9" s="147"/>
      <c r="H9" s="147"/>
      <c r="I9" s="148"/>
    </row>
    <row r="10" s="132" customFormat="1" customHeight="1" spans="1:16">
      <c r="A10" s="135" t="s">
        <v>431</v>
      </c>
      <c r="B10" s="136"/>
      <c r="C10" s="137"/>
      <c r="D10" s="138" t="s">
        <v>50</v>
      </c>
      <c r="E10" s="138" t="s">
        <v>124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106</v>
      </c>
      <c r="D11" s="138" t="s">
        <v>69</v>
      </c>
      <c r="E11" s="138" t="s">
        <v>135</v>
      </c>
      <c r="F11" s="139" t="s">
        <v>15</v>
      </c>
      <c r="G11" s="139" t="s">
        <v>91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94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78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85</v>
      </c>
      <c r="C13" s="137" t="s">
        <v>47</v>
      </c>
      <c r="D13" s="138" t="s">
        <v>39</v>
      </c>
      <c r="E13" s="138" t="s">
        <v>125</v>
      </c>
      <c r="F13" s="139" t="s">
        <v>133</v>
      </c>
      <c r="G13" s="139" t="s">
        <v>86</v>
      </c>
      <c r="H13" s="140" t="s">
        <v>88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87</v>
      </c>
      <c r="D14" s="138" t="s">
        <v>10</v>
      </c>
      <c r="E14" s="138" t="s">
        <v>73</v>
      </c>
      <c r="F14" s="139" t="s">
        <v>28</v>
      </c>
      <c r="G14" s="139" t="s">
        <v>84</v>
      </c>
      <c r="H14" s="140" t="s">
        <v>19</v>
      </c>
      <c r="I14" s="140" t="s">
        <v>100</v>
      </c>
    </row>
    <row r="15" s="132" customFormat="1" customHeight="1" spans="1:16">
      <c r="A15" s="141"/>
      <c r="B15" s="137" t="s">
        <v>36</v>
      </c>
      <c r="C15" s="137" t="s">
        <v>118</v>
      </c>
      <c r="D15" s="138" t="s">
        <v>114</v>
      </c>
      <c r="E15" s="138" t="s">
        <v>113</v>
      </c>
      <c r="F15" s="139" t="s">
        <v>13</v>
      </c>
      <c r="G15" s="139" t="s">
        <v>59</v>
      </c>
      <c r="H15" s="140" t="s">
        <v>89</v>
      </c>
      <c r="I15" s="140" t="s">
        <v>70</v>
      </c>
    </row>
    <row r="16" s="132" customFormat="1" customHeight="1" spans="1:16">
      <c r="A16" s="141"/>
      <c r="B16" s="137" t="s">
        <v>131</v>
      </c>
      <c r="C16" s="137" t="s">
        <v>68</v>
      </c>
      <c r="D16" s="138" t="s">
        <v>127</v>
      </c>
      <c r="E16" s="138" t="s">
        <v>120</v>
      </c>
      <c r="F16" s="139" t="s">
        <v>53</v>
      </c>
      <c r="G16" s="139" t="s">
        <v>81</v>
      </c>
      <c r="H16" s="140" t="s">
        <v>136</v>
      </c>
      <c r="I16" s="140" t="s">
        <v>96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432</v>
      </c>
      <c r="B18" s="136"/>
      <c r="C18" s="137"/>
      <c r="D18" s="138" t="s">
        <v>50</v>
      </c>
      <c r="E18" s="138"/>
      <c r="F18" s="139" t="s">
        <v>124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135</v>
      </c>
      <c r="E19" s="138" t="s">
        <v>91</v>
      </c>
      <c r="F19" s="139" t="s">
        <v>58</v>
      </c>
      <c r="G19" s="139" t="s">
        <v>106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78</v>
      </c>
      <c r="C20" s="137" t="s">
        <v>30</v>
      </c>
      <c r="D20" s="138" t="s">
        <v>94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88</v>
      </c>
      <c r="C21" s="137" t="s">
        <v>85</v>
      </c>
      <c r="D21" s="138" t="s">
        <v>84</v>
      </c>
      <c r="E21" s="138" t="s">
        <v>39</v>
      </c>
      <c r="F21" s="139" t="s">
        <v>28</v>
      </c>
      <c r="G21" s="139" t="s">
        <v>21</v>
      </c>
      <c r="H21" s="140" t="s">
        <v>89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100</v>
      </c>
      <c r="D22" s="138" t="s">
        <v>86</v>
      </c>
      <c r="E22" s="138" t="s">
        <v>73</v>
      </c>
      <c r="F22" s="139" t="s">
        <v>133</v>
      </c>
      <c r="G22" s="139" t="s">
        <v>113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118</v>
      </c>
      <c r="D23" s="138" t="s">
        <v>87</v>
      </c>
      <c r="E23" s="138" t="s">
        <v>36</v>
      </c>
      <c r="F23" s="139" t="s">
        <v>120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127</v>
      </c>
      <c r="C24" s="137" t="s">
        <v>96</v>
      </c>
      <c r="D24" s="138" t="s">
        <v>81</v>
      </c>
      <c r="E24" s="138" t="s">
        <v>68</v>
      </c>
      <c r="F24" s="139" t="s">
        <v>87</v>
      </c>
      <c r="G24" s="139" t="s">
        <v>114</v>
      </c>
      <c r="H24" s="140" t="s">
        <v>131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136</v>
      </c>
      <c r="E25" s="146"/>
      <c r="F25" s="147"/>
      <c r="G25" s="147"/>
      <c r="H25" s="147"/>
      <c r="I25" s="148"/>
    </row>
    <row r="26" customHeight="1" spans="1:9">
      <c r="A26" s="135" t="s">
        <v>433</v>
      </c>
      <c r="B26" s="136"/>
      <c r="C26" s="137"/>
      <c r="D26" s="138"/>
      <c r="E26" s="138"/>
      <c r="F26" s="139"/>
      <c r="G26" s="139"/>
      <c r="H26" s="140" t="s">
        <v>87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124</v>
      </c>
      <c r="G27" s="139" t="s">
        <v>91</v>
      </c>
      <c r="H27" s="140" t="s">
        <v>135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78</v>
      </c>
      <c r="E28" s="138" t="s">
        <v>30</v>
      </c>
      <c r="F28" s="139" t="s">
        <v>86</v>
      </c>
      <c r="G28" s="139" t="s">
        <v>88</v>
      </c>
      <c r="H28" s="140" t="s">
        <v>69</v>
      </c>
      <c r="I28" s="140" t="s">
        <v>50</v>
      </c>
    </row>
    <row r="29" customHeight="1" spans="1:9">
      <c r="A29" s="141"/>
      <c r="B29" s="137" t="s">
        <v>89</v>
      </c>
      <c r="C29" s="137" t="s">
        <v>63</v>
      </c>
      <c r="D29" s="138" t="s">
        <v>133</v>
      </c>
      <c r="E29" s="138" t="s">
        <v>85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100</v>
      </c>
      <c r="E30" s="138" t="s">
        <v>84</v>
      </c>
      <c r="F30" s="139" t="s">
        <v>73</v>
      </c>
      <c r="G30" s="139" t="s">
        <v>19</v>
      </c>
      <c r="H30" s="140" t="s">
        <v>125</v>
      </c>
      <c r="I30" s="140" t="s">
        <v>25</v>
      </c>
    </row>
    <row r="31" customHeight="1" spans="1:9">
      <c r="A31" s="141"/>
      <c r="B31" s="137" t="s">
        <v>127</v>
      </c>
      <c r="C31" s="137" t="s">
        <v>59</v>
      </c>
      <c r="D31" s="138" t="s">
        <v>10</v>
      </c>
      <c r="E31" s="138" t="s">
        <v>70</v>
      </c>
      <c r="F31" s="139" t="s">
        <v>81</v>
      </c>
      <c r="G31" s="139" t="s">
        <v>36</v>
      </c>
      <c r="H31" s="140" t="s">
        <v>47</v>
      </c>
      <c r="I31" s="140" t="s">
        <v>113</v>
      </c>
    </row>
    <row r="32" customHeight="1" spans="1:9">
      <c r="A32" s="141"/>
      <c r="B32" s="137" t="s">
        <v>118</v>
      </c>
      <c r="C32" s="137" t="s">
        <v>114</v>
      </c>
      <c r="D32" s="138" t="s">
        <v>131</v>
      </c>
      <c r="E32" s="138" t="s">
        <v>106</v>
      </c>
      <c r="F32" s="139" t="s">
        <v>13</v>
      </c>
      <c r="G32" s="139" t="s">
        <v>96</v>
      </c>
      <c r="H32" s="140" t="s">
        <v>68</v>
      </c>
      <c r="I32" s="140" t="s">
        <v>120</v>
      </c>
    </row>
    <row r="33" customHeight="1" spans="1:9">
      <c r="A33" s="142"/>
      <c r="B33" s="150"/>
      <c r="C33" s="151"/>
      <c r="D33" s="145" t="s">
        <v>136</v>
      </c>
      <c r="E33" s="146"/>
      <c r="F33" s="147"/>
      <c r="G33" s="147"/>
      <c r="H33" s="147"/>
      <c r="I33" s="148"/>
    </row>
    <row r="34" customHeight="1" spans="1:9">
      <c r="A34" s="135" t="s">
        <v>434</v>
      </c>
      <c r="B34" s="136"/>
      <c r="C34" s="137"/>
      <c r="D34" s="138"/>
      <c r="E34" s="138"/>
      <c r="F34" s="139" t="s">
        <v>87</v>
      </c>
      <c r="G34" s="139" t="s">
        <v>63</v>
      </c>
      <c r="H34" s="140"/>
      <c r="I34" s="140"/>
    </row>
    <row r="35" customHeight="1" spans="1:9">
      <c r="A35" s="141"/>
      <c r="B35" s="149" t="s">
        <v>86</v>
      </c>
      <c r="C35" s="137" t="s">
        <v>135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124</v>
      </c>
      <c r="I35" s="140" t="s">
        <v>69</v>
      </c>
    </row>
    <row r="36" customHeight="1" spans="1:9">
      <c r="A36" s="141"/>
      <c r="B36" s="137" t="s">
        <v>125</v>
      </c>
      <c r="C36" s="137" t="s">
        <v>133</v>
      </c>
      <c r="D36" s="138" t="s">
        <v>88</v>
      </c>
      <c r="E36" s="138" t="s">
        <v>58</v>
      </c>
      <c r="F36" s="139" t="s">
        <v>91</v>
      </c>
      <c r="G36" s="139" t="s">
        <v>38</v>
      </c>
      <c r="H36" s="140" t="s">
        <v>45</v>
      </c>
      <c r="I36" s="140" t="s">
        <v>78</v>
      </c>
    </row>
    <row r="37" customHeight="1" spans="1:9">
      <c r="A37" s="141"/>
      <c r="B37" s="137" t="s">
        <v>33</v>
      </c>
      <c r="C37" s="137" t="s">
        <v>30</v>
      </c>
      <c r="D37" s="138" t="s">
        <v>89</v>
      </c>
      <c r="E37" s="138" t="s">
        <v>85</v>
      </c>
      <c r="F37" s="139" t="s">
        <v>7</v>
      </c>
      <c r="G37" s="139" t="s">
        <v>31</v>
      </c>
      <c r="H37" s="140" t="s">
        <v>100</v>
      </c>
      <c r="I37" s="140" t="s">
        <v>39</v>
      </c>
    </row>
    <row r="38" customHeight="1" spans="1:9">
      <c r="A38" s="141"/>
      <c r="B38" s="137" t="s">
        <v>73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84</v>
      </c>
      <c r="H38" s="140" t="s">
        <v>113</v>
      </c>
      <c r="I38" s="140" t="s">
        <v>10</v>
      </c>
    </row>
    <row r="39" customHeight="1" spans="1:9">
      <c r="A39" s="141"/>
      <c r="B39" s="137" t="s">
        <v>114</v>
      </c>
      <c r="C39" s="137" t="s">
        <v>127</v>
      </c>
      <c r="D39" s="138" t="s">
        <v>70</v>
      </c>
      <c r="E39" s="138" t="s">
        <v>19</v>
      </c>
      <c r="F39" s="139" t="s">
        <v>120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106</v>
      </c>
      <c r="C40" s="137" t="s">
        <v>118</v>
      </c>
      <c r="D40" s="138" t="s">
        <v>96</v>
      </c>
      <c r="E40" s="138" t="s">
        <v>131</v>
      </c>
      <c r="F40" s="139" t="s">
        <v>136</v>
      </c>
      <c r="G40" s="139" t="s">
        <v>68</v>
      </c>
      <c r="H40" s="140" t="s">
        <v>36</v>
      </c>
      <c r="I40" s="140" t="s">
        <v>81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435</v>
      </c>
      <c r="B1" s="123" t="s">
        <v>436</v>
      </c>
      <c r="C1" s="124" t="s">
        <v>230</v>
      </c>
    </row>
    <row r="2" spans="1:3">
      <c r="A2" s="125" t="s">
        <v>1</v>
      </c>
      <c r="B2" s="120" t="s">
        <v>437</v>
      </c>
      <c r="C2" s="121" t="s">
        <v>438</v>
      </c>
    </row>
    <row r="3" spans="1:3">
      <c r="A3" s="125"/>
      <c r="B3" s="120" t="s">
        <v>439</v>
      </c>
      <c r="C3" s="121" t="s">
        <v>440</v>
      </c>
    </row>
    <row r="4" spans="1:3">
      <c r="A4" s="125"/>
      <c r="B4" s="120" t="s">
        <v>441</v>
      </c>
      <c r="C4" s="121" t="s">
        <v>442</v>
      </c>
    </row>
    <row r="5" spans="1:3">
      <c r="A5" s="125"/>
      <c r="B5" s="120" t="s">
        <v>443</v>
      </c>
      <c r="C5" s="121" t="s">
        <v>444</v>
      </c>
    </row>
    <row r="6" spans="1:3">
      <c r="A6" s="125"/>
      <c r="B6" s="120" t="s">
        <v>445</v>
      </c>
      <c r="C6" s="121" t="s">
        <v>446</v>
      </c>
    </row>
    <row r="7" spans="1:3">
      <c r="A7" s="125"/>
      <c r="B7" s="120" t="s">
        <v>447</v>
      </c>
      <c r="C7" s="121" t="s">
        <v>448</v>
      </c>
    </row>
    <row r="8" spans="1:3">
      <c r="A8" s="125"/>
      <c r="B8" s="120" t="s">
        <v>449</v>
      </c>
      <c r="C8" s="121" t="s">
        <v>450</v>
      </c>
    </row>
    <row r="9" spans="1:3">
      <c r="A9" s="125"/>
      <c r="B9" s="120" t="s">
        <v>451</v>
      </c>
      <c r="C9" s="121" t="s">
        <v>452</v>
      </c>
    </row>
    <row r="10" spans="1:3">
      <c r="A10" s="125"/>
      <c r="B10" s="120" t="s">
        <v>453</v>
      </c>
      <c r="C10" s="121" t="s">
        <v>454</v>
      </c>
    </row>
    <row r="11" spans="1:3">
      <c r="A11" s="125"/>
      <c r="B11" s="120" t="s">
        <v>455</v>
      </c>
      <c r="C11" s="121" t="s">
        <v>456</v>
      </c>
    </row>
    <row r="12" spans="1:3">
      <c r="A12" s="125"/>
      <c r="B12" s="120" t="s">
        <v>457</v>
      </c>
      <c r="C12" s="121" t="s">
        <v>458</v>
      </c>
    </row>
    <row r="13" spans="1:3">
      <c r="A13" s="125"/>
      <c r="B13" s="120" t="s">
        <v>459</v>
      </c>
      <c r="C13" s="121" t="s">
        <v>460</v>
      </c>
    </row>
    <row r="14" spans="1:3">
      <c r="A14" s="125"/>
      <c r="B14" s="120" t="s">
        <v>461</v>
      </c>
      <c r="C14" s="121" t="s">
        <v>462</v>
      </c>
    </row>
    <row r="15" spans="1:3">
      <c r="A15" s="125"/>
      <c r="B15" s="120" t="s">
        <v>463</v>
      </c>
      <c r="C15" s="121" t="s">
        <v>464</v>
      </c>
    </row>
    <row r="16" spans="1:3">
      <c r="A16" s="125"/>
      <c r="B16" s="120" t="s">
        <v>465</v>
      </c>
      <c r="C16" s="121" t="s">
        <v>466</v>
      </c>
    </row>
    <row r="17" spans="1:3">
      <c r="A17" s="125"/>
      <c r="B17" s="120" t="s">
        <v>467</v>
      </c>
      <c r="C17" s="121" t="s">
        <v>468</v>
      </c>
    </row>
    <row r="18" spans="1:3">
      <c r="A18" s="125"/>
      <c r="B18" s="120" t="s">
        <v>469</v>
      </c>
      <c r="C18" s="121" t="s">
        <v>470</v>
      </c>
    </row>
    <row r="19" spans="1:3">
      <c r="A19" s="125"/>
      <c r="B19" s="120" t="s">
        <v>471</v>
      </c>
      <c r="C19" s="121" t="s">
        <v>472</v>
      </c>
    </row>
    <row r="20" spans="1:3">
      <c r="A20" s="125"/>
      <c r="B20" s="120" t="s">
        <v>473</v>
      </c>
      <c r="C20" s="121" t="s">
        <v>474</v>
      </c>
    </row>
    <row r="21" spans="1:3">
      <c r="A21" s="125"/>
      <c r="B21" s="120" t="s">
        <v>473</v>
      </c>
      <c r="C21" s="121" t="s">
        <v>475</v>
      </c>
    </row>
    <row r="22" spans="1:3">
      <c r="A22" s="125"/>
      <c r="B22" s="120" t="s">
        <v>476</v>
      </c>
      <c r="C22" s="121" t="s">
        <v>477</v>
      </c>
    </row>
    <row r="23" spans="1:3">
      <c r="A23" s="125"/>
      <c r="B23" s="120" t="s">
        <v>478</v>
      </c>
      <c r="C23" s="121" t="s">
        <v>479</v>
      </c>
    </row>
    <row r="24" spans="1:3">
      <c r="A24" s="125"/>
      <c r="B24" s="120" t="s">
        <v>480</v>
      </c>
      <c r="C24" s="121" t="s">
        <v>481</v>
      </c>
    </row>
    <row r="25" spans="1:3">
      <c r="A25" s="126" t="s">
        <v>2</v>
      </c>
      <c r="B25" s="120" t="s">
        <v>482</v>
      </c>
      <c r="C25" s="121" t="s">
        <v>483</v>
      </c>
    </row>
    <row r="26" spans="1:3">
      <c r="A26" s="126"/>
      <c r="B26" s="120" t="s">
        <v>484</v>
      </c>
      <c r="C26" s="121" t="s">
        <v>485</v>
      </c>
    </row>
    <row r="27" spans="1:3">
      <c r="A27" s="126"/>
      <c r="B27" s="120" t="s">
        <v>486</v>
      </c>
      <c r="C27" s="121" t="s">
        <v>487</v>
      </c>
    </row>
    <row r="28" spans="1:3">
      <c r="A28" s="126"/>
      <c r="B28" s="120" t="s">
        <v>488</v>
      </c>
      <c r="C28" s="121" t="s">
        <v>489</v>
      </c>
    </row>
    <row r="29" spans="1:3">
      <c r="A29" s="126"/>
      <c r="B29" s="120" t="s">
        <v>490</v>
      </c>
      <c r="C29" s="121" t="s">
        <v>491</v>
      </c>
    </row>
    <row r="30" spans="1:3">
      <c r="A30" s="126"/>
      <c r="B30" s="120" t="s">
        <v>492</v>
      </c>
      <c r="C30" s="121" t="s">
        <v>493</v>
      </c>
    </row>
    <row r="31" spans="1:3">
      <c r="A31" s="126"/>
      <c r="B31" s="120" t="s">
        <v>494</v>
      </c>
      <c r="C31" s="121" t="s">
        <v>495</v>
      </c>
    </row>
    <row r="32" spans="1:3">
      <c r="A32" s="126"/>
      <c r="B32" s="120" t="s">
        <v>496</v>
      </c>
      <c r="C32" s="121" t="s">
        <v>497</v>
      </c>
    </row>
    <row r="33" spans="1:3">
      <c r="A33" s="126"/>
      <c r="B33" s="120" t="s">
        <v>498</v>
      </c>
      <c r="C33" s="121" t="s">
        <v>499</v>
      </c>
    </row>
    <row r="34" spans="1:3">
      <c r="A34" s="126"/>
      <c r="B34" s="120" t="s">
        <v>500</v>
      </c>
      <c r="C34" s="121" t="s">
        <v>501</v>
      </c>
    </row>
    <row r="35" spans="1:3">
      <c r="A35" s="126"/>
      <c r="B35" s="120" t="s">
        <v>502</v>
      </c>
      <c r="C35" s="121" t="s">
        <v>503</v>
      </c>
    </row>
    <row r="36" spans="1:3">
      <c r="A36" s="126"/>
      <c r="B36" s="120" t="s">
        <v>504</v>
      </c>
      <c r="C36" s="121" t="s">
        <v>505</v>
      </c>
    </row>
    <row r="37" spans="1:3">
      <c r="A37" s="127"/>
      <c r="B37" s="120" t="s">
        <v>506</v>
      </c>
      <c r="C37" s="121" t="s">
        <v>507</v>
      </c>
    </row>
    <row r="38" spans="1:3">
      <c r="A38" s="128" t="s">
        <v>3</v>
      </c>
      <c r="B38" s="120" t="s">
        <v>508</v>
      </c>
      <c r="C38" s="121" t="s">
        <v>509</v>
      </c>
    </row>
    <row r="39" spans="1:3">
      <c r="A39" s="129"/>
      <c r="B39" s="120" t="s">
        <v>510</v>
      </c>
      <c r="C39" s="121" t="s">
        <v>511</v>
      </c>
    </row>
    <row r="40" spans="1:3">
      <c r="A40" s="129"/>
      <c r="B40" s="120" t="s">
        <v>512</v>
      </c>
      <c r="C40" s="121" t="s">
        <v>513</v>
      </c>
    </row>
    <row r="41" spans="1:3">
      <c r="A41" s="129"/>
      <c r="B41" s="120" t="s">
        <v>514</v>
      </c>
      <c r="C41" s="121" t="s">
        <v>446</v>
      </c>
    </row>
    <row r="42" spans="1:3">
      <c r="A42" s="129"/>
      <c r="B42" s="120" t="s">
        <v>515</v>
      </c>
      <c r="C42" s="121" t="s">
        <v>516</v>
      </c>
    </row>
    <row r="43" spans="1:3">
      <c r="A43" s="129"/>
      <c r="B43" s="120" t="s">
        <v>517</v>
      </c>
      <c r="C43" s="121" t="s">
        <v>518</v>
      </c>
    </row>
    <row r="44" spans="1:3">
      <c r="A44" s="129"/>
      <c r="B44" s="120" t="s">
        <v>519</v>
      </c>
      <c r="C44" s="121" t="s">
        <v>520</v>
      </c>
    </row>
    <row r="45" spans="1:3">
      <c r="A45" s="129"/>
      <c r="B45" s="120" t="s">
        <v>521</v>
      </c>
      <c r="C45" s="121" t="s">
        <v>522</v>
      </c>
    </row>
    <row r="46" spans="1:3">
      <c r="A46" s="129"/>
      <c r="B46" s="120" t="s">
        <v>523</v>
      </c>
      <c r="C46" s="121" t="s">
        <v>524</v>
      </c>
    </row>
    <row r="47" spans="1:3">
      <c r="A47" s="129"/>
      <c r="B47" s="120" t="s">
        <v>525</v>
      </c>
      <c r="C47" s="121" t="s">
        <v>526</v>
      </c>
    </row>
    <row r="48" spans="1:3">
      <c r="A48" s="129"/>
      <c r="B48" s="120" t="s">
        <v>527</v>
      </c>
      <c r="C48" s="121" t="s">
        <v>528</v>
      </c>
    </row>
    <row r="49" spans="1:3">
      <c r="A49" s="129"/>
      <c r="B49" s="120" t="s">
        <v>529</v>
      </c>
      <c r="C49" s="121" t="s">
        <v>530</v>
      </c>
    </row>
    <row r="50" spans="1:3">
      <c r="A50" s="130"/>
      <c r="B50" s="120" t="s">
        <v>531</v>
      </c>
      <c r="C50" s="121" t="s">
        <v>532</v>
      </c>
    </row>
    <row r="51" customFormat="1" spans="1:3">
      <c r="A51" s="119"/>
      <c r="B51" s="120" t="s">
        <v>533</v>
      </c>
      <c r="C51" s="121"/>
    </row>
    <row r="52" customFormat="1" spans="1:3">
      <c r="A52" s="119"/>
      <c r="B52" s="120" t="s">
        <v>533</v>
      </c>
      <c r="C52" s="121"/>
    </row>
    <row r="53" customFormat="1" spans="1:3">
      <c r="A53" s="119"/>
      <c r="B53" s="120" t="s">
        <v>533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534</v>
      </c>
      <c r="B1" s="108" t="s">
        <v>0</v>
      </c>
      <c r="C1" s="109" t="s">
        <v>535</v>
      </c>
      <c r="D1" s="110" t="s">
        <v>536</v>
      </c>
    </row>
    <row r="2" spans="1:5">
      <c r="A2" s="111">
        <v>1</v>
      </c>
      <c r="B2" s="112" t="s">
        <v>7</v>
      </c>
      <c r="C2" s="113">
        <v>20111216</v>
      </c>
      <c r="D2" s="106" t="s">
        <v>537</v>
      </c>
    </row>
    <row r="3" spans="1:5">
      <c r="A3" s="111">
        <v>2</v>
      </c>
      <c r="B3" s="112" t="s">
        <v>10</v>
      </c>
      <c r="C3" s="114">
        <v>20111227</v>
      </c>
      <c r="D3" s="106" t="s">
        <v>538</v>
      </c>
    </row>
    <row r="4" spans="1:5">
      <c r="A4" s="111">
        <v>3</v>
      </c>
      <c r="B4" s="112" t="s">
        <v>13</v>
      </c>
      <c r="C4" s="114">
        <v>20120518</v>
      </c>
      <c r="D4" s="106" t="s">
        <v>539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382</v>
      </c>
    </row>
    <row r="7" spans="1:5">
      <c r="A7" s="111">
        <v>6</v>
      </c>
      <c r="B7" s="112" t="s">
        <v>21</v>
      </c>
      <c r="C7" s="114">
        <v>20120809</v>
      </c>
      <c r="D7" s="106" t="s">
        <v>540</v>
      </c>
    </row>
    <row r="8" spans="1:5">
      <c r="A8" s="111">
        <v>7</v>
      </c>
      <c r="B8" s="112" t="s">
        <v>25</v>
      </c>
      <c r="C8" s="114">
        <v>20120227</v>
      </c>
      <c r="D8" s="106" t="s">
        <v>541</v>
      </c>
    </row>
    <row r="9" spans="1:5">
      <c r="A9" s="111">
        <v>8</v>
      </c>
      <c r="B9" s="112" t="s">
        <v>27</v>
      </c>
      <c r="C9" s="114">
        <v>20120127</v>
      </c>
      <c r="D9" s="106" t="s">
        <v>542</v>
      </c>
    </row>
    <row r="10" spans="1:5">
      <c r="A10" s="111">
        <v>9</v>
      </c>
      <c r="B10" s="112" t="s">
        <v>28</v>
      </c>
      <c r="C10" s="114">
        <v>20111202</v>
      </c>
      <c r="D10" s="106" t="s">
        <v>543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544</v>
      </c>
    </row>
    <row r="13" spans="1:5">
      <c r="A13" s="111">
        <v>12</v>
      </c>
      <c r="B13" s="112" t="s">
        <v>33</v>
      </c>
      <c r="C13" s="114">
        <v>20110908</v>
      </c>
      <c r="D13" s="106" t="s">
        <v>545</v>
      </c>
    </row>
    <row r="14" spans="1:5">
      <c r="A14" s="111">
        <v>13</v>
      </c>
      <c r="B14" s="112" t="s">
        <v>36</v>
      </c>
      <c r="C14" s="114">
        <v>20120228</v>
      </c>
      <c r="D14" s="106" t="s">
        <v>546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547</v>
      </c>
      <c r="E16" t="s">
        <v>548</v>
      </c>
    </row>
    <row r="17" spans="1:5">
      <c r="A17" s="111">
        <v>16</v>
      </c>
      <c r="B17" s="112" t="s">
        <v>43</v>
      </c>
      <c r="C17" s="114">
        <v>20120722</v>
      </c>
      <c r="D17" s="106" t="s">
        <v>549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548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550</v>
      </c>
    </row>
    <row r="21" spans="1:5">
      <c r="A21" s="111">
        <v>20</v>
      </c>
      <c r="B21" s="112" t="s">
        <v>53</v>
      </c>
      <c r="C21" s="114">
        <v>20120827</v>
      </c>
      <c r="D21" s="106" t="s">
        <v>551</v>
      </c>
      <c r="E21" t="s">
        <v>548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552</v>
      </c>
    </row>
    <row r="24" spans="1:5">
      <c r="A24" s="111">
        <v>23</v>
      </c>
      <c r="B24" s="112" t="s">
        <v>63</v>
      </c>
      <c r="C24" s="114">
        <v>20120413</v>
      </c>
      <c r="D24" s="106" t="s">
        <v>553</v>
      </c>
    </row>
    <row r="25" spans="1:5">
      <c r="A25" s="111">
        <v>24</v>
      </c>
      <c r="B25" s="112" t="s">
        <v>68</v>
      </c>
      <c r="C25" s="114">
        <v>20120629</v>
      </c>
      <c r="D25" s="106" t="s">
        <v>554</v>
      </c>
    </row>
    <row r="26" spans="1:5">
      <c r="A26" s="111">
        <v>25</v>
      </c>
      <c r="B26" s="112" t="s">
        <v>69</v>
      </c>
      <c r="C26" s="114">
        <v>20111105</v>
      </c>
      <c r="D26" s="106" t="s">
        <v>555</v>
      </c>
    </row>
    <row r="27" spans="1:5">
      <c r="A27" s="111">
        <v>26</v>
      </c>
      <c r="B27" s="112" t="s">
        <v>70</v>
      </c>
      <c r="C27" s="114">
        <v>20120112</v>
      </c>
      <c r="D27" s="106" t="s">
        <v>556</v>
      </c>
    </row>
    <row r="28" spans="1:5">
      <c r="A28" s="111">
        <v>27</v>
      </c>
      <c r="B28" s="112" t="s">
        <v>73</v>
      </c>
      <c r="C28" s="114">
        <v>20111119</v>
      </c>
      <c r="D28" s="106" t="s">
        <v>557</v>
      </c>
    </row>
    <row r="29" customFormat="1" spans="1:5">
      <c r="A29" s="111">
        <v>28</v>
      </c>
      <c r="B29" s="112" t="s">
        <v>78</v>
      </c>
      <c r="C29" s="114">
        <v>20120110</v>
      </c>
      <c r="D29" s="106" t="s">
        <v>558</v>
      </c>
    </row>
    <row r="30" spans="1:5">
      <c r="A30" s="111">
        <v>29</v>
      </c>
      <c r="B30" s="112" t="s">
        <v>81</v>
      </c>
      <c r="C30" s="114">
        <v>20120331</v>
      </c>
      <c r="D30" s="106" t="s">
        <v>559</v>
      </c>
    </row>
    <row r="31" spans="1:5">
      <c r="A31" s="111">
        <v>30</v>
      </c>
      <c r="B31" s="112" t="s">
        <v>84</v>
      </c>
      <c r="C31" s="114">
        <v>20111109</v>
      </c>
      <c r="D31" s="106" t="s">
        <v>560</v>
      </c>
    </row>
    <row r="32" spans="1:5">
      <c r="A32" s="111">
        <v>31</v>
      </c>
      <c r="B32" s="112" t="s">
        <v>85</v>
      </c>
      <c r="C32" s="114">
        <v>20120824</v>
      </c>
      <c r="D32" s="106" t="s">
        <v>561</v>
      </c>
    </row>
    <row r="33" customFormat="1" spans="1:5">
      <c r="A33" s="111">
        <v>32</v>
      </c>
      <c r="B33" s="112" t="s">
        <v>86</v>
      </c>
      <c r="C33" s="114">
        <v>20120425</v>
      </c>
      <c r="D33" s="106"/>
    </row>
    <row r="34" spans="1:5">
      <c r="A34" s="111">
        <v>33</v>
      </c>
      <c r="B34" s="112" t="s">
        <v>87</v>
      </c>
      <c r="C34" s="114">
        <v>20120624</v>
      </c>
      <c r="D34" s="106" t="s">
        <v>562</v>
      </c>
    </row>
    <row r="35" customFormat="1" spans="1:5">
      <c r="A35" s="111">
        <v>34</v>
      </c>
      <c r="B35" s="112" t="s">
        <v>88</v>
      </c>
      <c r="C35" s="114">
        <v>20120507</v>
      </c>
      <c r="D35" s="106"/>
    </row>
    <row r="36" spans="1:5">
      <c r="A36" s="111">
        <v>35</v>
      </c>
      <c r="B36" s="112" t="s">
        <v>89</v>
      </c>
      <c r="C36" s="114">
        <v>20120603</v>
      </c>
      <c r="D36" s="106" t="s">
        <v>563</v>
      </c>
    </row>
    <row r="37" spans="1:5">
      <c r="A37" s="111">
        <v>36</v>
      </c>
      <c r="B37" s="112" t="s">
        <v>91</v>
      </c>
      <c r="C37" s="113">
        <v>20120326</v>
      </c>
      <c r="D37" s="106" t="s">
        <v>564</v>
      </c>
    </row>
    <row r="38" spans="1:5">
      <c r="A38" s="115">
        <v>37</v>
      </c>
      <c r="B38" s="115" t="s">
        <v>94</v>
      </c>
      <c r="C38" s="116">
        <v>20111106</v>
      </c>
      <c r="D38" s="117" t="s">
        <v>565</v>
      </c>
      <c r="E38" t="s">
        <v>548</v>
      </c>
    </row>
    <row r="39" spans="1:5">
      <c r="A39" s="111">
        <v>38</v>
      </c>
      <c r="B39" s="112" t="s">
        <v>96</v>
      </c>
      <c r="C39" s="114">
        <v>20120811</v>
      </c>
      <c r="D39" s="118" t="s">
        <v>566</v>
      </c>
    </row>
    <row r="40" spans="1:5">
      <c r="A40" s="111">
        <v>39</v>
      </c>
      <c r="B40" s="112" t="s">
        <v>100</v>
      </c>
      <c r="C40" s="114">
        <v>20111217</v>
      </c>
      <c r="D40" s="118" t="s">
        <v>567</v>
      </c>
    </row>
    <row r="41" spans="1:5">
      <c r="A41" s="111">
        <v>40</v>
      </c>
      <c r="B41" s="112" t="s">
        <v>106</v>
      </c>
      <c r="C41" s="114">
        <v>20111013</v>
      </c>
      <c r="D41" s="106" t="s">
        <v>568</v>
      </c>
      <c r="E41" t="s">
        <v>548</v>
      </c>
    </row>
    <row r="42" customFormat="1" spans="1:5">
      <c r="A42" s="111">
        <v>41</v>
      </c>
      <c r="B42" s="112" t="s">
        <v>113</v>
      </c>
      <c r="C42" s="114">
        <v>20111027</v>
      </c>
      <c r="D42" s="106"/>
    </row>
    <row r="43" spans="1:5">
      <c r="A43" s="111">
        <v>42</v>
      </c>
      <c r="B43" s="112" t="s">
        <v>114</v>
      </c>
      <c r="C43" s="114">
        <v>20120207</v>
      </c>
      <c r="D43" s="106" t="s">
        <v>569</v>
      </c>
      <c r="E43" t="s">
        <v>548</v>
      </c>
    </row>
    <row r="44" customFormat="1" spans="1:5">
      <c r="A44" s="111">
        <v>43</v>
      </c>
      <c r="B44" s="112" t="s">
        <v>118</v>
      </c>
      <c r="C44" s="113">
        <v>20120508</v>
      </c>
      <c r="D44" s="106"/>
    </row>
    <row r="45" spans="1:5">
      <c r="A45" s="111">
        <v>44</v>
      </c>
      <c r="B45" s="112" t="s">
        <v>120</v>
      </c>
      <c r="C45" s="114">
        <v>20110929</v>
      </c>
      <c r="D45" s="106" t="s">
        <v>570</v>
      </c>
    </row>
    <row r="46" customFormat="1" spans="1:5">
      <c r="A46" s="111">
        <v>45</v>
      </c>
      <c r="B46" s="112" t="s">
        <v>124</v>
      </c>
      <c r="C46" s="114">
        <v>20111205</v>
      </c>
      <c r="D46" s="106"/>
    </row>
    <row r="47" spans="1:5">
      <c r="A47" s="111">
        <v>46</v>
      </c>
      <c r="B47" s="112" t="s">
        <v>125</v>
      </c>
      <c r="C47" s="114">
        <v>20120108</v>
      </c>
      <c r="D47" s="106" t="s">
        <v>571</v>
      </c>
      <c r="E47" t="s">
        <v>548</v>
      </c>
    </row>
    <row r="48" spans="1:5">
      <c r="A48" s="111">
        <v>47</v>
      </c>
      <c r="B48" s="112" t="s">
        <v>127</v>
      </c>
      <c r="C48" s="114">
        <v>20120311</v>
      </c>
      <c r="D48" s="106" t="s">
        <v>572</v>
      </c>
    </row>
    <row r="49" customFormat="1" spans="1:4">
      <c r="A49" s="111">
        <v>48</v>
      </c>
      <c r="B49" s="112" t="s">
        <v>131</v>
      </c>
      <c r="C49" s="114">
        <v>20110902</v>
      </c>
      <c r="D49" s="106"/>
    </row>
    <row r="50" spans="1:4">
      <c r="A50" s="111">
        <v>49</v>
      </c>
      <c r="B50" s="112" t="s">
        <v>133</v>
      </c>
      <c r="C50" s="114">
        <v>20120723</v>
      </c>
      <c r="D50" s="106" t="s">
        <v>573</v>
      </c>
    </row>
    <row r="51" customFormat="1" spans="1:4">
      <c r="A51" s="111">
        <v>50</v>
      </c>
      <c r="B51" s="112" t="s">
        <v>135</v>
      </c>
      <c r="C51" s="114">
        <v>20120101</v>
      </c>
      <c r="D51" s="106"/>
    </row>
    <row r="52" spans="1:4">
      <c r="A52" s="111">
        <v>51</v>
      </c>
      <c r="B52" s="112" t="s">
        <v>136</v>
      </c>
      <c r="C52" s="114">
        <v>20111220</v>
      </c>
      <c r="D52" s="106" t="s">
        <v>574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575</v>
      </c>
      <c r="B1" s="75" t="s">
        <v>576</v>
      </c>
      <c r="C1" s="76" t="s">
        <v>577</v>
      </c>
      <c r="D1" s="77"/>
      <c r="E1" s="78" t="s">
        <v>578</v>
      </c>
    </row>
    <row r="2" s="68" customFormat="1" ht="409" customHeight="1" spans="1:5">
      <c r="A2" s="79" t="s">
        <v>387</v>
      </c>
      <c r="B2" s="80" t="s">
        <v>292</v>
      </c>
      <c r="C2" s="81" t="s">
        <v>579</v>
      </c>
      <c r="D2" s="72" t="s">
        <v>580</v>
      </c>
      <c r="E2" s="73" t="s">
        <v>581</v>
      </c>
    </row>
    <row r="3" s="68" customFormat="1" ht="56" spans="1:5">
      <c r="A3" s="82"/>
      <c r="B3" s="83"/>
      <c r="C3" s="84"/>
      <c r="D3" s="72" t="s">
        <v>582</v>
      </c>
      <c r="E3" s="73" t="s">
        <v>583</v>
      </c>
    </row>
    <row r="4" s="68" customFormat="1" spans="1:5">
      <c r="A4" s="82"/>
      <c r="B4" s="83"/>
      <c r="C4" s="84"/>
      <c r="D4" s="72" t="s">
        <v>584</v>
      </c>
      <c r="E4" s="73" t="s">
        <v>585</v>
      </c>
    </row>
    <row r="5" s="68" customFormat="1" ht="56" spans="1:5">
      <c r="A5" s="82"/>
      <c r="B5" s="83"/>
      <c r="C5" s="84"/>
      <c r="D5" s="72" t="s">
        <v>586</v>
      </c>
      <c r="E5" s="73" t="s">
        <v>587</v>
      </c>
    </row>
    <row r="6" s="68" customFormat="1" ht="238" spans="1:5">
      <c r="A6" s="82"/>
      <c r="B6" s="83"/>
      <c r="C6" s="84"/>
      <c r="D6" s="72" t="s">
        <v>588</v>
      </c>
      <c r="E6" s="73" t="s">
        <v>589</v>
      </c>
    </row>
    <row r="7" s="68" customFormat="1" ht="238" spans="1:5">
      <c r="A7" s="82"/>
      <c r="B7" s="83"/>
      <c r="C7" s="81" t="s">
        <v>590</v>
      </c>
      <c r="D7" s="72" t="s">
        <v>591</v>
      </c>
      <c r="E7" s="73" t="s">
        <v>592</v>
      </c>
    </row>
    <row r="8" s="68" customFormat="1" ht="56" spans="1:5">
      <c r="A8" s="82"/>
      <c r="B8" s="83"/>
      <c r="C8" s="84"/>
      <c r="D8" s="72" t="s">
        <v>593</v>
      </c>
      <c r="E8" s="73" t="s">
        <v>594</v>
      </c>
    </row>
    <row r="9" s="68" customFormat="1" ht="84" spans="1:5">
      <c r="A9" s="82"/>
      <c r="B9" s="83"/>
      <c r="C9" s="84"/>
      <c r="D9" s="72" t="s">
        <v>595</v>
      </c>
      <c r="E9" s="73" t="s">
        <v>596</v>
      </c>
    </row>
    <row r="10" s="68" customFormat="1" ht="28" spans="1:5">
      <c r="A10" s="82"/>
      <c r="B10" s="83"/>
      <c r="C10" s="84"/>
      <c r="D10" s="72" t="s">
        <v>597</v>
      </c>
      <c r="E10" s="73" t="s">
        <v>598</v>
      </c>
    </row>
    <row r="11" s="68" customFormat="1" spans="1:5">
      <c r="A11" s="82"/>
      <c r="B11" s="83"/>
      <c r="C11" s="85"/>
      <c r="D11" s="72" t="s">
        <v>599</v>
      </c>
      <c r="E11" s="73" t="s">
        <v>600</v>
      </c>
    </row>
    <row r="12" s="68" customFormat="1" ht="154" spans="1:5">
      <c r="A12" s="82"/>
      <c r="B12" s="83"/>
      <c r="C12" s="71"/>
      <c r="D12" s="72" t="s">
        <v>601</v>
      </c>
      <c r="E12" s="73" t="s">
        <v>602</v>
      </c>
    </row>
    <row r="13" s="68" customFormat="1" ht="56" spans="1:5">
      <c r="A13" s="82"/>
      <c r="B13" s="83"/>
      <c r="C13" s="86" t="s">
        <v>603</v>
      </c>
      <c r="D13" s="77"/>
      <c r="E13" s="73" t="s">
        <v>604</v>
      </c>
    </row>
    <row r="14" s="68" customFormat="1" ht="84" spans="1:5">
      <c r="A14" s="82"/>
      <c r="B14" s="83"/>
      <c r="C14" s="86" t="s">
        <v>605</v>
      </c>
      <c r="D14" s="77"/>
      <c r="E14" s="73" t="s">
        <v>606</v>
      </c>
    </row>
    <row r="15" s="68" customFormat="1" ht="28" spans="1:5">
      <c r="A15" s="82"/>
      <c r="B15" s="83"/>
      <c r="C15" s="86" t="s">
        <v>607</v>
      </c>
      <c r="D15" s="77"/>
      <c r="E15" s="73" t="s">
        <v>608</v>
      </c>
    </row>
    <row r="16" s="68" customFormat="1" spans="1:5">
      <c r="A16" s="82"/>
      <c r="B16" s="83"/>
      <c r="C16" s="86" t="s">
        <v>609</v>
      </c>
      <c r="D16" s="77"/>
      <c r="E16" s="73"/>
    </row>
    <row r="17" s="68" customFormat="1" spans="1:5">
      <c r="A17" s="82"/>
      <c r="B17" s="83"/>
      <c r="C17" s="86" t="s">
        <v>610</v>
      </c>
      <c r="D17" s="77"/>
      <c r="E17" s="73" t="s">
        <v>611</v>
      </c>
    </row>
    <row r="18" s="68" customFormat="1" spans="1:5">
      <c r="A18" s="82"/>
      <c r="B18" s="83"/>
      <c r="C18" s="81" t="s">
        <v>612</v>
      </c>
      <c r="D18" s="72" t="s">
        <v>613</v>
      </c>
      <c r="E18" s="73" t="s">
        <v>614</v>
      </c>
    </row>
    <row r="19" s="68" customFormat="1" spans="1:5">
      <c r="A19" s="82"/>
      <c r="B19" s="83"/>
      <c r="C19" s="85"/>
      <c r="D19" s="72" t="s">
        <v>615</v>
      </c>
      <c r="E19" s="73" t="s">
        <v>616</v>
      </c>
    </row>
    <row r="20" s="68" customFormat="1" spans="1:5">
      <c r="A20" s="82"/>
      <c r="B20" s="83"/>
      <c r="C20" s="86" t="s">
        <v>617</v>
      </c>
      <c r="D20" s="77"/>
      <c r="E20" s="73"/>
    </row>
    <row r="21" s="68" customFormat="1" spans="1:5">
      <c r="A21" s="82"/>
      <c r="B21" s="83"/>
      <c r="C21" s="86" t="s">
        <v>618</v>
      </c>
      <c r="D21" s="77"/>
      <c r="E21" s="73" t="s">
        <v>619</v>
      </c>
    </row>
    <row r="22" s="68" customFormat="1" ht="28" spans="1:5">
      <c r="A22" s="82"/>
      <c r="B22" s="83"/>
      <c r="C22" s="86" t="s">
        <v>620</v>
      </c>
      <c r="D22" s="87"/>
      <c r="E22" s="73" t="s">
        <v>621</v>
      </c>
    </row>
    <row r="23" s="68" customFormat="1" spans="1:5">
      <c r="A23" s="82"/>
      <c r="B23" s="83"/>
      <c r="C23" s="71" t="s">
        <v>622</v>
      </c>
      <c r="D23" s="71"/>
      <c r="E23" s="73" t="s">
        <v>623</v>
      </c>
    </row>
    <row r="24" s="68" customFormat="1" spans="1:5">
      <c r="A24" s="82"/>
      <c r="B24" s="83"/>
      <c r="C24" s="71" t="s">
        <v>624</v>
      </c>
      <c r="D24" s="71"/>
      <c r="E24" s="73" t="s">
        <v>625</v>
      </c>
    </row>
    <row r="25" s="68" customFormat="1" ht="28" spans="1:5">
      <c r="A25" s="79" t="s">
        <v>385</v>
      </c>
      <c r="B25" s="80" t="s">
        <v>386</v>
      </c>
      <c r="C25" s="84" t="s">
        <v>579</v>
      </c>
      <c r="D25" s="88" t="s">
        <v>626</v>
      </c>
      <c r="E25" s="73" t="s">
        <v>627</v>
      </c>
    </row>
    <row r="26" s="68" customFormat="1" spans="1:5">
      <c r="A26" s="82"/>
      <c r="B26" s="83"/>
      <c r="C26" s="84"/>
      <c r="D26" s="72" t="s">
        <v>628</v>
      </c>
      <c r="E26" s="73" t="s">
        <v>629</v>
      </c>
    </row>
    <row r="27" s="68" customFormat="1" ht="28" spans="1:5">
      <c r="A27" s="82"/>
      <c r="B27" s="83"/>
      <c r="C27" s="84"/>
      <c r="D27" s="72" t="s">
        <v>630</v>
      </c>
      <c r="E27" s="73" t="s">
        <v>631</v>
      </c>
    </row>
    <row r="28" s="68" customFormat="1" ht="42" spans="1:5">
      <c r="A28" s="82"/>
      <c r="B28" s="83"/>
      <c r="C28" s="84"/>
      <c r="D28" s="72" t="s">
        <v>632</v>
      </c>
      <c r="E28" s="73" t="s">
        <v>633</v>
      </c>
    </row>
    <row r="29" s="68" customFormat="1" ht="42" spans="1:5">
      <c r="A29" s="79" t="s">
        <v>381</v>
      </c>
      <c r="B29" s="80" t="s">
        <v>382</v>
      </c>
      <c r="C29" s="81" t="s">
        <v>579</v>
      </c>
      <c r="D29" s="72" t="s">
        <v>580</v>
      </c>
      <c r="E29" s="73" t="s">
        <v>634</v>
      </c>
    </row>
    <row r="30" s="68" customFormat="1" ht="70" spans="1:5">
      <c r="A30" s="82"/>
      <c r="B30" s="83"/>
      <c r="C30" s="84"/>
      <c r="D30" s="72" t="s">
        <v>635</v>
      </c>
      <c r="E30" s="73" t="s">
        <v>636</v>
      </c>
    </row>
    <row r="31" s="68" customFormat="1" spans="1:5">
      <c r="A31" s="82"/>
      <c r="B31" s="83"/>
      <c r="C31" s="84"/>
      <c r="D31" s="72" t="s">
        <v>626</v>
      </c>
      <c r="E31" s="73" t="s">
        <v>637</v>
      </c>
    </row>
    <row r="32" s="68" customFormat="1" ht="28" spans="1:5">
      <c r="A32" s="82"/>
      <c r="B32" s="83"/>
      <c r="C32" s="85"/>
      <c r="D32" s="72" t="s">
        <v>638</v>
      </c>
      <c r="E32" s="73" t="s">
        <v>639</v>
      </c>
    </row>
    <row r="33" s="68" customFormat="1" ht="42" spans="1:5">
      <c r="A33" s="82"/>
      <c r="B33" s="89"/>
      <c r="C33" s="86" t="s">
        <v>590</v>
      </c>
      <c r="D33" s="87"/>
      <c r="E33" s="73" t="s">
        <v>640</v>
      </c>
    </row>
    <row r="34" s="68" customFormat="1" ht="42" spans="1:5">
      <c r="A34" s="82"/>
      <c r="B34" s="90" t="s">
        <v>641</v>
      </c>
      <c r="C34" s="76" t="s">
        <v>590</v>
      </c>
      <c r="D34" s="91"/>
      <c r="E34" s="92" t="s">
        <v>642</v>
      </c>
    </row>
    <row r="35" s="68" customFormat="1" ht="42" spans="1:5">
      <c r="A35" s="93"/>
      <c r="B35" s="94"/>
      <c r="C35" s="76" t="s">
        <v>579</v>
      </c>
      <c r="D35" s="91"/>
      <c r="E35" s="92" t="s">
        <v>643</v>
      </c>
    </row>
    <row r="36" s="68" customFormat="1" spans="1:5">
      <c r="A36" s="79" t="s">
        <v>388</v>
      </c>
      <c r="B36" s="95" t="s">
        <v>644</v>
      </c>
      <c r="C36" s="96"/>
      <c r="D36" s="97"/>
      <c r="E36" s="92" t="s">
        <v>157</v>
      </c>
    </row>
    <row r="37" s="68" customFormat="1" spans="1:5">
      <c r="A37" s="93"/>
      <c r="B37" s="98" t="s">
        <v>645</v>
      </c>
      <c r="C37" s="99"/>
      <c r="D37" s="100"/>
      <c r="E37" s="73" t="s">
        <v>646</v>
      </c>
    </row>
    <row r="38" s="68" customFormat="1" spans="1:5">
      <c r="A38" s="69" t="s">
        <v>390</v>
      </c>
      <c r="B38" s="98" t="s">
        <v>647</v>
      </c>
      <c r="C38" s="99"/>
      <c r="D38" s="100"/>
      <c r="E38" s="73" t="s">
        <v>648</v>
      </c>
    </row>
    <row r="39" s="68" customFormat="1" spans="1:5">
      <c r="A39" s="79" t="s">
        <v>392</v>
      </c>
      <c r="B39" s="80" t="s">
        <v>649</v>
      </c>
      <c r="C39" s="81" t="s">
        <v>579</v>
      </c>
      <c r="D39" s="72" t="s">
        <v>650</v>
      </c>
      <c r="E39" s="73" t="s">
        <v>651</v>
      </c>
    </row>
    <row r="40" s="68" customFormat="1" spans="1:5">
      <c r="A40" s="82"/>
      <c r="B40" s="83"/>
      <c r="C40" s="85"/>
      <c r="D40" s="72" t="s">
        <v>652</v>
      </c>
      <c r="E40" s="73" t="s">
        <v>653</v>
      </c>
    </row>
    <row r="41" s="68" customFormat="1" spans="1:5">
      <c r="A41" s="82"/>
      <c r="B41" s="83"/>
      <c r="C41" s="86" t="s">
        <v>654</v>
      </c>
      <c r="D41" s="87"/>
      <c r="E41" s="73" t="s">
        <v>655</v>
      </c>
    </row>
    <row r="42" s="68" customFormat="1" spans="1:5">
      <c r="A42" s="93"/>
      <c r="B42" s="89"/>
      <c r="C42" s="86" t="s">
        <v>590</v>
      </c>
      <c r="D42" s="87"/>
      <c r="E42" s="73" t="s">
        <v>656</v>
      </c>
    </row>
    <row r="43" s="68" customFormat="1" spans="1:5">
      <c r="A43" s="79" t="s">
        <v>395</v>
      </c>
      <c r="B43" s="90" t="s">
        <v>647</v>
      </c>
      <c r="C43" s="101" t="s">
        <v>657</v>
      </c>
      <c r="D43" s="102"/>
      <c r="E43" s="92" t="s">
        <v>658</v>
      </c>
    </row>
    <row r="44" s="68" customFormat="1" ht="28" spans="1:5">
      <c r="A44" s="82"/>
      <c r="B44" s="94"/>
      <c r="C44" s="101" t="s">
        <v>632</v>
      </c>
      <c r="D44" s="102"/>
      <c r="E44" s="92" t="s">
        <v>659</v>
      </c>
    </row>
    <row r="45" s="68" customFormat="1" spans="1:5">
      <c r="A45" s="93"/>
      <c r="B45" s="98" t="s">
        <v>660</v>
      </c>
      <c r="C45" s="99"/>
      <c r="D45" s="100"/>
      <c r="E45" s="73" t="s">
        <v>177</v>
      </c>
    </row>
    <row r="46" s="68" customFormat="1" spans="1:5">
      <c r="A46" s="79" t="s">
        <v>407</v>
      </c>
      <c r="B46" s="80" t="s">
        <v>661</v>
      </c>
      <c r="C46" s="81" t="s">
        <v>579</v>
      </c>
      <c r="D46" s="72" t="s">
        <v>662</v>
      </c>
      <c r="E46" s="73"/>
    </row>
    <row r="47" s="68" customFormat="1" spans="1:5">
      <c r="A47" s="82"/>
      <c r="B47" s="83"/>
      <c r="C47" s="84"/>
      <c r="D47" s="72" t="s">
        <v>663</v>
      </c>
      <c r="E47" s="73"/>
    </row>
    <row r="48" s="68" customFormat="1" spans="1:5">
      <c r="A48" s="93"/>
      <c r="B48" s="89"/>
      <c r="C48" s="85"/>
      <c r="D48" s="72" t="s">
        <v>632</v>
      </c>
      <c r="E48" s="73" t="s">
        <v>664</v>
      </c>
    </row>
    <row r="49" s="68" customFormat="1" spans="1:5">
      <c r="A49" s="69" t="s">
        <v>402</v>
      </c>
      <c r="B49" s="98" t="s">
        <v>403</v>
      </c>
      <c r="C49" s="99"/>
      <c r="D49" s="100"/>
      <c r="E49" s="73" t="s">
        <v>665</v>
      </c>
    </row>
    <row r="50" s="68" customFormat="1" spans="1:5">
      <c r="A50" s="79" t="s">
        <v>404</v>
      </c>
      <c r="B50" s="98" t="s">
        <v>647</v>
      </c>
      <c r="C50" s="99"/>
      <c r="D50" s="100"/>
      <c r="E50" s="73" t="s">
        <v>666</v>
      </c>
    </row>
    <row r="51" s="68" customFormat="1" spans="1:5">
      <c r="A51" s="93"/>
      <c r="B51" s="98" t="s">
        <v>647</v>
      </c>
      <c r="C51" s="99"/>
      <c r="D51" s="100"/>
      <c r="E51" s="73" t="s">
        <v>190</v>
      </c>
    </row>
    <row r="52" s="68" customFormat="1" spans="1:5">
      <c r="A52" s="69" t="s">
        <v>406</v>
      </c>
      <c r="B52" s="98" t="s">
        <v>647</v>
      </c>
      <c r="C52" s="99"/>
      <c r="D52" s="100"/>
      <c r="E52" s="73"/>
    </row>
    <row r="53" s="68" customFormat="1" spans="1:5">
      <c r="A53" s="79" t="s">
        <v>667</v>
      </c>
      <c r="B53" s="98" t="s">
        <v>647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668</v>
      </c>
    </row>
    <row r="55" s="68" customFormat="1" spans="1:5">
      <c r="A55" s="69" t="s">
        <v>398</v>
      </c>
      <c r="B55" s="70"/>
      <c r="C55" s="71"/>
      <c r="D55" s="72"/>
      <c r="E55" s="73" t="s">
        <v>669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674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675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676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677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678</v>
      </c>
      <c r="C20" s="50" t="s">
        <v>679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680</v>
      </c>
      <c r="C21" s="50" t="s">
        <v>681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683</v>
      </c>
      <c r="C24" s="62" t="s">
        <v>684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685</v>
      </c>
      <c r="C27" s="62" t="s">
        <v>686</v>
      </c>
      <c r="D27" s="51"/>
      <c r="E27" s="52"/>
      <c r="F27" s="53"/>
      <c r="G27" s="54"/>
    </row>
    <row r="28" s="47" customFormat="1" ht="409" customHeight="1" spans="1:7">
      <c r="A28" s="55" t="s">
        <v>73</v>
      </c>
      <c r="B28" s="49" t="s">
        <v>687</v>
      </c>
      <c r="C28" s="62" t="s">
        <v>688</v>
      </c>
      <c r="D28" s="51"/>
      <c r="E28" s="52"/>
      <c r="F28" s="53"/>
      <c r="G28" s="54"/>
    </row>
    <row r="29" s="47" customFormat="1" spans="1:7">
      <c r="A29" s="55" t="s">
        <v>78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81</v>
      </c>
      <c r="B30" s="49"/>
      <c r="C30" s="62" t="s">
        <v>689</v>
      </c>
      <c r="D30" s="51"/>
      <c r="E30" s="52"/>
      <c r="F30" s="53"/>
      <c r="G30" s="54"/>
    </row>
    <row r="31" s="47" customFormat="1" spans="1:7">
      <c r="A31" s="55" t="s">
        <v>84</v>
      </c>
      <c r="B31" s="49"/>
      <c r="C31" s="50"/>
      <c r="D31" s="51"/>
      <c r="E31" s="52"/>
      <c r="F31" s="53"/>
      <c r="G31" s="54"/>
    </row>
    <row r="32" s="47" customFormat="1" spans="1:7">
      <c r="A32" s="55" t="s">
        <v>85</v>
      </c>
      <c r="B32" s="49"/>
      <c r="C32" s="50"/>
      <c r="D32" s="51"/>
      <c r="E32" s="52"/>
      <c r="F32" s="53"/>
      <c r="G32" s="54"/>
    </row>
    <row r="33" s="47" customFormat="1" spans="1:7">
      <c r="A33" s="55" t="s">
        <v>86</v>
      </c>
      <c r="B33" s="49"/>
      <c r="C33" s="50"/>
      <c r="D33" s="51"/>
      <c r="E33" s="52"/>
      <c r="F33" s="53"/>
      <c r="G33" s="54"/>
    </row>
    <row r="34" s="47" customFormat="1" spans="1:7">
      <c r="A34" s="55" t="s">
        <v>87</v>
      </c>
      <c r="B34" s="49"/>
      <c r="C34" s="50"/>
      <c r="D34" s="51"/>
      <c r="E34" s="52"/>
      <c r="F34" s="53"/>
      <c r="G34" s="54"/>
    </row>
    <row r="35" s="47" customFormat="1" spans="1:7">
      <c r="A35" s="55" t="s">
        <v>88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89</v>
      </c>
      <c r="B36" s="63" t="s">
        <v>690</v>
      </c>
      <c r="C36" s="50"/>
      <c r="D36" s="51"/>
      <c r="E36" s="52"/>
      <c r="F36" s="53"/>
      <c r="G36" s="54"/>
    </row>
    <row r="37" s="47" customFormat="1" ht="126" spans="1:7">
      <c r="A37" s="55" t="s">
        <v>91</v>
      </c>
      <c r="B37" s="49"/>
      <c r="C37" s="62" t="s">
        <v>691</v>
      </c>
      <c r="D37" s="51"/>
      <c r="E37" s="52"/>
      <c r="F37" s="53"/>
      <c r="G37" s="54"/>
    </row>
    <row r="38" s="47" customFormat="1" ht="28" spans="1:7">
      <c r="A38" s="55" t="s">
        <v>94</v>
      </c>
      <c r="B38" s="64" t="s">
        <v>692</v>
      </c>
      <c r="C38" s="65"/>
      <c r="D38" s="66"/>
      <c r="E38" s="66"/>
      <c r="F38" s="66"/>
      <c r="G38" s="66"/>
    </row>
    <row r="39" s="47" customFormat="1" ht="42" spans="1:7">
      <c r="A39" s="55" t="s">
        <v>96</v>
      </c>
      <c r="B39" s="49"/>
      <c r="C39" s="62" t="s">
        <v>693</v>
      </c>
      <c r="D39" s="51"/>
      <c r="E39" s="52"/>
      <c r="F39" s="53"/>
      <c r="G39" s="54"/>
    </row>
    <row r="40" s="47" customFormat="1" spans="1:7">
      <c r="A40" s="55" t="s">
        <v>100</v>
      </c>
      <c r="B40" s="63" t="s">
        <v>694</v>
      </c>
      <c r="C40" s="62" t="s">
        <v>695</v>
      </c>
      <c r="D40" s="51"/>
      <c r="E40" s="52"/>
      <c r="F40" s="53"/>
      <c r="G40" s="54"/>
    </row>
    <row r="41" s="47" customFormat="1" ht="126" spans="1:7">
      <c r="A41" s="55" t="s">
        <v>106</v>
      </c>
      <c r="B41" s="49"/>
      <c r="C41" s="62" t="s">
        <v>696</v>
      </c>
      <c r="D41" s="51"/>
      <c r="E41" s="52"/>
      <c r="F41" s="53"/>
      <c r="G41" s="54"/>
    </row>
    <row r="42" s="47" customFormat="1" spans="1:7">
      <c r="A42" s="55" t="s">
        <v>113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114</v>
      </c>
      <c r="B43" s="63" t="s">
        <v>697</v>
      </c>
      <c r="C43" s="50"/>
      <c r="D43" s="51"/>
      <c r="E43" s="52"/>
      <c r="F43" s="53"/>
      <c r="G43" s="54"/>
    </row>
    <row r="44" s="47" customFormat="1" spans="1:7">
      <c r="A44" s="55" t="s">
        <v>118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120</v>
      </c>
      <c r="B45" s="49" t="s">
        <v>698</v>
      </c>
      <c r="C45" s="50"/>
      <c r="D45" s="51"/>
      <c r="E45" s="52"/>
      <c r="F45" s="53"/>
      <c r="G45" s="54"/>
    </row>
    <row r="46" s="47" customFormat="1" spans="1:7">
      <c r="A46" s="55" t="s">
        <v>124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125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127</v>
      </c>
      <c r="B48" s="49"/>
      <c r="C48" s="62" t="s">
        <v>699</v>
      </c>
      <c r="D48" s="51"/>
      <c r="E48" s="52"/>
      <c r="F48" s="53"/>
      <c r="G48" s="54"/>
    </row>
    <row r="49" s="47" customFormat="1" spans="1:7">
      <c r="A49" s="55" t="s">
        <v>131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133</v>
      </c>
      <c r="B50" s="49"/>
      <c r="C50" s="62" t="s">
        <v>700</v>
      </c>
      <c r="D50" s="51"/>
      <c r="E50" s="52"/>
      <c r="F50" s="53"/>
      <c r="G50" s="54"/>
    </row>
    <row r="51" s="47" customFormat="1" spans="1:7">
      <c r="A51" s="55" t="s">
        <v>135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136</v>
      </c>
      <c r="B52" s="49" t="s">
        <v>701</v>
      </c>
      <c r="C52" s="62" t="s">
        <v>702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703</v>
      </c>
      <c r="C1" s="45" t="s">
        <v>704</v>
      </c>
      <c r="E1" s="45" t="s">
        <v>519</v>
      </c>
      <c r="F1" s="45" t="s">
        <v>705</v>
      </c>
    </row>
    <row r="2" spans="2:6">
      <c r="B2" s="21" t="s">
        <v>706</v>
      </c>
      <c r="C2" s="21">
        <v>13</v>
      </c>
      <c r="E2" s="21" t="s">
        <v>707</v>
      </c>
      <c r="F2" s="21">
        <v>6</v>
      </c>
    </row>
    <row r="3" spans="2:6">
      <c r="B3" s="21" t="s">
        <v>708</v>
      </c>
      <c r="C3" s="21">
        <v>13</v>
      </c>
      <c r="E3" s="21" t="s">
        <v>709</v>
      </c>
      <c r="F3" s="21">
        <v>13</v>
      </c>
    </row>
    <row r="4" spans="2:6">
      <c r="B4" s="21" t="s">
        <v>710</v>
      </c>
      <c r="C4" s="21">
        <v>12</v>
      </c>
      <c r="E4" s="21" t="s">
        <v>576</v>
      </c>
      <c r="F4" s="21">
        <v>4</v>
      </c>
    </row>
    <row r="5" spans="2:6">
      <c r="B5" s="21" t="s">
        <v>711</v>
      </c>
      <c r="C5" s="21">
        <v>2</v>
      </c>
      <c r="E5" s="21" t="s">
        <v>712</v>
      </c>
      <c r="F5" s="21">
        <v>6</v>
      </c>
    </row>
    <row r="6" spans="2:6">
      <c r="B6" s="21" t="s">
        <v>713</v>
      </c>
      <c r="C6" s="21">
        <v>2</v>
      </c>
      <c r="E6" s="21" t="s">
        <v>714</v>
      </c>
      <c r="F6" s="21">
        <v>4</v>
      </c>
    </row>
    <row r="7" spans="2:6">
      <c r="B7" s="21" t="s">
        <v>715</v>
      </c>
      <c r="C7" s="21">
        <v>1</v>
      </c>
      <c r="E7" s="21" t="s">
        <v>716</v>
      </c>
      <c r="F7" s="21">
        <v>1</v>
      </c>
    </row>
    <row r="8" spans="2:6">
      <c r="B8" s="21" t="s">
        <v>717</v>
      </c>
      <c r="C8" s="21">
        <v>4</v>
      </c>
      <c r="E8" s="21" t="s">
        <v>718</v>
      </c>
      <c r="F8" s="21">
        <v>3</v>
      </c>
    </row>
    <row r="9" spans="2:6">
      <c r="E9" s="21" t="s">
        <v>719</v>
      </c>
      <c r="F9" s="21">
        <v>1</v>
      </c>
    </row>
    <row r="10" spans="2:6">
      <c r="E10" s="21" t="s">
        <v>720</v>
      </c>
      <c r="F10" s="21">
        <v>5</v>
      </c>
    </row>
    <row r="11" spans="2:6">
      <c r="E11" s="21" t="s">
        <v>721</v>
      </c>
      <c r="F11" s="21">
        <v>1</v>
      </c>
    </row>
    <row r="12" spans="2:6">
      <c r="E12" s="21" t="s">
        <v>717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8"/>
  <sheetViews>
    <sheetView tabSelected="1" workbookViewId="0">
      <pane xSplit="3" ySplit="1" topLeftCell="D83" activePane="bottomRight" state="frozen"/>
      <selection/>
      <selection pane="topRight"/>
      <selection pane="bottomLeft"/>
      <selection pane="bottomRight" activeCell="AW99" sqref="AW99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723</v>
      </c>
      <c r="BD1" s="12" t="s">
        <v>724</v>
      </c>
      <c r="BF1" s="11">
        <v>1</v>
      </c>
      <c r="BG1" s="11">
        <v>2</v>
      </c>
      <c r="BH1" s="11">
        <v>3</v>
      </c>
      <c r="BI1" s="11">
        <v>4</v>
      </c>
      <c r="BJ1" s="11" t="s">
        <v>725</v>
      </c>
      <c r="BK1" s="11">
        <v>5</v>
      </c>
      <c r="BL1" s="11">
        <v>6</v>
      </c>
      <c r="BM1" s="11">
        <v>7</v>
      </c>
      <c r="BN1" s="11">
        <v>8</v>
      </c>
      <c r="BO1" s="13" t="s">
        <v>724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381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385</v>
      </c>
      <c r="BF17" s="21" cm="1">
        <f t="array" ref="BF17">SUMPRODUCT(LEN(BF25:BF116)-LEN(SUBSTITUTE(BF25:BF116,"数","")))</f>
        <v>1</v>
      </c>
      <c r="BG17" s="21" cm="1">
        <f t="array" ref="BG17">SUMPRODUCT(LEN(BG25:BG116)-LEN(SUBSTITUTE(BG25:BG116,"数","")))</f>
        <v>2</v>
      </c>
      <c r="BH17" s="21" cm="1">
        <f t="array" ref="BH17">SUMPRODUCT(LEN(BH25:BH116)-LEN(SUBSTITUTE(BH25:BH116,"数","")))</f>
        <v>1</v>
      </c>
      <c r="BI17" s="21" cm="1">
        <f t="array" ref="BI17">SUMPRODUCT(LEN(BI25:BI116)-LEN(SUBSTITUTE(BI25:BI116,"数","")))</f>
        <v>2</v>
      </c>
      <c r="BJ17" s="21" cm="1">
        <f t="array" ref="BJ17">SUMPRODUCT(LEN(BJ25:BJ116)-LEN(SUBSTITUTE(BJ25:BJ116,"数","")))</f>
        <v>0</v>
      </c>
      <c r="BK17" s="21" cm="1">
        <f t="array" ref="BK17">SUMPRODUCT(LEN(BK25:BK116)-LEN(SUBSTITUTE(BK25:BK116,"数","")))</f>
        <v>1</v>
      </c>
      <c r="BL17" s="21" cm="1">
        <f t="array" ref="BL17">SUMPRODUCT(LEN(BL25:BL116)-LEN(SUBSTITUTE(BL25:BL116,"数","")))</f>
        <v>0</v>
      </c>
      <c r="BM17" s="21" cm="1">
        <f t="array" ref="BM17">SUMPRODUCT(LEN(BM25:BM116)-LEN(SUBSTITUTE(BM25:BM116,"数","")))</f>
        <v>0</v>
      </c>
      <c r="BN17" s="21" cm="1">
        <f t="array" ref="BN17">SUMPRODUCT(LEN(BN25:BN116)-LEN(SUBSTITUTE(BN25:BN116,"数","")))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388</v>
      </c>
      <c r="BF18" s="21" cm="1">
        <f t="array" ref="BF18">SUMPRODUCT(LEN(BF26:BF117)-LEN(SUBSTITUTE(BF26:BF117,"政","")))</f>
        <v>0</v>
      </c>
      <c r="BG18" s="21" cm="1">
        <f t="array" ref="BG18">SUMPRODUCT(LEN(BG26:BG117)-LEN(SUBSTITUTE(BG26:BG117,"政","")))</f>
        <v>0</v>
      </c>
      <c r="BH18" s="21" cm="1">
        <f t="array" ref="BH18">SUMPRODUCT(LEN(BH26:BH117)-LEN(SUBSTITUTE(BH26:BH117,"政","")))</f>
        <v>7</v>
      </c>
      <c r="BI18" s="21" cm="1">
        <f t="array" ref="BI18">SUMPRODUCT(LEN(BI26:BI117)-LEN(SUBSTITUTE(BI26:BI117,"政","")))</f>
        <v>4</v>
      </c>
      <c r="BJ18" s="21" cm="1">
        <f t="array" ref="BJ18">SUMPRODUCT(LEN(BJ26:BJ117)-LEN(SUBSTITUTE(BJ26:BJ117,"政","")))</f>
        <v>0</v>
      </c>
      <c r="BK18" s="21" cm="1">
        <f t="array" ref="BK18">SUMPRODUCT(LEN(BK26:BK117)-LEN(SUBSTITUTE(BK26:BK117,"政","")))</f>
        <v>0</v>
      </c>
      <c r="BL18" s="21" cm="1">
        <f t="array" ref="BL18">SUMPRODUCT(LEN(BL26:BL117)-LEN(SUBSTITUTE(BL26:BL117,"政","")))</f>
        <v>0</v>
      </c>
      <c r="BM18" s="21" cm="1">
        <f t="array" ref="BM18">SUMPRODUCT(LEN(BM26:BM117)-LEN(SUBSTITUTE(BM26:BM117,"政","")))</f>
        <v>0</v>
      </c>
      <c r="BN18" s="21" cm="1">
        <f t="array" ref="BN18">SUMPRODUCT(LEN(BN26:BN117)-LEN(SUBSTITUTE(BN26:BN117,"政","")))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390</v>
      </c>
      <c r="BF19" s="21" cm="1">
        <f t="array" ref="BF19">SUMPRODUCT(LEN(BF27:BF118)-LEN(SUBSTITUTE(BF27:BF118,"史","")))</f>
        <v>0</v>
      </c>
      <c r="BG19" s="21" cm="1">
        <f t="array" ref="BG19">SUMPRODUCT(LEN(BG27:BG118)-LEN(SUBSTITUTE(BG27:BG118,"史","")))</f>
        <v>0</v>
      </c>
      <c r="BH19" s="21" cm="1">
        <f t="array" ref="BH19">SUMPRODUCT(LEN(BH27:BH118)-LEN(SUBSTITUTE(BH27:BH118,"史","")))</f>
        <v>0</v>
      </c>
      <c r="BI19" s="21" cm="1">
        <f t="array" ref="BI19">SUMPRODUCT(LEN(BI27:BI118)-LEN(SUBSTITUTE(BI27:BI118,"史","")))</f>
        <v>1</v>
      </c>
      <c r="BJ19" s="21" cm="1">
        <f t="array" ref="BJ19">SUMPRODUCT(LEN(BJ27:BJ118)-LEN(SUBSTITUTE(BJ27:BJ118,"史","")))</f>
        <v>0</v>
      </c>
      <c r="BK19" s="21" cm="1">
        <f t="array" ref="BK19">SUMPRODUCT(LEN(BK27:BK118)-LEN(SUBSTITUTE(BK27:BK118,"史","")))</f>
        <v>0</v>
      </c>
      <c r="BL19" s="21" cm="1">
        <f t="array" ref="BL19">SUMPRODUCT(LEN(BL27:BL118)-LEN(SUBSTITUTE(BL27:BL118,"史","")))</f>
        <v>0</v>
      </c>
      <c r="BM19" s="21" cm="1">
        <f t="array" ref="BM19">SUMPRODUCT(LEN(BM27:BM118)-LEN(SUBSTITUTE(BM27:BM118,"史","")))</f>
        <v>0</v>
      </c>
      <c r="BN19" s="21" cm="1">
        <f t="array" ref="BN19">SUMPRODUCT(LEN(BN27:BN118)-LEN(SUBSTITUTE(BN27:BN118,"史","")))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392</v>
      </c>
      <c r="BF20" s="21" cm="1">
        <f t="array" ref="BF20">SUMPRODUCT(LEN(BF28:BF119)-LEN(SUBSTITUTE(BF28:BF119,"地","")))</f>
        <v>0</v>
      </c>
      <c r="BG20" s="21" cm="1">
        <f t="array" ref="BG20">SUMPRODUCT(LEN(BG28:BG119)-LEN(SUBSTITUTE(BG28:BG119,"地","")))</f>
        <v>0</v>
      </c>
      <c r="BH20" s="21" cm="1">
        <f t="array" ref="BH20">SUMPRODUCT(LEN(BH28:BH119)-LEN(SUBSTITUTE(BH28:BH119,"地","")))</f>
        <v>0</v>
      </c>
      <c r="BI20" s="21" cm="1">
        <f t="array" ref="BI20">SUMPRODUCT(LEN(BI28:BI119)-LEN(SUBSTITUTE(BI28:BI119,"地","")))</f>
        <v>0</v>
      </c>
      <c r="BJ20" s="21" cm="1">
        <f t="array" ref="BJ20">SUMPRODUCT(LEN(BJ28:BJ119)-LEN(SUBSTITUTE(BJ28:BJ119,"地","")))</f>
        <v>0</v>
      </c>
      <c r="BK20" s="21" cm="1">
        <f t="array" ref="BK20">SUMPRODUCT(LEN(BK28:BK119)-LEN(SUBSTITUTE(BK28:BK119,"地","")))</f>
        <v>1</v>
      </c>
      <c r="BL20" s="21" cm="1">
        <f t="array" ref="BL20">SUMPRODUCT(LEN(BL28:BL119)-LEN(SUBSTITUTE(BL28:BL119,"地","")))</f>
        <v>2</v>
      </c>
      <c r="BM20" s="21" cm="1">
        <f t="array" ref="BM20">SUMPRODUCT(LEN(BM28:BM119)-LEN(SUBSTITUTE(BM28:BM119,"地","")))</f>
        <v>0</v>
      </c>
      <c r="BN20" s="21" cm="1">
        <f t="array" ref="BN20">SUMPRODUCT(LEN(BN28:BN119)-LEN(SUBSTITUTE(BN28:BN119,"地","")))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395</v>
      </c>
      <c r="BF21" s="21" cm="1">
        <f t="array" ref="BF21">SUMPRODUCT(LEN(BF29:BF120)-LEN(SUBSTITUTE(BF29:BF120,"生","")))</f>
        <v>0</v>
      </c>
      <c r="BG21" s="21" cm="1">
        <f t="array" ref="BG21">SUMPRODUCT(LEN(BG29:BG120)-LEN(SUBSTITUTE(BG29:BG120,"生","")))</f>
        <v>0</v>
      </c>
      <c r="BH21" s="21" cm="1">
        <f t="array" ref="BH21">SUMPRODUCT(LEN(BH29:BH120)-LEN(SUBSTITUTE(BH29:BH120,"生","")))</f>
        <v>1</v>
      </c>
      <c r="BI21" s="21" cm="1">
        <f t="array" ref="BI21">SUMPRODUCT(LEN(BI29:BI120)-LEN(SUBSTITUTE(BI29:BI120,"生","")))</f>
        <v>2</v>
      </c>
      <c r="BJ21" s="21" cm="1">
        <f t="array" ref="BJ21">SUMPRODUCT(LEN(BJ29:BJ120)-LEN(SUBSTITUTE(BJ29:BJ120,"生","")))</f>
        <v>0</v>
      </c>
      <c r="BK21" s="21" cm="1">
        <f t="array" ref="BK21">SUMPRODUCT(LEN(BK29:BK120)-LEN(SUBSTITUTE(BK29:BK120,"生","")))</f>
        <v>0</v>
      </c>
      <c r="BL21" s="21" cm="1">
        <f t="array" ref="BL21">SUMPRODUCT(LEN(BL29:BL120)-LEN(SUBSTITUTE(BL29:BL120,"生","")))</f>
        <v>1</v>
      </c>
      <c r="BM21" s="21" cm="1">
        <f t="array" ref="BM21">SUMPRODUCT(LEN(BM29:BM120)-LEN(SUBSTITUTE(BM29:BM120,"生","")))</f>
        <v>1</v>
      </c>
      <c r="BN21" s="21" cm="1">
        <f t="array" ref="BN21">SUMPRODUCT(LEN(BN29:BN120)-LEN(SUBSTITUTE(BN29:BN120,"生","")))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398</v>
      </c>
      <c r="BF22" s="21" cm="1">
        <f t="array" ref="BF22">SUMPRODUCT(LEN(BF30:BF121)-LEN(SUBSTITUTE(BF30:BF121,"物","")))</f>
        <v>0</v>
      </c>
      <c r="BG22" s="21" cm="1">
        <f t="array" ref="BG22">SUMPRODUCT(LEN(BG30:BG121)-LEN(SUBSTITUTE(BG30:BG121,"物","")))</f>
        <v>0</v>
      </c>
      <c r="BH22" s="21" cm="1">
        <f t="array" ref="BH22">SUMPRODUCT(LEN(BH30:BH121)-LEN(SUBSTITUTE(BH30:BH121,"物","")))</f>
        <v>0</v>
      </c>
      <c r="BI22" s="21" cm="1">
        <f t="array" ref="BI22">SUMPRODUCT(LEN(BI30:BI121)-LEN(SUBSTITUTE(BI30:BI121,"物","")))</f>
        <v>0</v>
      </c>
      <c r="BJ22" s="21" cm="1">
        <f t="array" ref="BJ22">SUMPRODUCT(LEN(BJ30:BJ121)-LEN(SUBSTITUTE(BJ30:BJ121,"物","")))</f>
        <v>1</v>
      </c>
      <c r="BK22" s="21" cm="1">
        <f t="array" ref="BK22">SUMPRODUCT(LEN(BK30:BK121)-LEN(SUBSTITUTE(BK30:BK121,"物","")))</f>
        <v>1</v>
      </c>
      <c r="BL22" s="21" cm="1">
        <f t="array" ref="BL22">SUMPRODUCT(LEN(BL30:BL121)-LEN(SUBSTITUTE(BL30:BL121,"物","")))</f>
        <v>0</v>
      </c>
      <c r="BM22" s="21" cm="1">
        <f t="array" ref="BM22">SUMPRODUCT(LEN(BM30:BM121)-LEN(SUBSTITUTE(BM30:BM121,"物","")))</f>
        <v>0</v>
      </c>
      <c r="BN22" s="21" cm="1">
        <f t="array" ref="BN22">SUMPRODUCT(LEN(BN30:BN121)-LEN(SUBSTITUTE(BN30:BN121,"物","")))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401</v>
      </c>
      <c r="BF23" s="21" cm="1">
        <f t="array" ref="BF23">SUMPRODUCT(LEN(BF31:BF122)-LEN(SUBSTITUTE(BF31:BF122,"化","")))</f>
        <v>0</v>
      </c>
      <c r="BG23" s="21" cm="1">
        <f t="array" ref="BG23">SUMPRODUCT(LEN(BG31:BG122)-LEN(SUBSTITUTE(BG31:BG122,"化","")))</f>
        <v>0</v>
      </c>
      <c r="BH23" s="21" cm="1">
        <f t="array" ref="BH23">SUMPRODUCT(LEN(BH31:BH122)-LEN(SUBSTITUTE(BH31:BH122,"化","")))</f>
        <v>0</v>
      </c>
      <c r="BI23" s="21" cm="1">
        <f t="array" ref="BI23">SUMPRODUCT(LEN(BI31:BI122)-LEN(SUBSTITUTE(BI31:BI122,"化","")))</f>
        <v>0</v>
      </c>
      <c r="BJ23" s="21" cm="1">
        <f t="array" ref="BJ23">SUMPRODUCT(LEN(BJ31:BJ122)-LEN(SUBSTITUTE(BJ31:BJ122,"化","")))</f>
        <v>0</v>
      </c>
      <c r="BK23" s="21" cm="1">
        <f t="array" ref="BK23">SUMPRODUCT(LEN(BK31:BK122)-LEN(SUBSTITUTE(BK31:BK122,"化","")))</f>
        <v>0</v>
      </c>
      <c r="BL23" s="21" cm="1">
        <f t="array" ref="BL23">SUMPRODUCT(LEN(BL31:BL122)-LEN(SUBSTITUTE(BL31:BL122,"化","")))</f>
        <v>0</v>
      </c>
      <c r="BM23" s="21" cm="1">
        <f t="array" ref="BM23">SUMPRODUCT(LEN(BM31:BM122)-LEN(SUBSTITUTE(BM31:BM122,"化","")))</f>
        <v>0</v>
      </c>
      <c r="BN23" s="21" cm="1">
        <f t="array" ref="BN23">SUMPRODUCT(LEN(BN31:BN122)-LEN(SUBSTITUTE(BN31:BN122,"化","")))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728</v>
      </c>
      <c r="BI35" s="21"/>
      <c r="BJ35" s="21"/>
      <c r="BK35" s="21" t="s">
        <v>729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728</v>
      </c>
      <c r="BJ53" s="21"/>
      <c r="BK53" s="21" t="s">
        <v>729</v>
      </c>
      <c r="BL53" s="21" t="s">
        <v>729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726</v>
      </c>
      <c r="BK62" s="21"/>
      <c r="BL62" s="21"/>
      <c r="BM62" s="21" t="s">
        <v>732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732</v>
      </c>
      <c r="BI72" s="21" t="s">
        <v>728</v>
      </c>
      <c r="BJ72" s="21"/>
      <c r="BK72" s="21"/>
      <c r="BL72" s="21" t="s">
        <v>729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727</v>
      </c>
      <c r="BI73" s="21"/>
      <c r="BJ73" s="21"/>
      <c r="BK73" s="21"/>
      <c r="BL73" s="21" t="s">
        <v>731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728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ref="BD97:BD115" si="6"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ref="BO97:BO115" si="7"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6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7"/>
        <v>0</v>
      </c>
    </row>
    <row r="99" customHeight="1" spans="1:67">
      <c r="A99" s="23"/>
      <c r="B99" s="30"/>
      <c r="C99" s="16">
        <v>3</v>
      </c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0</v>
      </c>
      <c r="BD99" s="19">
        <f t="shared" si="6"/>
        <v>0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7"/>
        <v>0</v>
      </c>
    </row>
    <row r="100" customHeight="1" spans="1:67">
      <c r="A100" s="23"/>
      <c r="B100" s="30"/>
      <c r="C100" s="16">
        <v>4</v>
      </c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0</v>
      </c>
      <c r="BD100" s="19">
        <f t="shared" si="6"/>
        <v>0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7"/>
        <v>0</v>
      </c>
    </row>
    <row r="101" customHeight="1" spans="1:67">
      <c r="A101" s="23"/>
      <c r="B101" s="30"/>
      <c r="C101" s="16">
        <v>5</v>
      </c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8"/>
      <c r="AK101" s="17"/>
      <c r="AL101" s="17"/>
      <c r="AM101" s="17"/>
      <c r="AN101" s="18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0</v>
      </c>
      <c r="BD101" s="19">
        <f t="shared" si="6"/>
        <v>0</v>
      </c>
      <c r="BF101" s="27"/>
      <c r="BG101" s="27"/>
      <c r="BH101" s="27"/>
      <c r="BI101" s="27"/>
      <c r="BJ101" s="27"/>
      <c r="BK101" s="27"/>
      <c r="BL101" s="27"/>
      <c r="BM101" s="27"/>
      <c r="BN101" s="28"/>
      <c r="BO101" s="21">
        <f t="shared" si="7"/>
        <v>0</v>
      </c>
    </row>
    <row r="102" customHeight="1" spans="1:67">
      <c r="A102" s="23"/>
      <c r="B102" s="30"/>
      <c r="C102" s="16">
        <v>8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8"/>
      <c r="AK102" s="17"/>
      <c r="AL102" s="17"/>
      <c r="AM102" s="17"/>
      <c r="AN102" s="18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0</v>
      </c>
      <c r="BD102" s="19">
        <f t="shared" si="6"/>
        <v>0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si="7"/>
        <v>0</v>
      </c>
    </row>
    <row r="103" customHeight="1" spans="1:67">
      <c r="A103" s="23"/>
      <c r="B103" s="30"/>
      <c r="C103" s="16">
        <v>9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10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11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12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15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17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18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24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25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26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23"/>
      <c r="B114" s="30"/>
      <c r="C114" s="16">
        <v>29</v>
      </c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8"/>
      <c r="AK114" s="17"/>
      <c r="AL114" s="17"/>
      <c r="AM114" s="17"/>
      <c r="AN114" s="18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9" cm="1">
        <f t="array" ref="BC114">SUMPRODUCT(--(D114:BB114=INT(D114:BB114)),--(D114:BB114&gt;0))</f>
        <v>0</v>
      </c>
      <c r="BD114" s="19">
        <f t="shared" si="6"/>
        <v>0</v>
      </c>
      <c r="BF114" s="27"/>
      <c r="BG114" s="27"/>
      <c r="BH114" s="27"/>
      <c r="BI114" s="27"/>
      <c r="BJ114" s="27"/>
      <c r="BK114" s="27"/>
      <c r="BL114" s="27"/>
      <c r="BM114" s="27"/>
      <c r="BN114" s="28"/>
      <c r="BO114" s="21">
        <f t="shared" si="7"/>
        <v>0</v>
      </c>
    </row>
    <row r="115" customHeight="1" spans="1:67">
      <c r="A115" s="23"/>
      <c r="B115" s="30"/>
      <c r="C115" s="16">
        <v>30</v>
      </c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8"/>
      <c r="AK115" s="17"/>
      <c r="AL115" s="17"/>
      <c r="AM115" s="17"/>
      <c r="AN115" s="18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9" cm="1">
        <f t="array" ref="BC115">SUMPRODUCT(--(D115:BB115=INT(D115:BB115)),--(D115:BB115&gt;0))</f>
        <v>0</v>
      </c>
      <c r="BD115" s="19">
        <f t="shared" si="6"/>
        <v>0</v>
      </c>
      <c r="BF115" s="27"/>
      <c r="BG115" s="27"/>
      <c r="BH115" s="27"/>
      <c r="BI115" s="27"/>
      <c r="BJ115" s="27"/>
      <c r="BK115" s="27"/>
      <c r="BL115" s="27"/>
      <c r="BM115" s="27"/>
      <c r="BN115" s="28"/>
      <c r="BO115" s="21">
        <f t="shared" si="7"/>
        <v>0</v>
      </c>
    </row>
    <row r="116" customHeight="1" spans="1:67">
      <c r="A116" s="31" t="s">
        <v>733</v>
      </c>
      <c r="B116" s="32"/>
      <c r="C116" s="33"/>
      <c r="D116" s="34">
        <f>SUM(D2:D115)</f>
        <v>5</v>
      </c>
      <c r="E116" s="34">
        <f t="shared" ref="E116:AJ116" si="8">SUM(E2:E115)</f>
        <v>47</v>
      </c>
      <c r="F116" s="34">
        <f t="shared" si="8"/>
        <v>15</v>
      </c>
      <c r="G116" s="34">
        <f t="shared" si="8"/>
        <v>9</v>
      </c>
      <c r="H116" s="34">
        <f t="shared" si="8"/>
        <v>14</v>
      </c>
      <c r="I116" s="34">
        <f t="shared" si="8"/>
        <v>47</v>
      </c>
      <c r="J116" s="34">
        <f t="shared" si="8"/>
        <v>41</v>
      </c>
      <c r="K116" s="34">
        <f t="shared" si="8"/>
        <v>4</v>
      </c>
      <c r="L116" s="34">
        <f t="shared" si="8"/>
        <v>25</v>
      </c>
      <c r="M116" s="34">
        <f t="shared" si="8"/>
        <v>4</v>
      </c>
      <c r="N116" s="34">
        <f t="shared" si="8"/>
        <v>25</v>
      </c>
      <c r="O116" s="34">
        <f t="shared" si="8"/>
        <v>8</v>
      </c>
      <c r="P116" s="34">
        <f t="shared" si="8"/>
        <v>45</v>
      </c>
      <c r="Q116" s="34">
        <f t="shared" si="8"/>
        <v>5</v>
      </c>
      <c r="R116" s="34">
        <f t="shared" si="8"/>
        <v>8</v>
      </c>
      <c r="S116" s="34">
        <f t="shared" si="8"/>
        <v>1</v>
      </c>
      <c r="T116" s="34">
        <f t="shared" si="8"/>
        <v>15</v>
      </c>
      <c r="U116" s="34">
        <f t="shared" si="8"/>
        <v>2</v>
      </c>
      <c r="V116" s="34">
        <f t="shared" si="8"/>
        <v>6</v>
      </c>
      <c r="W116" s="34">
        <f t="shared" si="8"/>
        <v>37</v>
      </c>
      <c r="X116" s="34">
        <f t="shared" si="8"/>
        <v>1</v>
      </c>
      <c r="Y116" s="34">
        <f t="shared" si="8"/>
        <v>31</v>
      </c>
      <c r="Z116" s="34">
        <f t="shared" si="8"/>
        <v>1</v>
      </c>
      <c r="AA116" s="34">
        <f t="shared" si="8"/>
        <v>0</v>
      </c>
      <c r="AB116" s="34">
        <f t="shared" si="8"/>
        <v>1</v>
      </c>
      <c r="AC116" s="34">
        <f t="shared" si="8"/>
        <v>32</v>
      </c>
      <c r="AD116" s="34">
        <f t="shared" si="8"/>
        <v>18</v>
      </c>
      <c r="AE116" s="34">
        <f t="shared" si="8"/>
        <v>17</v>
      </c>
      <c r="AF116" s="34">
        <f t="shared" si="8"/>
        <v>26</v>
      </c>
      <c r="AG116" s="34">
        <f t="shared" si="8"/>
        <v>33</v>
      </c>
      <c r="AH116" s="34">
        <f t="shared" si="8"/>
        <v>13</v>
      </c>
      <c r="AI116" s="34">
        <f t="shared" si="8"/>
        <v>0</v>
      </c>
      <c r="AJ116" s="34">
        <f t="shared" si="8"/>
        <v>0</v>
      </c>
      <c r="AK116" s="34">
        <f t="shared" ref="AK116:BB116" si="9">SUM(AK2:AK115)</f>
        <v>2</v>
      </c>
      <c r="AL116" s="34">
        <f t="shared" si="9"/>
        <v>20</v>
      </c>
      <c r="AM116" s="34">
        <f t="shared" si="9"/>
        <v>18</v>
      </c>
      <c r="AN116" s="34">
        <f t="shared" si="9"/>
        <v>0</v>
      </c>
      <c r="AO116" s="34">
        <f t="shared" si="9"/>
        <v>60</v>
      </c>
      <c r="AP116" s="34">
        <f t="shared" si="9"/>
        <v>50</v>
      </c>
      <c r="AQ116" s="34">
        <f t="shared" si="9"/>
        <v>57</v>
      </c>
      <c r="AR116" s="34">
        <f t="shared" si="9"/>
        <v>1</v>
      </c>
      <c r="AS116" s="34">
        <f t="shared" si="9"/>
        <v>51</v>
      </c>
      <c r="AT116" s="34">
        <f t="shared" si="9"/>
        <v>0</v>
      </c>
      <c r="AU116" s="34">
        <f t="shared" si="9"/>
        <v>84</v>
      </c>
      <c r="AV116" s="34">
        <f t="shared" si="9"/>
        <v>0</v>
      </c>
      <c r="AW116" s="34">
        <f t="shared" si="9"/>
        <v>33</v>
      </c>
      <c r="AX116" s="34">
        <f t="shared" si="9"/>
        <v>10</v>
      </c>
      <c r="AY116" s="34">
        <f t="shared" si="9"/>
        <v>7</v>
      </c>
      <c r="AZ116" s="34">
        <f t="shared" si="9"/>
        <v>1</v>
      </c>
      <c r="BA116" s="34">
        <f t="shared" si="9"/>
        <v>0</v>
      </c>
      <c r="BB116" s="34">
        <f t="shared" si="9"/>
        <v>2</v>
      </c>
      <c r="BC116" s="35" t="s">
        <v>734</v>
      </c>
      <c r="BD116" s="36"/>
      <c r="BE116" s="37"/>
      <c r="BF116" s="21">
        <f>COUNTA(BF24:BF96)</f>
        <v>1</v>
      </c>
      <c r="BG116" s="21">
        <f t="shared" ref="BG116:BN116" si="10">COUNTA(BG24:BG96)</f>
        <v>2</v>
      </c>
      <c r="BH116" s="21">
        <f t="shared" si="10"/>
        <v>9</v>
      </c>
      <c r="BI116" s="21">
        <f t="shared" si="10"/>
        <v>10</v>
      </c>
      <c r="BJ116" s="21">
        <f t="shared" si="10"/>
        <v>2</v>
      </c>
      <c r="BK116" s="21">
        <f t="shared" si="10"/>
        <v>5</v>
      </c>
      <c r="BL116" s="21">
        <f t="shared" si="10"/>
        <v>8</v>
      </c>
      <c r="BM116" s="21">
        <f t="shared" si="10"/>
        <v>2</v>
      </c>
      <c r="BN116" s="26">
        <f t="shared" si="10"/>
        <v>0</v>
      </c>
      <c r="BO116" s="38">
        <f>SUM(BF116:BN116)</f>
        <v>39</v>
      </c>
    </row>
    <row r="117" customHeight="1" spans="1:67">
      <c r="A117" s="31" t="s">
        <v>735</v>
      </c>
      <c r="B117" s="32"/>
      <c r="C117" s="33"/>
      <c r="D117" s="34" cm="1">
        <f t="array" ref="D117">SUMPRODUCT(--(D2:D115=INT(D2:D115)),--(D2:D115&gt;0))</f>
        <v>4</v>
      </c>
      <c r="E117" s="34" cm="1">
        <f t="array" ref="E117">SUMPRODUCT(--(E2:E115=INT(E2:E115)),--(E2:E115&gt;0))</f>
        <v>43</v>
      </c>
      <c r="F117" s="34" cm="1">
        <f t="array" ref="F117">SUMPRODUCT(--(F2:F115=INT(F2:F115)),--(F2:F115&gt;0))</f>
        <v>15</v>
      </c>
      <c r="G117" s="34" cm="1">
        <f t="array" ref="G117">SUMPRODUCT(--(G2:G115=INT(G2:G115)),--(G2:G115&gt;0))</f>
        <v>9</v>
      </c>
      <c r="H117" s="34" cm="1">
        <f t="array" ref="H117">SUMPRODUCT(--(H2:H115=INT(H2:H115)),--(H2:H115&gt;0))</f>
        <v>13</v>
      </c>
      <c r="I117" s="34" cm="1">
        <f t="array" ref="I117">SUMPRODUCT(--(I2:I115=INT(I2:I115)),--(I2:I115&gt;0))</f>
        <v>46</v>
      </c>
      <c r="J117" s="34" cm="1">
        <f t="array" ref="J117">SUMPRODUCT(--(J2:J115=INT(J2:J115)),--(J2:J115&gt;0))</f>
        <v>37</v>
      </c>
      <c r="K117" s="34" cm="1">
        <f t="array" ref="K117">SUMPRODUCT(--(K2:K115=INT(K2:K115)),--(K2:K115&gt;0))</f>
        <v>4</v>
      </c>
      <c r="L117" s="34" cm="1">
        <f t="array" ref="L117">SUMPRODUCT(--(L2:L115=INT(L2:L115)),--(L2:L115&gt;0))</f>
        <v>20</v>
      </c>
      <c r="M117" s="34" cm="1">
        <f t="array" ref="M117">SUMPRODUCT(--(M2:M115=INT(M2:M115)),--(M2:M115&gt;0))</f>
        <v>4</v>
      </c>
      <c r="N117" s="34" cm="1">
        <f t="array" ref="N117">SUMPRODUCT(--(N2:N115=INT(N2:N115)),--(N2:N115&gt;0))</f>
        <v>24</v>
      </c>
      <c r="O117" s="34" cm="1">
        <f t="array" ref="O117">SUMPRODUCT(--(O2:O115=INT(O2:O115)),--(O2:O115&gt;0))</f>
        <v>8</v>
      </c>
      <c r="P117" s="34" cm="1">
        <f t="array" ref="P117">SUMPRODUCT(--(P2:P115=INT(P2:P115)),--(P2:P115&gt;0))</f>
        <v>38</v>
      </c>
      <c r="Q117" s="34" cm="1">
        <f t="array" ref="Q117">SUMPRODUCT(--(Q2:Q115=INT(Q2:Q115)),--(Q2:Q115&gt;0))</f>
        <v>5</v>
      </c>
      <c r="R117" s="34" cm="1">
        <f t="array" ref="R117">SUMPRODUCT(--(R2:R115=INT(R2:R115)),--(R2:R115&gt;0))</f>
        <v>8</v>
      </c>
      <c r="S117" s="34" cm="1">
        <f t="array" ref="S117">SUMPRODUCT(--(S2:S115=INT(S2:S115)),--(S2:S115&gt;0))</f>
        <v>1</v>
      </c>
      <c r="T117" s="34" cm="1">
        <f t="array" ref="T117">SUMPRODUCT(--(T2:T115=INT(T2:T115)),--(T2:T115&gt;0))</f>
        <v>14</v>
      </c>
      <c r="U117" s="34" cm="1">
        <f t="array" ref="U117">SUMPRODUCT(--(U2:U115=INT(U2:U115)),--(U2:U115&gt;0))</f>
        <v>2</v>
      </c>
      <c r="V117" s="34" cm="1">
        <f t="array" ref="V117">SUMPRODUCT(--(V2:V115=INT(V2:V115)),--(V2:V115&gt;0))</f>
        <v>5</v>
      </c>
      <c r="W117" s="34" cm="1">
        <f t="array" ref="W117">SUMPRODUCT(--(W2:W115=INT(W2:W115)),--(W2:W115&gt;0))</f>
        <v>31</v>
      </c>
      <c r="X117" s="34" cm="1">
        <f t="array" ref="X117">SUMPRODUCT(--(X2:X115=INT(X2:X115)),--(X2:X115&gt;0))</f>
        <v>1</v>
      </c>
      <c r="Y117" s="34" cm="1">
        <f t="array" ref="Y117">SUMPRODUCT(--(Y2:Y115=INT(Y2:Y115)),--(Y2:Y115&gt;0))</f>
        <v>29</v>
      </c>
      <c r="Z117" s="34" cm="1">
        <f t="array" ref="Z117">SUMPRODUCT(--(Z2:Z115=INT(Z2:Z115)),--(Z2:Z115&gt;0))</f>
        <v>1</v>
      </c>
      <c r="AA117" s="34" cm="1">
        <f t="array" ref="AA117">SUMPRODUCT(--(AA2:AA115=INT(AA2:AA115)),--(AA2:AA115&gt;0))</f>
        <v>0</v>
      </c>
      <c r="AB117" s="34" cm="1">
        <f t="array" ref="AB117">SUMPRODUCT(--(AB2:AB115=INT(AB2:AB115)),--(AB2:AB115&gt;0))</f>
        <v>1</v>
      </c>
      <c r="AC117" s="34" cm="1">
        <f t="array" ref="AC117">SUMPRODUCT(--(AC2:AC115=INT(AC2:AC115)),--(AC2:AC115&gt;0))</f>
        <v>27</v>
      </c>
      <c r="AD117" s="34" cm="1">
        <f t="array" ref="AD117">SUMPRODUCT(--(AD2:AD115=INT(AD2:AD115)),--(AD2:AD115&gt;0))</f>
        <v>18</v>
      </c>
      <c r="AE117" s="34" cm="1">
        <f t="array" ref="AE117">SUMPRODUCT(--(AE2:AE115=INT(AE2:AE115)),--(AE2:AE115&gt;0))</f>
        <v>16</v>
      </c>
      <c r="AF117" s="34" cm="1">
        <f t="array" ref="AF117">SUMPRODUCT(--(AF2:AF115=INT(AF2:AF115)),--(AF2:AF115&gt;0))</f>
        <v>24</v>
      </c>
      <c r="AG117" s="34" cm="1">
        <f t="array" ref="AG117">SUMPRODUCT(--(AG2:AG115=INT(AG2:AG115)),--(AG2:AG115&gt;0))</f>
        <v>29</v>
      </c>
      <c r="AH117" s="34" cm="1">
        <f t="array" ref="AH117">SUMPRODUCT(--(AH2:AH115=INT(AH2:AH115)),--(AH2:AH115&gt;0))</f>
        <v>13</v>
      </c>
      <c r="AI117" s="34" cm="1">
        <f t="array" ref="AI117">SUMPRODUCT(--(AI2:AI115=INT(AI2:AI115)),--(AI2:AI115&gt;0))</f>
        <v>0</v>
      </c>
      <c r="AJ117" s="34" cm="1">
        <f t="array" ref="AJ117">SUMPRODUCT(--(AJ2:AJ115=INT(AJ2:AJ115)),--(AJ2:AJ115&gt;0))</f>
        <v>0</v>
      </c>
      <c r="AK117" s="34" cm="1">
        <f t="array" ref="AK117">SUMPRODUCT(--(AK2:AK115=INT(AK2:AK115)),--(AK2:AK115&gt;0))</f>
        <v>2</v>
      </c>
      <c r="AL117" s="34" cm="1">
        <f t="array" ref="AL117">SUMPRODUCT(--(AL2:AL115=INT(AL2:AL115)),--(AL2:AL115&gt;0))</f>
        <v>19</v>
      </c>
      <c r="AM117" s="34" cm="1">
        <f t="array" ref="AM117">SUMPRODUCT(--(AM2:AM115=INT(AM2:AM115)),--(AM2:AM115&gt;0))</f>
        <v>16</v>
      </c>
      <c r="AN117" s="34" cm="1">
        <f t="array" ref="AN117">SUMPRODUCT(--(AN2:AN115=INT(AN2:AN115)),--(AN2:AN115&gt;0))</f>
        <v>0</v>
      </c>
      <c r="AO117" s="34" cm="1">
        <f t="array" ref="AO117">SUMPRODUCT(--(AO2:AO115=INT(AO2:AO115)),--(AO2:AO115&gt;0))</f>
        <v>49</v>
      </c>
      <c r="AP117" s="34" cm="1">
        <f t="array" ref="AP117">SUMPRODUCT(--(AP2:AP115=INT(AP2:AP115)),--(AP2:AP115&gt;0))</f>
        <v>40</v>
      </c>
      <c r="AQ117" s="34" cm="1">
        <f t="array" ref="AQ117">SUMPRODUCT(--(AQ2:AQ115=INT(AQ2:AQ115)),--(AQ2:AQ115&gt;0))</f>
        <v>45</v>
      </c>
      <c r="AR117" s="34" cm="1">
        <f t="array" ref="AR117">SUMPRODUCT(--(AR2:AR115=INT(AR2:AR115)),--(AR2:AR115&gt;0))</f>
        <v>1</v>
      </c>
      <c r="AS117" s="34" cm="1">
        <f t="array" ref="AS117">SUMPRODUCT(--(AS2:AS115=INT(AS2:AS115)),--(AS2:AS115&gt;0))</f>
        <v>43</v>
      </c>
      <c r="AT117" s="34" cm="1">
        <f t="array" ref="AT117">SUMPRODUCT(--(AT2:AT115=INT(AT2:AT115)),--(AT2:AT115&gt;0))</f>
        <v>0</v>
      </c>
      <c r="AU117" s="34" cm="1">
        <f t="array" ref="AU117">SUMPRODUCT(--(AU2:AU115=INT(AU2:AU115)),--(AU2:AU115&gt;0))</f>
        <v>64</v>
      </c>
      <c r="AV117" s="34" cm="1">
        <f t="array" ref="AV117">SUMPRODUCT(--(AV2:AV115=INT(AV2:AV115)),--(AV2:AV115&gt;0))</f>
        <v>0</v>
      </c>
      <c r="AW117" s="34" cm="1">
        <f t="array" ref="AW117">SUMPRODUCT(--(AW2:AW115=INT(AW2:AW115)),--(AW2:AW115&gt;0))</f>
        <v>29</v>
      </c>
      <c r="AX117" s="34" cm="1">
        <f t="array" ref="AX117">SUMPRODUCT(--(AX2:AX115=INT(AX2:AX115)),--(AX2:AX115&gt;0))</f>
        <v>10</v>
      </c>
      <c r="AY117" s="34" cm="1">
        <f t="array" ref="AY117">SUMPRODUCT(--(AY2:AY115=INT(AY2:AY115)),--(AY2:AY115&gt;0))</f>
        <v>7</v>
      </c>
      <c r="AZ117" s="34" cm="1">
        <f t="array" ref="AZ117">SUMPRODUCT(--(AZ2:AZ115=INT(AZ2:AZ115)),--(AZ2:AZ115&gt;0))</f>
        <v>1</v>
      </c>
      <c r="BA117" s="34" cm="1">
        <f t="array" ref="BA117">SUMPRODUCT(--(BA2:BA115=INT(BA2:BA115)),--(BA2:BA115&gt;0))</f>
        <v>0</v>
      </c>
      <c r="BB117" s="34" cm="1">
        <f t="array" ref="BB117">SUMPRODUCT(--(BB2:BB115=INT(BB2:BB115)),--(BB2:BB115&gt;0))</f>
        <v>2</v>
      </c>
      <c r="BC117" s="36"/>
      <c r="BD117" s="36"/>
      <c r="BF117" s="39" t="s">
        <v>736</v>
      </c>
      <c r="BG117" s="40"/>
      <c r="BH117" s="40"/>
      <c r="BI117" s="40"/>
      <c r="BJ117" s="40"/>
      <c r="BK117" s="40"/>
      <c r="BL117" s="40"/>
      <c r="BM117" s="40"/>
      <c r="BN117" s="40"/>
      <c r="BO117" s="41"/>
    </row>
    <row r="118" customHeight="1" spans="1:67">
      <c r="A118" s="31" t="s">
        <v>737</v>
      </c>
      <c r="B118" s="32"/>
      <c r="C118" s="33"/>
      <c r="D118" s="34" cm="1">
        <f t="array" ref="D118">MAX(FREQUENCY(IF((D2:D115=INT(D2:D115))*(D2:D115&gt;0),ROW(D2:D115)),IF((D2:D115&lt;&gt;INT(D2:D115))+(D2:D115&lt;=0),ROW(D2:D115))))</f>
        <v>1</v>
      </c>
      <c r="E118" s="34" cm="1">
        <f t="array" ref="E118">MAX(FREQUENCY(IF((E2:E115=INT(E2:E115))*(E2:E115&gt;0),ROW(E2:E115)),IF((E2:E115&lt;&gt;INT(E2:E115))+(E2:E115&lt;=0),ROW(E2:E115))))</f>
        <v>6</v>
      </c>
      <c r="F118" s="34" cm="1">
        <f t="array" ref="F118">MAX(FREQUENCY(IF((F2:F115=INT(F2:F115))*(F2:F115&gt;0),ROW(F2:F115)),IF((F2:F115&lt;&gt;INT(F2:F115))+(F2:F115&lt;=0),ROW(F2:F115))))</f>
        <v>3</v>
      </c>
      <c r="G118" s="34" cm="1">
        <f t="array" ref="G118">MAX(FREQUENCY(IF((G2:G115=INT(G2:G115))*(G2:G115&gt;0),ROW(G2:G115)),IF((G2:G115&lt;&gt;INT(G2:G115))+(G2:G115&lt;=0),ROW(G2:G115))))</f>
        <v>3</v>
      </c>
      <c r="H118" s="34" cm="1">
        <f t="array" ref="H118">MAX(FREQUENCY(IF((H2:H115=INT(H2:H115))*(H2:H115&gt;0),ROW(H2:H115)),IF((H2:H115&lt;&gt;INT(H2:H115))+(H2:H115&lt;=0),ROW(H2:H115))))</f>
        <v>4</v>
      </c>
      <c r="I118" s="34" cm="1">
        <f t="array" ref="I118">MAX(FREQUENCY(IF((I2:I115=INT(I2:I115))*(I2:I115&gt;0),ROW(I2:I115)),IF((I2:I115&lt;&gt;INT(I2:I115))+(I2:I115&lt;=0),ROW(I2:I115))))</f>
        <v>5</v>
      </c>
      <c r="J118" s="34" cm="1">
        <f t="array" ref="J118">MAX(FREQUENCY(IF((J2:J115=INT(J2:J115))*(J2:J115&gt;0),ROW(J2:J115)),IF((J2:J115&lt;&gt;INT(J2:J115))+(J2:J115&lt;=0),ROW(J2:J115))))</f>
        <v>6</v>
      </c>
      <c r="K118" s="34" cm="1">
        <f t="array" ref="K118">MAX(FREQUENCY(IF((K2:K115=INT(K2:K115))*(K2:K115&gt;0),ROW(K2:K115)),IF((K2:K115&lt;&gt;INT(K2:K115))+(K2:K115&lt;=0),ROW(K2:K115))))</f>
        <v>2</v>
      </c>
      <c r="L118" s="34" cm="1">
        <f t="array" ref="L118">MAX(FREQUENCY(IF((L2:L115=INT(L2:L115))*(L2:L115&gt;0),ROW(L2:L115)),IF((L2:L115&lt;&gt;INT(L2:L115))+(L2:L115&lt;=0),ROW(L2:L115))))</f>
        <v>2</v>
      </c>
      <c r="M118" s="34" cm="1">
        <f t="array" ref="M118">MAX(FREQUENCY(IF((M2:M115=INT(M2:M115))*(M2:M115&gt;0),ROW(M2:M115)),IF((M2:M115&lt;&gt;INT(M2:M115))+(M2:M115&lt;=0),ROW(M2:M115))))</f>
        <v>1</v>
      </c>
      <c r="N118" s="34" cm="1">
        <f t="array" ref="N118">MAX(FREQUENCY(IF((N2:N115=INT(N2:N115))*(N2:N115&gt;0),ROW(N2:N115)),IF((N2:N115&lt;&gt;INT(N2:N115))+(N2:N115&lt;=0),ROW(N2:N115))))</f>
        <v>4</v>
      </c>
      <c r="O118" s="34" cm="1">
        <f t="array" ref="O118">MAX(FREQUENCY(IF((O2:O115=INT(O2:O115))*(O2:O115&gt;0),ROW(O2:O115)),IF((O2:O115&lt;&gt;INT(O2:O115))+(O2:O115&lt;=0),ROW(O2:O115))))</f>
        <v>1</v>
      </c>
      <c r="P118" s="34" cm="1">
        <f t="array" ref="P118">MAX(FREQUENCY(IF((P2:P115=INT(P2:P115))*(P2:P115&gt;0),ROW(P2:P115)),IF((P2:P115&lt;&gt;INT(P2:P115))+(P2:P115&lt;=0),ROW(P2:P115))))</f>
        <v>4</v>
      </c>
      <c r="Q118" s="34" cm="1">
        <f t="array" ref="Q118">MAX(FREQUENCY(IF((Q2:Q115=INT(Q2:Q115))*(Q2:Q115&gt;0),ROW(Q2:Q115)),IF((Q2:Q115&lt;&gt;INT(Q2:Q115))+(Q2:Q115&lt;=0),ROW(Q2:Q115))))</f>
        <v>1</v>
      </c>
      <c r="R118" s="34" cm="1">
        <f t="array" ref="R118">MAX(FREQUENCY(IF((R2:R115=INT(R2:R115))*(R2:R115&gt;0),ROW(R2:R115)),IF((R2:R115&lt;&gt;INT(R2:R115))+(R2:R115&lt;=0),ROW(R2:R115))))</f>
        <v>1</v>
      </c>
      <c r="S118" s="34" cm="1">
        <f t="array" ref="S118">MAX(FREQUENCY(IF((S2:S115=INT(S2:S115))*(S2:S115&gt;0),ROW(S2:S115)),IF((S2:S115&lt;&gt;INT(S2:S115))+(S2:S115&lt;=0),ROW(S2:S115))))</f>
        <v>1</v>
      </c>
      <c r="T118" s="34" cm="1">
        <f t="array" ref="T118">MAX(FREQUENCY(IF((T2:T115=INT(T2:T115))*(T2:T115&gt;0),ROW(T2:T115)),IF((T2:T115&lt;&gt;INT(T2:T115))+(T2:T115&lt;=0),ROW(T2:T115))))</f>
        <v>2</v>
      </c>
      <c r="U118" s="34" cm="1">
        <f t="array" ref="U118">MAX(FREQUENCY(IF((U2:U115=INT(U2:U115))*(U2:U115&gt;0),ROW(U2:U115)),IF((U2:U115&lt;&gt;INT(U2:U115))+(U2:U115&lt;=0),ROW(U2:U115))))</f>
        <v>1</v>
      </c>
      <c r="V118" s="34" cm="1">
        <f t="array" ref="V118">MAX(FREQUENCY(IF((V2:V115=INT(V2:V115))*(V2:V115&gt;0),ROW(V2:V115)),IF((V2:V115&lt;&gt;INT(V2:V115))+(V2:V115&lt;=0),ROW(V2:V115))))</f>
        <v>1</v>
      </c>
      <c r="W118" s="34" cm="1">
        <f t="array" ref="W118">MAX(FREQUENCY(IF((W2:W115=INT(W2:W115))*(W2:W115&gt;0),ROW(W2:W115)),IF((W2:W115&lt;&gt;INT(W2:W115))+(W2:W115&lt;=0),ROW(W2:W115))))</f>
        <v>5</v>
      </c>
      <c r="X118" s="34" cm="1">
        <f t="array" ref="X118">MAX(FREQUENCY(IF((X2:X115=INT(X2:X115))*(X2:X115&gt;0),ROW(X2:X115)),IF((X2:X115&lt;&gt;INT(X2:X115))+(X2:X115&lt;=0),ROW(X2:X115))))</f>
        <v>1</v>
      </c>
      <c r="Y118" s="34" cm="1">
        <f t="array" ref="Y118">MAX(FREQUENCY(IF((Y2:Y115=INT(Y2:Y115))*(Y2:Y115&gt;0),ROW(Y2:Y115)),IF((Y2:Y115&lt;&gt;INT(Y2:Y115))+(Y2:Y115&lt;=0),ROW(Y2:Y115))))</f>
        <v>4</v>
      </c>
      <c r="Z118" s="34" cm="1">
        <f t="array" ref="Z118">MAX(FREQUENCY(IF((Z2:Z115=INT(Z2:Z115))*(Z2:Z115&gt;0),ROW(Z2:Z115)),IF((Z2:Z115&lt;&gt;INT(Z2:Z115))+(Z2:Z115&lt;=0),ROW(Z2:Z115))))</f>
        <v>1</v>
      </c>
      <c r="AA118" s="34" cm="1">
        <f t="array" ref="AA118">MAX(FREQUENCY(IF((AA2:AA115=INT(AA2:AA115))*(AA2:AA115&gt;0),ROW(AA2:AA115)),IF((AA2:AA115&lt;&gt;INT(AA2:AA115))+(AA2:AA115&lt;=0),ROW(AA2:AA115))))</f>
        <v>0</v>
      </c>
      <c r="AB118" s="34" cm="1">
        <f t="array" ref="AB118">MAX(FREQUENCY(IF((AB2:AB115=INT(AB2:AB115))*(AB2:AB115&gt;0),ROW(AB2:AB115)),IF((AB2:AB115&lt;&gt;INT(AB2:AB115))+(AB2:AB115&lt;=0),ROW(AB2:AB115))))</f>
        <v>1</v>
      </c>
      <c r="AC118" s="34" cm="1">
        <f t="array" ref="AC118">MAX(FREQUENCY(IF((AC2:AC115=INT(AC2:AC115))*(AC2:AC115&gt;0),ROW(AC2:AC115)),IF((AC2:AC115&lt;&gt;INT(AC2:AC115))+(AC2:AC115&lt;=0),ROW(AC2:AC115))))</f>
        <v>5</v>
      </c>
      <c r="AD118" s="34" cm="1">
        <f t="array" ref="AD118">MAX(FREQUENCY(IF((AD2:AD115=INT(AD2:AD115))*(AD2:AD115&gt;0),ROW(AD2:AD115)),IF((AD2:AD115&lt;&gt;INT(AD2:AD115))+(AD2:AD115&lt;=0),ROW(AD2:AD115))))</f>
        <v>5</v>
      </c>
      <c r="AE118" s="34" cm="1">
        <f t="array" ref="AE118">MAX(FREQUENCY(IF((AE2:AE115=INT(AE2:AE115))*(AE2:AE115&gt;0),ROW(AE2:AE115)),IF((AE2:AE115&lt;&gt;INT(AE2:AE115))+(AE2:AE115&lt;=0),ROW(AE2:AE115))))</f>
        <v>4</v>
      </c>
      <c r="AF118" s="34" cm="1">
        <f t="array" ref="AF118">MAX(FREQUENCY(IF((AF2:AF115=INT(AF2:AF115))*(AF2:AF115&gt;0),ROW(AF2:AF115)),IF((AF2:AF115&lt;&gt;INT(AF2:AF115))+(AF2:AF115&lt;=0),ROW(AF2:AF115))))</f>
        <v>3</v>
      </c>
      <c r="AG118" s="34" cm="1">
        <f t="array" ref="AG118">MAX(FREQUENCY(IF((AG2:AG115=INT(AG2:AG115))*(AG2:AG115&gt;0),ROW(AG2:AG115)),IF((AG2:AG115&lt;&gt;INT(AG2:AG115))+(AG2:AG115&lt;=0),ROW(AG2:AG115))))</f>
        <v>7</v>
      </c>
      <c r="AH118" s="34" cm="1">
        <f t="array" ref="AH118">MAX(FREQUENCY(IF((AH2:AH115=INT(AH2:AH115))*(AH2:AH115&gt;0),ROW(AH2:AH115)),IF((AH2:AH115&lt;&gt;INT(AH2:AH115))+(AH2:AH115&lt;=0),ROW(AH2:AH115))))</f>
        <v>1</v>
      </c>
      <c r="AI118" s="34" cm="1">
        <f t="array" ref="AI118">MAX(FREQUENCY(IF((AI2:AI115=INT(AI2:AI115))*(AI2:AI115&gt;0),ROW(AI2:AI115)),IF((AI2:AI115&lt;&gt;INT(AI2:AI115))+(AI2:AI115&lt;=0),ROW(AI2:AI115))))</f>
        <v>0</v>
      </c>
      <c r="AJ118" s="34" cm="1">
        <f t="array" ref="AJ118">MAX(FREQUENCY(IF((AJ2:AJ115=INT(AJ2:AJ115))*(AJ2:AJ115&gt;0),ROW(AJ2:AJ115)),IF((AJ2:AJ115&lt;&gt;INT(AJ2:AJ115))+(AJ2:AJ115&lt;=0),ROW(AJ2:AJ115))))</f>
        <v>0</v>
      </c>
      <c r="AK118" s="34" cm="1">
        <f t="array" ref="AK118">MAX(FREQUENCY(IF((AK2:AK115=INT(AK2:AK115))*(AK2:AK115&gt;0),ROW(AK2:AK115)),IF((AK2:AK115&lt;&gt;INT(AK2:AK115))+(AK2:AK115&lt;=0),ROW(AK2:AK115))))</f>
        <v>1</v>
      </c>
      <c r="AL118" s="34" cm="1">
        <f t="array" ref="AL118">MAX(FREQUENCY(IF((AL2:AL115=INT(AL2:AL115))*(AL2:AL115&gt;0),ROW(AL2:AL115)),IF((AL2:AL115&lt;&gt;INT(AL2:AL115))+(AL2:AL115&lt;=0),ROW(AL2:AL115))))</f>
        <v>3</v>
      </c>
      <c r="AM118" s="34" cm="1">
        <f t="array" ref="AM118">MAX(FREQUENCY(IF((AM2:AM115=INT(AM2:AM115))*(AM2:AM115&gt;0),ROW(AM2:AM115)),IF((AM2:AM115&lt;&gt;INT(AM2:AM115))+(AM2:AM115&lt;=0),ROW(AM2:AM115))))</f>
        <v>3</v>
      </c>
      <c r="AN118" s="34" cm="1">
        <f t="array" ref="AN118">MAX(FREQUENCY(IF((AN2:AN115=INT(AN2:AN115))*(AN2:AN115&gt;0),ROW(AN2:AN115)),IF((AN2:AN115&lt;&gt;INT(AN2:AN115))+(AN2:AN115&lt;=0),ROW(AN2:AN115))))</f>
        <v>0</v>
      </c>
      <c r="AO118" s="34" cm="1">
        <f t="array" ref="AO118">MAX(FREQUENCY(IF((AO2:AO115=INT(AO2:AO115))*(AO2:AO115&gt;0),ROW(AO2:AO115)),IF((AO2:AO115&lt;&gt;INT(AO2:AO115))+(AO2:AO115&lt;=0),ROW(AO2:AO115))))</f>
        <v>12</v>
      </c>
      <c r="AP118" s="34" cm="1">
        <f t="array" ref="AP118">MAX(FREQUENCY(IF((AP2:AP115=INT(AP2:AP115))*(AP2:AP115&gt;0),ROW(AP2:AP115)),IF((AP2:AP115&lt;&gt;INT(AP2:AP115))+(AP2:AP115&lt;=0),ROW(AP2:AP115))))</f>
        <v>6</v>
      </c>
      <c r="AQ118" s="34" cm="1">
        <f t="array" ref="AQ118">MAX(FREQUENCY(IF((AQ2:AQ115=INT(AQ2:AQ115))*(AQ2:AQ115&gt;0),ROW(AQ2:AQ115)),IF((AQ2:AQ115&lt;&gt;INT(AQ2:AQ115))+(AQ2:AQ115&lt;=0),ROW(AQ2:AQ115))))</f>
        <v>6</v>
      </c>
      <c r="AR118" s="34" cm="1">
        <f t="array" ref="AR118">MAX(FREQUENCY(IF((AR2:AR115=INT(AR2:AR115))*(AR2:AR115&gt;0),ROW(AR2:AR115)),IF((AR2:AR115&lt;&gt;INT(AR2:AR115))+(AR2:AR115&lt;=0),ROW(AR2:AR115))))</f>
        <v>1</v>
      </c>
      <c r="AS118" s="34" cm="1">
        <f t="array" ref="AS118">MAX(FREQUENCY(IF((AS2:AS115=INT(AS2:AS115))*(AS2:AS115&gt;0),ROW(AS2:AS115)),IF((AS2:AS115&lt;&gt;INT(AS2:AS115))+(AS2:AS115&lt;=0),ROW(AS2:AS115))))</f>
        <v>6</v>
      </c>
      <c r="AT118" s="34" cm="1">
        <f t="array" ref="AT118">MAX(FREQUENCY(IF((AT2:AT115=INT(AT2:AT115))*(AT2:AT115&gt;0),ROW(AT2:AT115)),IF((AT2:AT115&lt;&gt;INT(AT2:AT115))+(AT2:AT115&lt;=0),ROW(AT2:AT115))))</f>
        <v>0</v>
      </c>
      <c r="AU118" s="34" cm="1">
        <f t="array" ref="AU118">MAX(FREQUENCY(IF((AU2:AU115=INT(AU2:AU115))*(AU2:AU115&gt;0),ROW(AU2:AU115)),IF((AU2:AU115&lt;&gt;INT(AU2:AU115))+(AU2:AU115&lt;=0),ROW(AU2:AU115))))</f>
        <v>17</v>
      </c>
      <c r="AV118" s="34" cm="1">
        <f t="array" ref="AV118">MAX(FREQUENCY(IF((AV2:AV115=INT(AV2:AV115))*(AV2:AV115&gt;0),ROW(AV2:AV115)),IF((AV2:AV115&lt;&gt;INT(AV2:AV115))+(AV2:AV115&lt;=0),ROW(AV2:AV115))))</f>
        <v>0</v>
      </c>
      <c r="AW118" s="34" cm="1">
        <f t="array" ref="AW118">MAX(FREQUENCY(IF((AW2:AW115=INT(AW2:AW115))*(AW2:AW115&gt;0),ROW(AW2:AW115)),IF((AW2:AW115&lt;&gt;INT(AW2:AW115))+(AW2:AW115&lt;=0),ROW(AW2:AW115))))</f>
        <v>3</v>
      </c>
      <c r="AX118" s="34" cm="1">
        <f t="array" ref="AX118">MAX(FREQUENCY(IF((AX2:AX115=INT(AX2:AX115))*(AX2:AX115&gt;0),ROW(AX2:AX115)),IF((AX2:AX115&lt;&gt;INT(AX2:AX115))+(AX2:AX115&lt;=0),ROW(AX2:AX115))))</f>
        <v>4</v>
      </c>
      <c r="AY118" s="34" cm="1">
        <f t="array" ref="AY118">MAX(FREQUENCY(IF((AY2:AY115=INT(AY2:AY115))*(AY2:AY115&gt;0),ROW(AY2:AY115)),IF((AY2:AY115&lt;&gt;INT(AY2:AY115))+(AY2:AY115&lt;=0),ROW(AY2:AY115))))</f>
        <v>1</v>
      </c>
      <c r="AZ118" s="34" cm="1">
        <f t="array" ref="AZ118">MAX(FREQUENCY(IF((AZ2:AZ115=INT(AZ2:AZ115))*(AZ2:AZ115&gt;0),ROW(AZ2:AZ115)),IF((AZ2:AZ115&lt;&gt;INT(AZ2:AZ115))+(AZ2:AZ115&lt;=0),ROW(AZ2:AZ115))))</f>
        <v>1</v>
      </c>
      <c r="BA118" s="34" cm="1">
        <f t="array" ref="BA118">MAX(FREQUENCY(IF((BA2:BA115=INT(BA2:BA115))*(BA2:BA115&gt;0),ROW(BA2:BA115)),IF((BA2:BA115&lt;&gt;INT(BA2:BA115))+(BA2:BA115&lt;=0),ROW(BA2:BA115))))</f>
        <v>0</v>
      </c>
      <c r="BB118" s="34" cm="1">
        <f t="array" ref="BB118">MAX(FREQUENCY(IF((BB2:BB115=INT(BB2:BB115))*(BB2:BB115&gt;0),ROW(BB2:BB115)),IF((BB2:BB115&lt;&gt;INT(BB2:BB115))+(BB2:BB115&lt;=0),ROW(BB2:BB115))))</f>
        <v>1</v>
      </c>
      <c r="BC118" s="36"/>
      <c r="BD118" s="36"/>
      <c r="BF118" s="42"/>
      <c r="BG118" s="43"/>
      <c r="BH118" s="43"/>
      <c r="BI118" s="43"/>
      <c r="BJ118" s="43"/>
      <c r="BK118" s="43"/>
      <c r="BL118" s="43"/>
      <c r="BM118" s="43"/>
      <c r="BN118" s="43"/>
      <c r="BO118" s="44"/>
    </row>
  </sheetData>
  <mergeCells count="15">
    <mergeCell ref="A1:C1"/>
    <mergeCell ref="A116:C116"/>
    <mergeCell ref="A117:C117"/>
    <mergeCell ref="A118:C118"/>
    <mergeCell ref="A2:A19"/>
    <mergeCell ref="A20:A115"/>
    <mergeCell ref="B2:B19"/>
    <mergeCell ref="B20:B35"/>
    <mergeCell ref="B36:B38"/>
    <mergeCell ref="B39:B60"/>
    <mergeCell ref="B61:B78"/>
    <mergeCell ref="B79:B96"/>
    <mergeCell ref="B97:B115"/>
    <mergeCell ref="BC116:BD118"/>
    <mergeCell ref="BF117:BO118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AA102:BB102">
    <cfRule type="colorScale" priority="76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AA103:BB10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AA104:BB104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AA105:BB105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AA106:BB106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AA107:BB107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AA108:BB108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AA109:BB109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AA110:BB110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AA111:BB111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AA112:BB112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AA113:BB11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AA114:BB114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5:BB115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AA115:BB115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6:BB11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6:BN116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7:BB11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8:BB1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5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5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5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5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6:C118 BC116:BD118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2026-06-02T12:28:22Z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