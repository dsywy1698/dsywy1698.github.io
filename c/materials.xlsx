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<sst xmlns="http://schemas.openxmlformats.org/spreadsheetml/2006/main" count="1308" uniqueCount="797">
  <si>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</si>
  <si>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</si>
  <si>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</si>
  <si>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</si>
  <si>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</si>
  <si>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</si>
  <si>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</si>
  <si>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</si>
  <si>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</si>
  <si>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</si>
  <si>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</si>
  <si>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</si>
  <si>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</si>
  <si>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</si>
  <si>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</si>
  <si>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</si>
  <si>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</si>
  <si>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</si>
  <si>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</si>
  <si>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</si>
  <si>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</si>
  <si>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</si>
  <si>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</si>
  <si>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</si>
  <si>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</si>
  <si>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</si>
  <si>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</si>
  <si>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</si>
  <si>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</si>
  <si>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</si>
  <si>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</si>
  <si>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</si>
  <si>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</si>
  <si>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</si>
  <si>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</si>
  <si>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</si>
  <si>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</si>
  <si>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</si>
  <si>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</si>
  <si>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</si>
  <si>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</si>
  <si>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</si>
  <si>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</si>
  <si>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</si>
  <si>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</si>
  <si>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</si>
  <si>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</si>
  <si>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</si>
  <si>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</si>
  <si>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</si>
  <si>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</si>
  <si>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</si>
  <si>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</si>
  <si>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</si>
  <si>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</si>
  <si>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</si>
  <si>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</si>
  <si>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</si>
  <si>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</si>
  <si>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</si>
  <si>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</si>
  <si>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</si>
  <si>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</si>
  <si>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</si>
  <si>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</si>
  <si>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</si>
  <si>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</si>
  <si>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</si>
  <si>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</si>
  <si>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</si>
  <si>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</si>
  <si>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</si>
  <si>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</si>
  <si>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</si>
  <si>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</si>
  <si>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</si>
  <si>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</si>
  <si>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</si>
  <si>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</si>
  <si>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</si>
  <si>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</si>
  <si>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</si>
  <si>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</si>
  <si>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</si>
  <si>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</si>
  <si>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</si>
  <si>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</si>
  <si>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</si>
  <si>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</si>
  <si>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</si>
  <si>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</si>
  <si>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</si>
  <si>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</si>
  <si>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</si>
  <si>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</si>
  <si>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</si>
  <si>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</si>
  <si>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</si>
  <si>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</si>
  <si>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</si>
  <si>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</si>
  <si>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</si>
  <si>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</si>
  <si>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</si>
  <si>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</si>
  <si>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</si>
  <si>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</si>
  <si>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</si>
  <si>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</si>
  <si>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</si>
  <si>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</si>
  <si>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</si>
  <si>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</si>
  <si>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</si>
  <si>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</si>
  <si>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</si>
  <si>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</si>
  <si>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</si>
  <si>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</si>
  <si>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</si>
  <si>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</si>
  <si>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</si>
  <si>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</si>
  <si>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</si>
  <si>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</si>
  <si>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</si>
  <si>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</si>
  <si>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</si>
  <si>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</si>
  <si>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</si>
  <si>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</si>
  <si>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</si>
  <si>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</si>
  <si>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</si>
  <si>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</si>
  <si>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</si>
  <si>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</si>
  <si>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</si>
  <si>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</si>
  <si>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</si>
  <si>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</si>
  <si>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</si>
  <si>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</si>
  <si>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</si>
  <si>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</si>
  <si>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</si>
  <si>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</si>
  <si>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</si>
  <si>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</si>
  <si>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</si>
  <si>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</si>
  <si>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</si>
  <si>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</si>
  <si>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</si>
  <si>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</si>
  <si>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</si>
  <si>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</si>
  <si>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</si>
  <si>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</si>
  <si>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</si>
  <si>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</si>
  <si>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</si>
  <si>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</si>
  <si>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</si>
  <si>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</si>
  <si>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</si>
  <si>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</si>
  <si>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</si>
  <si>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</si>
  <si>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</si>
  <si>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</si>
  <si>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</si>
  <si>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</si>
  <si>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</si>
  <si>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</si>
  <si>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</si>
  <si>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</si>
  <si>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</si>
  <si>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</si>
  <si>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</si>
  <si>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</si>
  <si>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</si>
  <si>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</si>
  <si>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</si>
  <si>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</si>
  <si>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</si>
  <si>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</si>
  <si>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</si>
  <si>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</si>
  <si>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</si>
  <si>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</si>
  <si>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</si>
  <si>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</si>
  <si>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</si>
  <si>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</si>
  <si>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</si>
  <si>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</si>
  <si>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</si>
  <si>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</si>
  <si>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</si>
  <si>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</si>
  <si>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</si>
  <si>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</si>
  <si>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</si>
  <si>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</si>
  <si>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</si>
  <si>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</si>
  <si>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</si>
  <si>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</si>
  <si>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</si>
  <si>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</si>
  <si>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</si>
  <si>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</si>
  <si>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</si>
  <si>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</si>
  <si>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</si>
  <si>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</si>
  <si>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</si>
  <si>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</si>
  <si>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</si>
  <si>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</si>
  <si>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</si>
  <si>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</si>
  <si>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</si>
  <si>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</si>
  <si>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</si>
  <si>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</si>
  <si>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</si>
  <si>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</si>
  <si>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</si>
  <si>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</si>
  <si>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</si>
  <si>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</si>
  <si>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</si>
  <si>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</si>
  <si>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</si>
  <si>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</si>
  <si>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</si>
  <si>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</si>
  <si>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</si>
  <si>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</si>
  <si>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</si>
  <si>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</si>
  <si>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</si>
  <si>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</si>
  <si>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</si>
  <si>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</si>
  <si>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</si>
  <si>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</si>
  <si>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</si>
  <si>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</si>
  <si>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</si>
  <si>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</si>
  <si>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</si>
  <si>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</si>
  <si>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</si>
  <si>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</si>
  <si>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</si>
  <si>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</si>
  <si>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</si>
  <si>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</si>
  <si>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</si>
  <si>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</si>
  <si>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</si>
  <si>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</si>
  <si>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</si>
  <si>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</si>
  <si>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</si>
  <si>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</si>
  <si>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</si>
  <si>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</si>
  <si>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</si>
  <si>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</si>
  <si>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</si>
  <si>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</si>
  <si>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</si>
  <si>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</si>
  <si>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</si>
  <si>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</si>
  <si>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</si>
  <si>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</si>
  <si>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</si>
  <si>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</si>
  <si>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</si>
  <si>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</si>
  <si>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</si>
  <si>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</si>
  <si>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</si>
  <si>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</si>
  <si>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</si>
  <si>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</si>
  <si>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</si>
  <si>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</si>
  <si>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</si>
  <si>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</si>
  <si>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</si>
  <si>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</si>
  <si>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</si>
  <si>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</si>
  <si>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</si>
  <si>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</si>
  <si>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</si>
  <si>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</si>
  <si>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</si>
  <si>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</si>
  <si>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</si>
  <si>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</si>
  <si>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</si>
  <si>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</si>
  <si>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</si>
  <si>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</si>
  <si>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</si>
  <si>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</si>
  <si>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</si>
  <si>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</si>
  <si>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</si>
  <si>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</si>
  <si>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</si>
  <si>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</si>
  <si>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</si>
  <si>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</si>
  <si>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</si>
  <si>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</si>
  <si>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</si>
  <si>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</si>
  <si>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</si>
  <si>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</si>
  <si>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</si>
  <si>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</si>
  <si>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</si>
  <si>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</si>
  <si>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</si>
  <si>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</si>
  <si>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</si>
  <si>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</si>
  <si>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</si>
  <si>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</si>
  <si>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</si>
  <si>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</si>
  <si>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</si>
  <si>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</si>
  <si>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</si>
  <si>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</si>
  <si>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</si>
  <si>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</si>
  <si>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</si>
  <si>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</si>
  <si>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</si>
  <si>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</si>
  <si>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</si>
  <si>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</si>
  <si>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</si>
  <si>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</si>
  <si>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</si>
  <si>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</si>
  <si>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</si>
  <si>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</si>
  <si>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</si>
  <si>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</si>
  <si>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</si>
  <si>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</si>
  <si>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</si>
  <si>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</si>
  <si>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</si>
  <si>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</si>
  <si>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</si>
  <si>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</si>
  <si>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</si>
  <si>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</si>
  <si>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</si>
  <si>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</si>
  <si>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</si>
  <si>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</si>
  <si>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政治课</t>
  </si>
  <si>
    <t>刘老师巡课</t>
  </si>
  <si>
    <t>啧</t>
  </si>
  <si>
    <t>敲</t>
  </si>
  <si>
    <t>巡课</t>
  </si>
  <si>
    <t>26.1.8</t>
  </si>
  <si>
    <t>下3物</t>
  </si>
  <si>
    <t>26.1.13</t>
  </si>
  <si>
    <t>下1数</t>
  </si>
  <si>
    <t>26.1.16</t>
  </si>
  <si>
    <t>上1数</t>
  </si>
  <si>
    <t>26.1.23</t>
  </si>
  <si>
    <t>上3政（课前）</t>
  </si>
  <si>
    <t>下1语文</t>
  </si>
  <si>
    <t>26.3.13</t>
  </si>
  <si>
    <t>下2语文</t>
  </si>
  <si>
    <t>26.3.18</t>
  </si>
  <si>
    <t>上3政治</t>
  </si>
  <si>
    <t>26.3.19</t>
  </si>
  <si>
    <t>下2地理</t>
  </si>
  <si>
    <t>26.3.20</t>
  </si>
  <si>
    <t>上4政治</t>
  </si>
  <si>
    <t>下午第二节语文</t>
  </si>
  <si>
    <t>26.3.23</t>
  </si>
  <si>
    <t>下午第一节物理</t>
  </si>
  <si>
    <t>2026.3.20</t>
  </si>
  <si>
    <t>26.3.25</t>
  </si>
  <si>
    <t>上午第三节政治</t>
  </si>
  <si>
    <t>2026.3.25</t>
  </si>
  <si>
    <t>26.3.26</t>
  </si>
  <si>
    <t>上午第四节语文</t>
  </si>
  <si>
    <t>2026.3.27</t>
  </si>
  <si>
    <t>26.3.27</t>
  </si>
  <si>
    <t>26.3.30</t>
  </si>
  <si>
    <t>26.3.31</t>
  </si>
  <si>
    <t>下午第一节地理</t>
  </si>
  <si>
    <t>26.4.2</t>
  </si>
  <si>
    <t>中午物理</t>
  </si>
  <si>
    <t>下午第三节音乐(背生物)</t>
  </si>
  <si>
    <t>26.4.8</t>
  </si>
  <si>
    <t>26.4.10</t>
  </si>
  <si>
    <t>26.4.13</t>
  </si>
  <si>
    <t>上午第二节数学</t>
  </si>
  <si>
    <t>26.4.14</t>
  </si>
  <si>
    <t>中午语文</t>
  </si>
  <si>
    <t>26.4.15</t>
  </si>
  <si>
    <t>26.4.17</t>
  </si>
  <si>
    <t>上午第三节生物</t>
  </si>
  <si>
    <t>上午第四节政治</t>
  </si>
  <si>
    <t>26.4.20</t>
  </si>
  <si>
    <t>中午物理（复习）</t>
  </si>
  <si>
    <t>26.4.23</t>
  </si>
  <si>
    <t>上午第三节数学</t>
  </si>
  <si>
    <t>下午第二节地理</t>
  </si>
  <si>
    <t>26.4.27</t>
  </si>
  <si>
    <t>26.4.29</t>
  </si>
  <si>
    <t>下2生</t>
  </si>
  <si>
    <t>26.4.30</t>
  </si>
  <si>
    <t>上4数</t>
  </si>
  <si>
    <t>26.5.8</t>
  </si>
  <si>
    <t>上4政</t>
  </si>
  <si>
    <t>26.5.9</t>
  </si>
  <si>
    <t>26.5.18</t>
  </si>
  <si>
    <t>上4生</t>
  </si>
  <si>
    <t>26.5.19</t>
  </si>
  <si>
    <t>26.5.20</t>
  </si>
  <si>
    <t>上3政</t>
  </si>
  <si>
    <t>座号</t>
  </si>
  <si>
    <t>25 12</t>
  </si>
  <si>
    <t>26 01</t>
  </si>
  <si>
    <t>26 02</t>
  </si>
  <si>
    <t>26 03</t>
  </si>
  <si>
    <t>26 04</t>
  </si>
  <si>
    <t>26 05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</si>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</sst>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1"/>
      <name val="华文仿宋"/>
      <charset val="134"/>
    </font>
    <font>
      <strike/>
      <sz val="11"/>
      <name val="黑体"/>
      <charset val="134"/>
    </font>
    <font>
      <sz val="10"/>
      <name val="Times New Roman"/>
      <charset val="134"/>
    </font>
    <font>
      <sz val="11"/>
      <name val="黑体"/>
      <charset val="134"/>
      <scheme val="maj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20" fillId="10" borderId="0" xfId="0" applyFont="1" applyFill="1" applyAlignment="1">
      <alignment horizontal="center" vertical="center"/>
    </xf>
    <xf numFmtId="0" fontId="20" fillId="6" borderId="14" xfId="0" applyFont="1" applyFill="1" applyBorder="1" applyAlignment="1">
      <alignment horizontal="center" vertical="center"/>
    </xf>
    <xf numFmtId="0" fontId="20" fillId="16" borderId="14" xfId="0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 wrapText="1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7" workbookViewId="0">
      <selection activeCell="F6" sqref="F6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</row>
    <row r="28" ht="91" spans="1:8">
      <c r="A28" s="234" t="s">
        <v>73</v>
      </c>
      <c r="B28" s="228" t="s">
        <v>74</v>
      </c>
      <c r="C28" s="228" t="s">
        <v>75</v>
      </c>
      <c r="D28" s="228" t="s">
        <v>76</v>
      </c>
      <c r="E28" s="228" t="s">
        <v>77</v>
      </c>
    </row>
    <row r="29" spans="1:8">
      <c r="A29" s="234" t="s">
        <v>78</v>
      </c>
      <c r="E29" s="228" t="s">
        <v>79</v>
      </c>
      <c r="H29" s="229" t="s">
        <v>80</v>
      </c>
    </row>
    <row r="30" spans="1:8">
      <c r="A30" s="234" t="s">
        <v>81</v>
      </c>
      <c r="B30" s="228" t="s">
        <v>82</v>
      </c>
      <c r="C30" s="228" t="s">
        <v>83</v>
      </c>
    </row>
    <row r="31" spans="1:8">
      <c r="A31" s="234" t="s">
        <v>84</v>
      </c>
    </row>
    <row r="32" spans="1:8">
      <c r="A32" s="234" t="s">
        <v>85</v>
      </c>
    </row>
    <row r="33" spans="1:10">
      <c r="A33" s="234" t="s">
        <v>86</v>
      </c>
    </row>
    <row r="34" spans="1:10">
      <c r="A34" s="234" t="s">
        <v>87</v>
      </c>
    </row>
    <row r="35" spans="1:10">
      <c r="A35" s="234" t="s">
        <v>88</v>
      </c>
    </row>
    <row r="36" spans="1:10">
      <c r="A36" s="234" t="s">
        <v>89</v>
      </c>
      <c r="B36" s="228" t="s">
        <v>90</v>
      </c>
    </row>
    <row r="37" ht="26" spans="1:10">
      <c r="A37" s="234" t="s">
        <v>91</v>
      </c>
      <c r="C37" s="228" t="s">
        <v>92</v>
      </c>
      <c r="D37" s="228" t="s">
        <v>93</v>
      </c>
    </row>
    <row r="38" spans="1:10">
      <c r="A38" s="234" t="s">
        <v>94</v>
      </c>
      <c r="B38" s="228" t="s">
        <v>95</v>
      </c>
      <c r="C38" s="235"/>
      <c r="D38" s="235"/>
      <c r="E38" s="235"/>
      <c r="F38" s="235"/>
      <c r="G38" s="235"/>
    </row>
    <row r="39" ht="26" spans="1:10">
      <c r="A39" s="234" t="s">
        <v>96</v>
      </c>
      <c r="C39" s="228" t="s">
        <v>97</v>
      </c>
      <c r="D39" s="228" t="s">
        <v>98</v>
      </c>
      <c r="E39" s="228" t="s">
        <v>99</v>
      </c>
    </row>
    <row r="40" ht="252" spans="1:10">
      <c r="A40" s="234" t="s">
        <v>100</v>
      </c>
      <c r="B40" s="228" t="s">
        <v>101</v>
      </c>
      <c r="C40" s="228" t="s">
        <v>102</v>
      </c>
      <c r="D40" s="228" t="s">
        <v>103</v>
      </c>
      <c r="F40" s="228" t="s">
        <v>104</v>
      </c>
      <c r="H40" s="229" t="s">
        <v>105</v>
      </c>
    </row>
    <row r="41" ht="208" spans="1:10">
      <c r="A41" s="234" t="s">
        <v>106</v>
      </c>
      <c r="C41" s="228" t="s">
        <v>107</v>
      </c>
      <c r="D41" s="228" t="s">
        <v>108</v>
      </c>
      <c r="E41" s="228" t="s">
        <v>109</v>
      </c>
      <c r="H41" s="229" t="s">
        <v>110</v>
      </c>
      <c r="I41" s="229" t="s">
        <v>111</v>
      </c>
      <c r="J41" s="229" t="s">
        <v>112</v>
      </c>
    </row>
    <row r="42" spans="1:10">
      <c r="A42" s="234" t="s">
        <v>113</v>
      </c>
    </row>
    <row r="43" ht="28" spans="1:10">
      <c r="A43" s="234" t="s">
        <v>114</v>
      </c>
      <c r="B43" s="228" t="s">
        <v>115</v>
      </c>
      <c r="H43" s="229" t="s">
        <v>116</v>
      </c>
    </row>
    <row r="44" ht="26" spans="1:10">
      <c r="A44" s="234" t="s">
        <v>117</v>
      </c>
      <c r="B44" s="228" t="s">
        <v>118</v>
      </c>
    </row>
    <row r="45" ht="26" spans="1:10">
      <c r="A45" s="234" t="s">
        <v>119</v>
      </c>
      <c r="C45" s="228" t="s">
        <v>120</v>
      </c>
      <c r="D45" s="228" t="s">
        <v>121</v>
      </c>
      <c r="E45" s="228" t="s">
        <v>122</v>
      </c>
    </row>
    <row r="46" spans="1:10">
      <c r="A46" s="234" t="s">
        <v>123</v>
      </c>
    </row>
    <row r="47" spans="1:10">
      <c r="A47" s="234" t="s">
        <v>124</v>
      </c>
      <c r="D47" s="228" t="s">
        <v>125</v>
      </c>
    </row>
    <row r="48" ht="42" spans="1:10">
      <c r="A48" s="234" t="s">
        <v>126</v>
      </c>
      <c r="C48" s="228" t="s">
        <v>127</v>
      </c>
      <c r="D48" s="228" t="s">
        <v>128</v>
      </c>
      <c r="H48" s="229" t="s">
        <v>129</v>
      </c>
    </row>
    <row r="49" spans="1:8">
      <c r="A49" s="234" t="s">
        <v>130</v>
      </c>
      <c r="E49" s="228" t="s">
        <v>131</v>
      </c>
    </row>
    <row r="50" ht="78" spans="1:8">
      <c r="A50" s="234" t="s">
        <v>132</v>
      </c>
      <c r="C50" s="228" t="s">
        <v>133</v>
      </c>
    </row>
    <row r="51" spans="1:8">
      <c r="A51" s="234" t="s">
        <v>134</v>
      </c>
    </row>
    <row r="52" ht="26" spans="1:8">
      <c r="A52" s="234" t="s">
        <v>135</v>
      </c>
      <c r="B52" s="228" t="s">
        <v>136</v>
      </c>
      <c r="C52" s="228" t="s">
        <v>137</v>
      </c>
      <c r="E52" s="228" t="s">
        <v>138</v>
      </c>
    </row>
    <row r="53" ht="26" spans="1:8">
      <c r="A53" s="227" t="s">
        <v>139</v>
      </c>
      <c r="B53" s="228" t="s">
        <v>140</v>
      </c>
      <c r="D53" s="235"/>
      <c r="E53" s="235"/>
      <c r="F53" s="235"/>
      <c r="G53" s="235"/>
    </row>
    <row r="54" spans="1:8">
      <c r="A54" s="227" t="s">
        <v>141</v>
      </c>
      <c r="B54" s="228" t="s">
        <v>142</v>
      </c>
      <c r="C54" s="228" t="s">
        <v>143</v>
      </c>
      <c r="D54" s="235"/>
      <c r="E54" s="235"/>
      <c r="F54" s="235"/>
      <c r="G54" s="235"/>
    </row>
    <row r="55" ht="65" spans="1:8">
      <c r="A55" s="227" t="s">
        <v>144</v>
      </c>
      <c r="B55" s="235"/>
      <c r="C55" s="235"/>
      <c r="D55" s="228" t="s">
        <v>145</v>
      </c>
      <c r="E55" s="228" t="s">
        <v>146</v>
      </c>
    </row>
    <row r="56" ht="65" spans="1:8">
      <c r="A56" s="227" t="s">
        <v>147</v>
      </c>
      <c r="B56" s="236" t="s">
        <v>148</v>
      </c>
      <c r="C56" s="236"/>
      <c r="D56" s="228" t="s">
        <v>149</v>
      </c>
      <c r="H56" s="229" t="s">
        <v>150</v>
      </c>
    </row>
    <row r="57" ht="117" spans="1:8">
      <c r="A57" s="227" t="s">
        <v>151</v>
      </c>
      <c r="B57" s="236" t="s">
        <v>152</v>
      </c>
      <c r="C57" s="236" t="s">
        <v>153</v>
      </c>
      <c r="D57" s="228" t="s">
        <v>154</v>
      </c>
    </row>
    <row r="58" spans="1:8">
      <c r="A58" s="227" t="s">
        <v>155</v>
      </c>
      <c r="B58" s="228" t="s">
        <v>156</v>
      </c>
      <c r="C58" s="235"/>
      <c r="D58" s="235"/>
      <c r="E58" s="235"/>
      <c r="F58" s="235"/>
      <c r="G58" s="235"/>
    </row>
    <row r="59" spans="1:8">
      <c r="A59" s="227" t="s">
        <v>157</v>
      </c>
      <c r="B59" s="235"/>
      <c r="C59" s="228" t="s">
        <v>158</v>
      </c>
      <c r="D59" s="235"/>
      <c r="E59" s="235"/>
      <c r="F59" s="235"/>
      <c r="G59" s="235"/>
    </row>
    <row r="60" ht="52" spans="1:8">
      <c r="A60" s="227" t="s">
        <v>159</v>
      </c>
      <c r="B60" s="235" t="s">
        <v>160</v>
      </c>
      <c r="C60" s="235"/>
      <c r="D60" s="228" t="s">
        <v>161</v>
      </c>
    </row>
    <row r="61" spans="1:8">
      <c r="A61" s="227" t="s">
        <v>162</v>
      </c>
      <c r="B61" s="236" t="s">
        <v>163</v>
      </c>
      <c r="C61" s="236"/>
      <c r="D61" s="235"/>
      <c r="E61" s="235"/>
      <c r="F61" s="235"/>
      <c r="G61" s="235"/>
    </row>
    <row r="62" ht="52" spans="1:8">
      <c r="A62" s="227" t="s">
        <v>164</v>
      </c>
      <c r="B62" s="235"/>
      <c r="C62" s="235"/>
      <c r="D62" s="228" t="s">
        <v>165</v>
      </c>
      <c r="E62" s="228" t="s">
        <v>166</v>
      </c>
    </row>
    <row r="63" ht="26" spans="1:8">
      <c r="A63" s="227" t="s">
        <v>167</v>
      </c>
      <c r="B63" s="236" t="s">
        <v>168</v>
      </c>
      <c r="C63" s="236" t="s">
        <v>169</v>
      </c>
      <c r="D63" s="235"/>
      <c r="E63" s="235"/>
      <c r="F63" s="235"/>
      <c r="G63" s="235"/>
    </row>
    <row r="64" ht="26" spans="1:8">
      <c r="A64" s="227" t="s">
        <v>170</v>
      </c>
      <c r="B64" s="235"/>
      <c r="C64" s="235"/>
      <c r="D64" s="228" t="s">
        <v>171</v>
      </c>
      <c r="E64" s="228" t="s">
        <v>172</v>
      </c>
    </row>
    <row r="65" ht="26" spans="1:7">
      <c r="A65" s="227" t="s">
        <v>173</v>
      </c>
      <c r="B65" s="237" t="s">
        <v>174</v>
      </c>
      <c r="C65" s="235"/>
      <c r="D65" s="235"/>
      <c r="E65" s="235"/>
      <c r="F65" s="235"/>
      <c r="G65" s="235"/>
    </row>
    <row r="66" spans="1:7">
      <c r="A66" s="227" t="s">
        <v>175</v>
      </c>
      <c r="B66" s="235"/>
      <c r="C66" s="228" t="s">
        <v>176</v>
      </c>
      <c r="D66" s="235"/>
      <c r="E66" s="235"/>
      <c r="F66" s="235"/>
      <c r="G66" s="235"/>
    </row>
    <row r="67" spans="1:7">
      <c r="A67" s="227" t="s">
        <v>177</v>
      </c>
      <c r="B67" s="235"/>
      <c r="C67" s="235"/>
    </row>
    <row r="68" ht="78" spans="1:7">
      <c r="A68" s="227" t="s">
        <v>178</v>
      </c>
      <c r="B68" s="235"/>
      <c r="C68" s="235"/>
      <c r="D68" s="228" t="s">
        <v>179</v>
      </c>
    </row>
    <row r="69" spans="1:7">
      <c r="A69" s="227" t="s">
        <v>180</v>
      </c>
      <c r="B69" s="236" t="s">
        <v>181</v>
      </c>
      <c r="C69" s="236"/>
    </row>
    <row r="70" ht="26" spans="1:7">
      <c r="A70" s="227" t="s">
        <v>182</v>
      </c>
      <c r="B70" s="236" t="s">
        <v>183</v>
      </c>
      <c r="C70" s="236"/>
      <c r="D70" s="235"/>
      <c r="E70" s="235"/>
      <c r="F70" s="235"/>
      <c r="G70" s="235"/>
    </row>
    <row r="71" spans="1:7">
      <c r="A71" s="227" t="s">
        <v>184</v>
      </c>
      <c r="B71" s="235"/>
      <c r="C71" s="235"/>
    </row>
    <row r="72" spans="1:7">
      <c r="A72" s="227" t="s">
        <v>185</v>
      </c>
      <c r="B72" s="228" t="s">
        <v>186</v>
      </c>
      <c r="C72" s="228" t="s">
        <v>187</v>
      </c>
      <c r="D72" s="235"/>
      <c r="E72" s="235"/>
      <c r="F72" s="235"/>
      <c r="G72" s="235"/>
    </row>
    <row r="73" spans="1:7">
      <c r="A73" s="227" t="s">
        <v>188</v>
      </c>
      <c r="B73" s="235"/>
      <c r="C73" s="228" t="s">
        <v>189</v>
      </c>
      <c r="D73" s="235"/>
      <c r="E73" s="235"/>
      <c r="F73" s="235"/>
      <c r="G73" s="235"/>
    </row>
    <row r="74" spans="1:7">
      <c r="A74" s="227" t="s">
        <v>190</v>
      </c>
    </row>
    <row r="75" spans="1:7">
      <c r="A75" s="227" t="s">
        <v>191</v>
      </c>
      <c r="D75" s="235"/>
      <c r="E75" s="235"/>
      <c r="F75" s="235"/>
      <c r="G75" s="235"/>
    </row>
    <row r="76" spans="1:7">
      <c r="A76" s="227" t="s">
        <v>192</v>
      </c>
      <c r="B76" s="235"/>
      <c r="C76" s="235"/>
      <c r="D76" s="228" t="s">
        <v>193</v>
      </c>
    </row>
    <row r="77" spans="1:7">
      <c r="A77" s="227" t="s">
        <v>194</v>
      </c>
      <c r="B77" s="236"/>
      <c r="C77" s="236"/>
    </row>
    <row r="78" ht="26" spans="1:7">
      <c r="A78" s="238" t="s">
        <v>195</v>
      </c>
      <c r="B78" s="228" t="s">
        <v>196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66" customWidth="1"/>
    <col min="3" max="7" width="16.4909090909091" style="66" customWidth="1"/>
    <col min="8" max="16384" width="8.72727272727273" style="222"/>
  </cols>
  <sheetData>
    <row r="1" spans="1:7">
      <c r="A1" s="223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0" customFormat="1" ht="39" spans="1:7">
      <c r="A2" s="224" t="s">
        <v>197</v>
      </c>
      <c r="B2" s="78"/>
      <c r="C2" s="78"/>
      <c r="D2" s="78" t="s">
        <v>198</v>
      </c>
      <c r="E2" s="78"/>
      <c r="F2" s="78"/>
      <c r="G2" s="78"/>
    </row>
    <row r="3" spans="1:7">
      <c r="A3" s="225" t="s">
        <v>199</v>
      </c>
      <c r="C3" s="66" t="s">
        <v>200</v>
      </c>
    </row>
    <row r="4" spans="1:7">
      <c r="A4" s="225" t="s">
        <v>201</v>
      </c>
      <c r="B4" s="66" t="s">
        <v>202</v>
      </c>
      <c r="D4" s="66" t="s">
        <v>203</v>
      </c>
    </row>
    <row r="5" spans="1:7">
      <c r="A5" s="225" t="s">
        <v>204</v>
      </c>
      <c r="C5" s="66" t="s">
        <v>205</v>
      </c>
      <c r="D5" s="66" t="s">
        <v>206</v>
      </c>
    </row>
    <row r="6" spans="1:7">
      <c r="A6" s="225" t="s">
        <v>207</v>
      </c>
      <c r="B6" s="66" t="s">
        <v>208</v>
      </c>
      <c r="D6" s="66" t="s">
        <v>209</v>
      </c>
    </row>
    <row r="7" spans="1:7">
      <c r="A7" s="225" t="s">
        <v>210</v>
      </c>
      <c r="B7" s="66" t="s">
        <v>211</v>
      </c>
    </row>
    <row r="8" spans="1:7">
      <c r="A8" s="225"/>
      <c r="D8" s="66" t="s">
        <v>212</v>
      </c>
    </row>
    <row r="9" spans="1:7">
      <c r="A9" s="225"/>
    </row>
    <row r="10" spans="1:7">
      <c r="A10" s="225"/>
      <c r="B10" s="66" t="s">
        <v>213</v>
      </c>
    </row>
    <row r="11" spans="1:7">
      <c r="A11" s="225"/>
    </row>
    <row r="12" spans="1:7">
      <c r="A12" s="225"/>
      <c r="B12" s="66" t="s">
        <v>214</v>
      </c>
    </row>
    <row r="13" spans="1:7">
      <c r="A13" s="225"/>
      <c r="B13" s="66" t="s">
        <v>215</v>
      </c>
    </row>
    <row r="14" spans="1:7">
      <c r="A14" s="225"/>
      <c r="B14" s="66" t="s">
        <v>216</v>
      </c>
    </row>
    <row r="15" spans="1:7">
      <c r="A15" s="225"/>
      <c r="B15" s="66" t="s">
        <v>217</v>
      </c>
    </row>
    <row r="16" spans="1:7">
      <c r="A16" s="225"/>
      <c r="B16" s="66" t="s">
        <v>218</v>
      </c>
    </row>
    <row r="17" spans="1:2">
      <c r="A17" s="225"/>
      <c r="B17" s="66" t="s">
        <v>219</v>
      </c>
    </row>
    <row r="18" spans="1:2">
      <c r="A18" s="225"/>
      <c r="B18" s="66" t="s">
        <v>220</v>
      </c>
    </row>
    <row r="19" ht="26" spans="1:2">
      <c r="A19" s="225"/>
      <c r="B19" s="78" t="s">
        <v>221</v>
      </c>
    </row>
    <row r="20" spans="1:2">
      <c r="A20" s="225"/>
      <c r="B20" s="66" t="s">
        <v>222</v>
      </c>
    </row>
    <row r="21" spans="1:2">
      <c r="A21" s="225"/>
      <c r="B21" s="66" t="s">
        <v>223</v>
      </c>
    </row>
    <row r="22" spans="1:2">
      <c r="A22" s="225"/>
      <c r="B22" s="66" t="s">
        <v>224</v>
      </c>
    </row>
    <row r="23" spans="1:2">
      <c r="A23" s="225"/>
      <c r="B23" s="66" t="s">
        <v>225</v>
      </c>
    </row>
    <row r="24" spans="1:2">
      <c r="A24" s="225"/>
      <c r="B24" s="66" t="s">
        <v>226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78"/>
      <c r="C38" s="78"/>
      <c r="D38" s="78"/>
      <c r="E38" s="78"/>
      <c r="F38" s="78"/>
      <c r="G38" s="78"/>
    </row>
    <row r="39" spans="1:7">
      <c r="A39" s="225"/>
      <c r="B39" s="78"/>
      <c r="C39" s="78"/>
      <c r="D39" s="78"/>
      <c r="E39" s="78"/>
      <c r="F39" s="78"/>
      <c r="G39" s="7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8"/>
  <sheetViews>
    <sheetView workbookViewId="0">
      <pane ySplit="1" topLeftCell="A66" activePane="bottomLeft" state="frozen"/>
      <selection/>
      <selection pane="bottomLeft" activeCell="C77" sqref="C77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92"/>
  </cols>
  <sheetData>
    <row r="1" s="210" customFormat="1" ht="15" spans="1:3">
      <c r="A1" s="212" t="s">
        <v>227</v>
      </c>
      <c r="B1" s="212" t="s">
        <v>228</v>
      </c>
      <c r="C1" s="212" t="s">
        <v>229</v>
      </c>
    </row>
    <row r="2" spans="1:3">
      <c r="A2" s="213" t="s">
        <v>230</v>
      </c>
      <c r="B2" s="213" t="s">
        <v>231</v>
      </c>
      <c r="C2" s="213" t="s">
        <v>232</v>
      </c>
    </row>
    <row r="3" spans="1:3">
      <c r="A3" s="213" t="s">
        <v>233</v>
      </c>
      <c r="B3" s="213" t="s">
        <v>234</v>
      </c>
      <c r="C3" s="213" t="s">
        <v>235</v>
      </c>
    </row>
    <row r="4" spans="1:3">
      <c r="A4" s="213" t="s">
        <v>236</v>
      </c>
      <c r="B4" s="213" t="s">
        <v>234</v>
      </c>
      <c r="C4" s="213" t="s">
        <v>237</v>
      </c>
    </row>
    <row r="5" ht="56" spans="1:3">
      <c r="A5" s="214" t="s">
        <v>238</v>
      </c>
      <c r="B5" s="213" t="s">
        <v>239</v>
      </c>
      <c r="C5" s="213" t="s">
        <v>240</v>
      </c>
    </row>
    <row r="6" ht="28" spans="1:3">
      <c r="A6" s="215"/>
      <c r="B6" s="213" t="s">
        <v>241</v>
      </c>
      <c r="C6" s="213" t="s">
        <v>242</v>
      </c>
    </row>
    <row r="7" spans="1:3">
      <c r="A7" s="216" t="s">
        <v>106</v>
      </c>
      <c r="B7" s="213" t="s">
        <v>243</v>
      </c>
      <c r="C7" s="213" t="s">
        <v>244</v>
      </c>
    </row>
    <row r="8" ht="140" spans="1:3">
      <c r="A8" s="216"/>
      <c r="B8" s="213" t="s">
        <v>245</v>
      </c>
      <c r="C8" s="213" t="s">
        <v>246</v>
      </c>
    </row>
    <row r="9" spans="1:3">
      <c r="A9" s="216"/>
      <c r="B9" s="213" t="s">
        <v>247</v>
      </c>
      <c r="C9" s="213" t="s">
        <v>248</v>
      </c>
    </row>
    <row r="10" spans="1:3">
      <c r="A10" s="216"/>
      <c r="B10" s="213" t="s">
        <v>249</v>
      </c>
      <c r="C10" s="213" t="s">
        <v>250</v>
      </c>
    </row>
    <row r="11" spans="1:3">
      <c r="A11" s="216"/>
      <c r="B11" s="213"/>
      <c r="C11" s="213"/>
    </row>
    <row r="12" spans="1:3">
      <c r="A12" s="216"/>
      <c r="B12" s="213"/>
      <c r="C12" s="213"/>
    </row>
    <row r="13" spans="1:3">
      <c r="A13" s="216"/>
      <c r="B13" s="213"/>
      <c r="C13" s="213"/>
    </row>
    <row r="14" spans="1:3">
      <c r="A14" s="217"/>
      <c r="B14" s="213"/>
      <c r="C14" s="213"/>
    </row>
    <row r="15" spans="1:3">
      <c r="A15" s="213" t="s">
        <v>251</v>
      </c>
      <c r="B15" s="213" t="s">
        <v>252</v>
      </c>
      <c r="C15" s="213" t="s">
        <v>253</v>
      </c>
    </row>
    <row r="16" spans="1:3">
      <c r="A16" s="213" t="s">
        <v>254</v>
      </c>
      <c r="B16" s="213" t="s">
        <v>255</v>
      </c>
      <c r="C16" s="213" t="s">
        <v>256</v>
      </c>
    </row>
    <row r="17" spans="1:3">
      <c r="A17" s="213" t="s">
        <v>257</v>
      </c>
      <c r="B17" s="213" t="s">
        <v>258</v>
      </c>
      <c r="C17" s="218">
        <v>0.440972222222222</v>
      </c>
    </row>
    <row r="18" spans="1:3">
      <c r="A18" s="219" t="s">
        <v>73</v>
      </c>
      <c r="B18" s="213" t="s">
        <v>259</v>
      </c>
      <c r="C18" s="213" t="s">
        <v>260</v>
      </c>
    </row>
    <row r="19" spans="1:3">
      <c r="A19" s="216"/>
      <c r="B19" s="213" t="s">
        <v>261</v>
      </c>
      <c r="C19" s="213" t="s">
        <v>262</v>
      </c>
    </row>
    <row r="20" ht="56" spans="1:3">
      <c r="A20" s="216"/>
      <c r="B20" s="213" t="s">
        <v>263</v>
      </c>
      <c r="C20" s="213" t="s">
        <v>264</v>
      </c>
    </row>
    <row r="21" spans="1:3">
      <c r="A21" s="216"/>
      <c r="B21" s="213" t="s">
        <v>265</v>
      </c>
      <c r="C21" s="213" t="s">
        <v>266</v>
      </c>
    </row>
    <row r="22" ht="28" spans="1:3">
      <c r="A22" s="216"/>
      <c r="B22" s="213" t="s">
        <v>267</v>
      </c>
      <c r="C22" s="213" t="s">
        <v>268</v>
      </c>
    </row>
    <row r="23" spans="1:3">
      <c r="A23" s="216"/>
      <c r="B23" s="213" t="s">
        <v>269</v>
      </c>
      <c r="C23" s="213" t="s">
        <v>270</v>
      </c>
    </row>
    <row r="24" spans="1:3">
      <c r="A24" s="216"/>
      <c r="B24" s="213" t="s">
        <v>271</v>
      </c>
      <c r="C24" s="213" t="s">
        <v>272</v>
      </c>
    </row>
    <row r="25" spans="1:3">
      <c r="A25" s="216"/>
      <c r="B25" s="213" t="s">
        <v>273</v>
      </c>
      <c r="C25" s="213" t="s">
        <v>274</v>
      </c>
    </row>
    <row r="26" spans="1:3">
      <c r="A26" s="216"/>
      <c r="B26" s="213" t="s">
        <v>271</v>
      </c>
      <c r="C26" s="213" t="s">
        <v>275</v>
      </c>
    </row>
    <row r="27" spans="1:3">
      <c r="A27" s="216"/>
      <c r="B27" s="213" t="s">
        <v>276</v>
      </c>
      <c r="C27" s="213" t="s">
        <v>277</v>
      </c>
    </row>
    <row r="28" spans="1:3">
      <c r="A28" s="216"/>
      <c r="B28" s="213" t="s">
        <v>278</v>
      </c>
      <c r="C28" s="213" t="s">
        <v>279</v>
      </c>
    </row>
    <row r="29" spans="1:3">
      <c r="A29" s="216"/>
      <c r="B29" s="213" t="s">
        <v>280</v>
      </c>
      <c r="C29" s="213" t="s">
        <v>281</v>
      </c>
    </row>
    <row r="30" spans="1:3">
      <c r="A30" s="216"/>
      <c r="B30" s="213" t="s">
        <v>280</v>
      </c>
      <c r="C30" s="213" t="s">
        <v>282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283</v>
      </c>
      <c r="B34" s="213" t="s">
        <v>261</v>
      </c>
      <c r="C34" s="213" t="s">
        <v>284</v>
      </c>
    </row>
    <row r="35" spans="1:3">
      <c r="A35" s="215"/>
      <c r="B35" s="213" t="s">
        <v>285</v>
      </c>
      <c r="C35" s="213" t="s">
        <v>286</v>
      </c>
    </row>
    <row r="36" ht="28" spans="1:3">
      <c r="A36" s="219" t="s">
        <v>287</v>
      </c>
      <c r="B36" s="213" t="s">
        <v>288</v>
      </c>
      <c r="C36" s="213" t="s">
        <v>289</v>
      </c>
    </row>
    <row r="37" spans="1:3">
      <c r="A37" s="216"/>
      <c r="B37" s="213" t="s">
        <v>245</v>
      </c>
      <c r="C37" s="213" t="s">
        <v>290</v>
      </c>
    </row>
    <row r="38" spans="1:3">
      <c r="A38" s="216"/>
      <c r="B38" s="213" t="s">
        <v>291</v>
      </c>
      <c r="C38" s="213" t="s">
        <v>292</v>
      </c>
    </row>
    <row r="39" spans="1:3">
      <c r="A39" s="216"/>
      <c r="B39" s="213"/>
      <c r="C39" s="213"/>
    </row>
    <row r="40" spans="1:3">
      <c r="A40" s="214" t="s">
        <v>293</v>
      </c>
      <c r="B40" s="213" t="s">
        <v>294</v>
      </c>
      <c r="C40" s="213" t="s">
        <v>295</v>
      </c>
    </row>
    <row r="41" spans="1:3">
      <c r="A41" s="215"/>
      <c r="B41" s="213" t="s">
        <v>243</v>
      </c>
      <c r="C41" s="213" t="s">
        <v>296</v>
      </c>
    </row>
    <row r="42" ht="28" spans="1:3">
      <c r="A42" s="219" t="s">
        <v>53</v>
      </c>
      <c r="B42" s="213" t="s">
        <v>243</v>
      </c>
      <c r="C42" s="213" t="s">
        <v>297</v>
      </c>
    </row>
    <row r="43" spans="1:3">
      <c r="A43" s="216"/>
      <c r="B43" s="211" t="s">
        <v>298</v>
      </c>
      <c r="C43" s="211" t="s">
        <v>299</v>
      </c>
    </row>
    <row r="44" spans="1:3">
      <c r="A44" s="216"/>
      <c r="B44" s="211" t="s">
        <v>265</v>
      </c>
      <c r="C44" s="211" t="s">
        <v>300</v>
      </c>
    </row>
    <row r="45" spans="1:3">
      <c r="A45" s="216"/>
      <c r="B45" s="211" t="s">
        <v>271</v>
      </c>
      <c r="C45" s="211" t="s">
        <v>301</v>
      </c>
    </row>
    <row r="46" ht="28" spans="1:3">
      <c r="A46" s="216"/>
      <c r="B46" s="211" t="s">
        <v>271</v>
      </c>
      <c r="C46" s="211" t="s">
        <v>302</v>
      </c>
    </row>
    <row r="47" spans="1:3">
      <c r="A47" s="216"/>
      <c r="B47" s="211" t="s">
        <v>303</v>
      </c>
      <c r="C47" s="211" t="s">
        <v>304</v>
      </c>
    </row>
    <row r="48" ht="98" spans="1:3">
      <c r="A48" s="219" t="s">
        <v>305</v>
      </c>
      <c r="B48" s="211" t="s">
        <v>243</v>
      </c>
      <c r="C48" s="211" t="s">
        <v>306</v>
      </c>
    </row>
    <row r="49" ht="84" spans="1:3">
      <c r="A49" s="216"/>
      <c r="B49" s="211" t="s">
        <v>307</v>
      </c>
      <c r="C49" s="211" t="s">
        <v>308</v>
      </c>
    </row>
    <row r="50" ht="28" spans="1:3">
      <c r="A50" s="217"/>
      <c r="B50" s="211" t="s">
        <v>309</v>
      </c>
      <c r="C50" s="211" t="s">
        <v>310</v>
      </c>
    </row>
    <row r="51" spans="1:3">
      <c r="A51" s="211" t="s">
        <v>43</v>
      </c>
      <c r="B51" s="211" t="s">
        <v>311</v>
      </c>
      <c r="C51" s="211" t="s">
        <v>312</v>
      </c>
    </row>
    <row r="52" spans="1:3">
      <c r="A52" s="219" t="s">
        <v>313</v>
      </c>
      <c r="B52" s="211" t="s">
        <v>245</v>
      </c>
      <c r="C52" s="211" t="s">
        <v>314</v>
      </c>
    </row>
    <row r="53" spans="1:3">
      <c r="A53" s="217"/>
      <c r="B53" s="211" t="s">
        <v>307</v>
      </c>
      <c r="C53" s="211" t="s">
        <v>315</v>
      </c>
    </row>
    <row r="54" spans="1:3">
      <c r="A54" s="211" t="s">
        <v>63</v>
      </c>
      <c r="B54" s="211" t="s">
        <v>247</v>
      </c>
      <c r="C54" s="211" t="s">
        <v>316</v>
      </c>
    </row>
    <row r="55" spans="1:3">
      <c r="A55" s="219" t="s">
        <v>317</v>
      </c>
      <c r="B55" s="211" t="s">
        <v>318</v>
      </c>
      <c r="C55" s="211" t="s">
        <v>319</v>
      </c>
    </row>
    <row r="56" spans="1:3">
      <c r="A56" s="217"/>
      <c r="B56" s="211" t="s">
        <v>271</v>
      </c>
      <c r="C56" s="211" t="s">
        <v>320</v>
      </c>
    </row>
    <row r="57" spans="1:3">
      <c r="A57" s="211" t="s">
        <v>321</v>
      </c>
      <c r="B57" s="211" t="s">
        <v>322</v>
      </c>
      <c r="C57" s="211" t="s">
        <v>323</v>
      </c>
    </row>
    <row r="58" spans="1:3">
      <c r="A58" s="211" t="s">
        <v>10</v>
      </c>
      <c r="B58" s="211" t="s">
        <v>307</v>
      </c>
      <c r="C58" s="211" t="s">
        <v>324</v>
      </c>
    </row>
    <row r="59" spans="1:3">
      <c r="A59" s="211" t="s">
        <v>325</v>
      </c>
      <c r="B59" s="211" t="s">
        <v>326</v>
      </c>
      <c r="C59" s="211" t="s">
        <v>327</v>
      </c>
    </row>
    <row r="60" spans="1:3">
      <c r="A60" s="211" t="s">
        <v>328</v>
      </c>
      <c r="B60" s="211" t="s">
        <v>329</v>
      </c>
      <c r="C60" s="211" t="s">
        <v>330</v>
      </c>
    </row>
    <row r="61" spans="1:3">
      <c r="A61" s="211" t="s">
        <v>331</v>
      </c>
      <c r="B61" s="211" t="s">
        <v>329</v>
      </c>
      <c r="C61" s="211" t="s">
        <v>332</v>
      </c>
    </row>
    <row r="62" spans="1:3">
      <c r="A62" s="211" t="s">
        <v>333</v>
      </c>
      <c r="B62" s="211" t="s">
        <v>267</v>
      </c>
      <c r="C62" s="211" t="s">
        <v>334</v>
      </c>
    </row>
    <row r="63" ht="28" spans="1:3">
      <c r="A63" s="211" t="s">
        <v>335</v>
      </c>
      <c r="B63" s="211" t="s">
        <v>309</v>
      </c>
      <c r="C63" s="211" t="s">
        <v>336</v>
      </c>
    </row>
    <row r="64" ht="28" spans="1:3">
      <c r="A64" s="219" t="s">
        <v>337</v>
      </c>
      <c r="B64" s="211" t="s">
        <v>309</v>
      </c>
      <c r="C64" s="211" t="s">
        <v>338</v>
      </c>
    </row>
    <row r="65" spans="1:3">
      <c r="A65" s="217"/>
      <c r="B65" s="211" t="s">
        <v>339</v>
      </c>
      <c r="C65" s="211" t="s">
        <v>340</v>
      </c>
    </row>
    <row r="66" ht="140" spans="1:3">
      <c r="A66" s="211" t="s">
        <v>341</v>
      </c>
      <c r="B66" s="211" t="s">
        <v>342</v>
      </c>
      <c r="C66" s="211" t="s">
        <v>343</v>
      </c>
    </row>
    <row r="67" spans="1:3">
      <c r="A67" s="211" t="s">
        <v>10</v>
      </c>
      <c r="B67" s="211" t="s">
        <v>269</v>
      </c>
      <c r="C67" s="211" t="s">
        <v>344</v>
      </c>
    </row>
    <row r="68" spans="1:3">
      <c r="A68" s="211" t="s">
        <v>345</v>
      </c>
      <c r="B68" s="211" t="s">
        <v>346</v>
      </c>
      <c r="C68" s="211" t="s">
        <v>347</v>
      </c>
    </row>
    <row r="69" spans="1:3">
      <c r="A69" s="211" t="s">
        <v>348</v>
      </c>
      <c r="B69" s="211" t="s">
        <v>349</v>
      </c>
      <c r="C69" s="211" t="s">
        <v>350</v>
      </c>
    </row>
    <row r="70" ht="70" spans="1:3">
      <c r="A70" s="211" t="s">
        <v>351</v>
      </c>
      <c r="B70" s="211" t="s">
        <v>352</v>
      </c>
      <c r="C70" s="211" t="s">
        <v>353</v>
      </c>
    </row>
    <row r="71" spans="1:3">
      <c r="A71" s="211" t="s">
        <v>354</v>
      </c>
      <c r="B71" s="211" t="s">
        <v>276</v>
      </c>
      <c r="C71" s="211" t="s">
        <v>355</v>
      </c>
    </row>
    <row r="72" ht="28" spans="1:3">
      <c r="A72" s="211" t="s">
        <v>47</v>
      </c>
      <c r="B72" s="211" t="s">
        <v>356</v>
      </c>
      <c r="C72" s="211" t="s">
        <v>357</v>
      </c>
    </row>
    <row r="73" spans="1:3">
      <c r="A73" s="211" t="s">
        <v>358</v>
      </c>
      <c r="B73" s="211" t="s">
        <v>359</v>
      </c>
      <c r="C73" s="211" t="s">
        <v>360</v>
      </c>
    </row>
    <row r="74" spans="1:3">
      <c r="A74" s="219" t="s">
        <v>361</v>
      </c>
      <c r="B74" s="211" t="s">
        <v>362</v>
      </c>
      <c r="C74" s="211" t="s">
        <v>363</v>
      </c>
    </row>
    <row r="75" spans="1:3">
      <c r="A75" s="217"/>
      <c r="B75" s="211" t="s">
        <v>359</v>
      </c>
      <c r="C75" s="211" t="s">
        <v>364</v>
      </c>
    </row>
    <row r="76" spans="1:3">
      <c r="A76" s="219" t="s">
        <v>365</v>
      </c>
      <c r="B76" s="211" t="s">
        <v>366</v>
      </c>
      <c r="C76" s="211" t="s">
        <v>367</v>
      </c>
    </row>
    <row r="77" spans="1:3">
      <c r="A77" s="217"/>
      <c r="B77" s="211" t="s">
        <v>368</v>
      </c>
      <c r="C77" s="211" t="s">
        <v>369</v>
      </c>
    </row>
    <row r="78" spans="1:3">
      <c r="A78" s="211" t="s">
        <v>370</v>
      </c>
      <c r="B78" s="211" t="s">
        <v>371</v>
      </c>
      <c r="C78" s="211" t="s">
        <v>372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K40"/>
  <sheetViews>
    <sheetView zoomScale="115" zoomScaleNormal="115" workbookViewId="0">
      <pane ySplit="1" topLeftCell="A15" activePane="bottomLeft" state="frozen"/>
      <selection/>
      <selection pane="bottomLeft" activeCell="G18" sqref="G18"/>
    </sheetView>
  </sheetViews>
  <sheetFormatPr defaultColWidth="8.72727272727273" defaultRowHeight="14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200"/>
    <col min="6" max="6" width="9.52727272727273" style="114" customWidth="1"/>
    <col min="7" max="7" width="22.8181818181818" style="114" customWidth="1"/>
    <col min="8" max="8" width="8.72727272727273" style="4"/>
    <col min="9" max="9" width="8.72727272727273" style="114"/>
    <col min="10" max="10" width="11.7909090909091" style="114" customWidth="1"/>
    <col min="11" max="11" width="17.0636363636364" style="16" customWidth="1"/>
    <col min="12" max="16384" width="8.72727272727273" style="4"/>
  </cols>
  <sheetData>
    <row r="1" s="198" customFormat="1" ht="15" spans="1:11">
      <c r="A1" s="201" t="s">
        <v>373</v>
      </c>
      <c r="B1" s="202"/>
      <c r="C1" s="202"/>
      <c r="D1" s="203"/>
      <c r="E1" s="204"/>
      <c r="F1" s="198" t="s">
        <v>374</v>
      </c>
      <c r="I1" s="201"/>
      <c r="J1" s="202"/>
      <c r="K1" s="205"/>
    </row>
    <row r="2" s="199" customFormat="1" spans="1:11">
      <c r="A2" s="134" t="s">
        <v>228</v>
      </c>
      <c r="B2" s="136"/>
      <c r="C2" s="114" t="s">
        <v>375</v>
      </c>
      <c r="D2" s="114" t="s">
        <v>376</v>
      </c>
      <c r="E2" s="137"/>
      <c r="F2" s="114" t="s">
        <v>228</v>
      </c>
      <c r="G2" s="114" t="s">
        <v>377</v>
      </c>
      <c r="K2" s="131"/>
    </row>
    <row r="3" spans="1:11">
      <c r="A3" s="206">
        <v>2025.1</v>
      </c>
      <c r="B3" s="114">
        <v>11</v>
      </c>
      <c r="C3" s="114">
        <v>113</v>
      </c>
      <c r="F3" s="114" t="s">
        <v>378</v>
      </c>
      <c r="G3" s="114" t="s">
        <v>379</v>
      </c>
    </row>
    <row r="4" spans="1:11">
      <c r="A4" s="207"/>
      <c r="B4" s="114">
        <v>15</v>
      </c>
      <c r="C4" s="114">
        <v>163</v>
      </c>
      <c r="F4" s="114" t="s">
        <v>380</v>
      </c>
      <c r="G4" s="114" t="s">
        <v>381</v>
      </c>
    </row>
    <row r="5" spans="1:11">
      <c r="A5" s="207"/>
      <c r="B5" s="114">
        <v>17</v>
      </c>
      <c r="C5" s="114">
        <v>158</v>
      </c>
      <c r="F5" s="114" t="s">
        <v>382</v>
      </c>
      <c r="G5" s="114" t="s">
        <v>383</v>
      </c>
    </row>
    <row r="6" spans="1:11">
      <c r="A6" s="207"/>
      <c r="B6" s="114">
        <v>22</v>
      </c>
      <c r="C6" s="114">
        <v>70</v>
      </c>
      <c r="F6" s="208" t="s">
        <v>384</v>
      </c>
      <c r="G6" s="114" t="s">
        <v>385</v>
      </c>
    </row>
    <row r="7" spans="1:11">
      <c r="A7" s="207"/>
      <c r="B7" s="114">
        <v>24</v>
      </c>
      <c r="C7" s="114">
        <v>180</v>
      </c>
      <c r="F7" s="209"/>
      <c r="G7" s="114" t="s">
        <v>386</v>
      </c>
    </row>
    <row r="8" spans="1:11">
      <c r="A8" s="207"/>
      <c r="B8" s="114">
        <v>29</v>
      </c>
      <c r="C8" s="114">
        <v>135</v>
      </c>
      <c r="F8" s="114" t="s">
        <v>387</v>
      </c>
      <c r="G8" s="114" t="s">
        <v>388</v>
      </c>
    </row>
    <row r="9" spans="1:11">
      <c r="A9" s="209"/>
      <c r="B9" s="114">
        <v>31</v>
      </c>
      <c r="C9" s="114">
        <v>89</v>
      </c>
      <c r="F9" s="114" t="s">
        <v>389</v>
      </c>
      <c r="G9" s="114" t="s">
        <v>390</v>
      </c>
    </row>
    <row r="10" spans="1:11">
      <c r="A10" s="208">
        <v>2025.11</v>
      </c>
      <c r="B10" s="114">
        <v>5</v>
      </c>
      <c r="C10" s="114">
        <v>118</v>
      </c>
      <c r="F10" s="114" t="s">
        <v>391</v>
      </c>
      <c r="G10" s="114" t="s">
        <v>392</v>
      </c>
    </row>
    <row r="11" spans="1:11">
      <c r="A11" s="207"/>
      <c r="B11" s="114">
        <v>7</v>
      </c>
      <c r="C11" s="114">
        <v>119</v>
      </c>
      <c r="F11" s="208" t="s">
        <v>393</v>
      </c>
      <c r="G11" s="114" t="s">
        <v>394</v>
      </c>
    </row>
    <row r="12" spans="1:11">
      <c r="A12" s="209"/>
      <c r="B12" s="114">
        <v>14</v>
      </c>
      <c r="C12" s="114">
        <v>63</v>
      </c>
      <c r="F12" s="207"/>
      <c r="G12" s="114" t="s">
        <v>386</v>
      </c>
    </row>
    <row r="13" spans="1:11">
      <c r="A13" s="208">
        <v>2025.12</v>
      </c>
      <c r="B13" s="114">
        <v>26</v>
      </c>
      <c r="C13" s="114">
        <v>225</v>
      </c>
      <c r="D13" s="114">
        <v>74</v>
      </c>
      <c r="F13" s="209"/>
      <c r="G13" s="114" t="s">
        <v>395</v>
      </c>
    </row>
    <row r="14" spans="1:11">
      <c r="A14" s="209"/>
      <c r="B14" s="114">
        <v>31</v>
      </c>
      <c r="C14" s="114">
        <v>119</v>
      </c>
      <c r="D14" s="114">
        <v>38</v>
      </c>
      <c r="F14" s="114" t="s">
        <v>396</v>
      </c>
      <c r="G14" s="114" t="s">
        <v>397</v>
      </c>
    </row>
    <row r="15" spans="1:11">
      <c r="A15" s="114" t="s">
        <v>398</v>
      </c>
      <c r="C15" s="114">
        <v>15</v>
      </c>
      <c r="F15" s="114" t="s">
        <v>399</v>
      </c>
      <c r="G15" s="114" t="s">
        <v>400</v>
      </c>
    </row>
    <row r="16" spans="1:11">
      <c r="A16" s="114" t="s">
        <v>401</v>
      </c>
      <c r="C16" s="114">
        <v>6</v>
      </c>
      <c r="F16" s="114" t="s">
        <v>402</v>
      </c>
      <c r="G16" s="114" t="s">
        <v>403</v>
      </c>
    </row>
    <row r="17" spans="1:7">
      <c r="A17" s="114" t="s">
        <v>404</v>
      </c>
      <c r="C17" s="114">
        <v>17</v>
      </c>
      <c r="F17" s="114" t="s">
        <v>405</v>
      </c>
      <c r="G17" s="114" t="s">
        <v>395</v>
      </c>
    </row>
    <row r="18" spans="1:7">
      <c r="F18" s="114" t="s">
        <v>406</v>
      </c>
      <c r="G18" s="114" t="s">
        <v>400</v>
      </c>
    </row>
    <row r="19" spans="1:7">
      <c r="F19" s="114" t="s">
        <v>407</v>
      </c>
      <c r="G19" s="114" t="s">
        <v>408</v>
      </c>
    </row>
    <row r="20" spans="1:7">
      <c r="F20" s="208" t="s">
        <v>409</v>
      </c>
      <c r="G20" s="114" t="s">
        <v>410</v>
      </c>
    </row>
    <row r="21" spans="1:7">
      <c r="F21" s="209"/>
      <c r="G21" s="114" t="s">
        <v>411</v>
      </c>
    </row>
    <row r="22" spans="1:7">
      <c r="F22" s="114" t="s">
        <v>412</v>
      </c>
      <c r="G22" s="114" t="s">
        <v>400</v>
      </c>
    </row>
    <row r="23" spans="1:7">
      <c r="F23" s="114" t="s">
        <v>413</v>
      </c>
      <c r="G23" s="114" t="s">
        <v>395</v>
      </c>
    </row>
    <row r="24" spans="1:7">
      <c r="F24" s="114" t="s">
        <v>414</v>
      </c>
      <c r="G24" s="114" t="s">
        <v>415</v>
      </c>
    </row>
    <row r="25" spans="1:7">
      <c r="F25" s="114" t="s">
        <v>416</v>
      </c>
      <c r="G25" s="114" t="s">
        <v>417</v>
      </c>
    </row>
    <row r="26" spans="1:7">
      <c r="F26" s="114" t="s">
        <v>418</v>
      </c>
      <c r="G26" s="114" t="s">
        <v>400</v>
      </c>
    </row>
    <row r="27" spans="1:7">
      <c r="F27" s="208" t="s">
        <v>419</v>
      </c>
      <c r="G27" s="114" t="s">
        <v>420</v>
      </c>
    </row>
    <row r="28" spans="1:7">
      <c r="F28" s="207"/>
      <c r="G28" s="114" t="s">
        <v>421</v>
      </c>
    </row>
    <row r="29" spans="1:7">
      <c r="F29" s="209"/>
      <c r="G29" s="114" t="s">
        <v>395</v>
      </c>
    </row>
    <row r="30" spans="1:7">
      <c r="F30" s="114" t="s">
        <v>422</v>
      </c>
      <c r="G30" s="114" t="s">
        <v>423</v>
      </c>
    </row>
    <row r="31" spans="1:7">
      <c r="F31" s="208" t="s">
        <v>424</v>
      </c>
      <c r="G31" s="114" t="s">
        <v>425</v>
      </c>
    </row>
    <row r="32" spans="1:7">
      <c r="F32" s="209"/>
      <c r="G32" s="114" t="s">
        <v>426</v>
      </c>
    </row>
    <row r="33" spans="6:7">
      <c r="F33" s="114" t="s">
        <v>427</v>
      </c>
      <c r="G33" s="114" t="s">
        <v>415</v>
      </c>
    </row>
    <row r="34" spans="6:7">
      <c r="F34" s="114" t="s">
        <v>428</v>
      </c>
      <c r="G34" s="114" t="s">
        <v>429</v>
      </c>
    </row>
    <row r="35" spans="6:7">
      <c r="F35" s="114" t="s">
        <v>430</v>
      </c>
      <c r="G35" s="114" t="s">
        <v>431</v>
      </c>
    </row>
    <row r="36" spans="6:7">
      <c r="F36" s="114" t="s">
        <v>432</v>
      </c>
      <c r="G36" s="114" t="s">
        <v>433</v>
      </c>
    </row>
    <row r="37" spans="6:7">
      <c r="F37" s="114" t="s">
        <v>434</v>
      </c>
      <c r="G37" s="114" t="s">
        <v>431</v>
      </c>
    </row>
    <row r="38" spans="6:7">
      <c r="F38" s="114" t="s">
        <v>435</v>
      </c>
      <c r="G38" s="114" t="s">
        <v>436</v>
      </c>
    </row>
    <row r="39" spans="6:7">
      <c r="F39" s="114" t="s">
        <v>437</v>
      </c>
      <c r="G39" s="114" t="s">
        <v>436</v>
      </c>
    </row>
    <row r="40" spans="6:7">
      <c r="F40" s="114" t="s">
        <v>438</v>
      </c>
      <c r="G40" s="114" t="s">
        <v>439</v>
      </c>
    </row>
  </sheetData>
  <mergeCells count="12">
    <mergeCell ref="A1:D1"/>
    <mergeCell ref="F1:G1"/>
    <mergeCell ref="I1:K1"/>
    <mergeCell ref="A2:B2"/>
    <mergeCell ref="A3:A9"/>
    <mergeCell ref="A10:A12"/>
    <mergeCell ref="A13:A14"/>
    <mergeCell ref="F6:F7"/>
    <mergeCell ref="F11:F13"/>
    <mergeCell ref="F20:F21"/>
    <mergeCell ref="F27:F29"/>
    <mergeCell ref="F31:F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Y57"/>
  <sheetViews>
    <sheetView tabSelected="1" zoomScale="70" zoomScaleNormal="70" workbookViewId="0">
      <pane xSplit="1" ySplit="2" topLeftCell="X3" activePane="bottomRight" state="frozen"/>
      <selection/>
      <selection pane="topRight"/>
      <selection pane="bottomLeft"/>
      <selection pane="bottomRight" activeCell="CF19" sqref="CF19"/>
    </sheetView>
  </sheetViews>
  <sheetFormatPr defaultColWidth="8.72727272727273" defaultRowHeight="14"/>
  <cols>
    <col min="1" max="1" width="4.96363636363636" customWidth="1"/>
    <col min="2" max="96" width="2.8" customWidth="1"/>
    <col min="97" max="99" width="5.44545454545455" style="174" customWidth="1"/>
    <col min="100" max="100" width="7.18181818181818" style="174" customWidth="1"/>
    <col min="101" max="103" width="5.44545454545455" style="174" customWidth="1"/>
  </cols>
  <sheetData>
    <row r="1" spans="1:103">
      <c r="A1" s="175" t="s">
        <v>440</v>
      </c>
      <c r="B1" s="176" t="s">
        <v>441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 t="s">
        <v>442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8" t="s">
        <v>443</v>
      </c>
      <c r="AK1" s="179"/>
      <c r="AL1" s="179"/>
      <c r="AM1" s="178" t="s">
        <v>444</v>
      </c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79"/>
      <c r="BD1" s="179"/>
      <c r="BE1" s="179"/>
      <c r="BF1" s="179"/>
      <c r="BG1" s="179"/>
      <c r="BH1" s="179"/>
      <c r="BI1" s="179" t="s">
        <v>445</v>
      </c>
      <c r="BJ1" s="179"/>
      <c r="BK1" s="179"/>
      <c r="BL1" s="179"/>
      <c r="BM1" s="179"/>
      <c r="BN1" s="179"/>
      <c r="BO1" s="179"/>
      <c r="BP1" s="179"/>
      <c r="BQ1" s="179"/>
      <c r="BR1" s="179"/>
      <c r="BS1" s="179"/>
      <c r="BT1" s="179"/>
      <c r="BU1" s="179"/>
      <c r="BV1" s="179"/>
      <c r="BW1" s="179"/>
      <c r="BX1" s="179"/>
      <c r="BY1" s="179"/>
      <c r="BZ1" s="179"/>
      <c r="CA1" s="178" t="s">
        <v>446</v>
      </c>
      <c r="CB1" s="179"/>
      <c r="CC1" s="179"/>
      <c r="CD1" s="179"/>
      <c r="CE1" s="179"/>
      <c r="CF1" s="179"/>
      <c r="CG1" s="179"/>
      <c r="CH1" s="179"/>
      <c r="CI1" s="179"/>
      <c r="CJ1" s="179"/>
      <c r="CK1" s="179"/>
      <c r="CL1" s="179"/>
      <c r="CM1" s="179"/>
      <c r="CN1" s="179"/>
      <c r="CO1" s="179"/>
      <c r="CP1" s="179"/>
      <c r="CQ1" s="179"/>
      <c r="CR1" s="179"/>
      <c r="CS1" s="180" t="s">
        <v>447</v>
      </c>
      <c r="CT1" s="181"/>
      <c r="CU1" s="181"/>
      <c r="CV1" s="181"/>
      <c r="CW1" s="181"/>
      <c r="CX1" s="181"/>
      <c r="CY1" s="182"/>
    </row>
    <row r="2" s="172" customFormat="1" ht="28" spans="1:103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3">
        <v>26</v>
      </c>
      <c r="AK2" s="183">
        <v>27</v>
      </c>
      <c r="AL2" s="183">
        <v>28</v>
      </c>
      <c r="AM2" s="183">
        <v>2</v>
      </c>
      <c r="AN2" s="183">
        <v>3</v>
      </c>
      <c r="AO2" s="183">
        <v>4</v>
      </c>
      <c r="AP2" s="183">
        <v>5</v>
      </c>
      <c r="AQ2" s="183">
        <v>6</v>
      </c>
      <c r="AR2" s="183">
        <v>9</v>
      </c>
      <c r="AS2" s="183">
        <v>10</v>
      </c>
      <c r="AT2" s="183">
        <v>11</v>
      </c>
      <c r="AU2" s="183">
        <v>12</v>
      </c>
      <c r="AV2" s="183">
        <v>13</v>
      </c>
      <c r="AW2" s="183">
        <v>16</v>
      </c>
      <c r="AX2" s="183">
        <v>17</v>
      </c>
      <c r="AY2" s="183">
        <v>18</v>
      </c>
      <c r="AZ2" s="183">
        <v>19</v>
      </c>
      <c r="BA2" s="183">
        <v>20</v>
      </c>
      <c r="BB2" s="183">
        <v>23</v>
      </c>
      <c r="BC2" s="183">
        <v>24</v>
      </c>
      <c r="BD2" s="183">
        <v>25</v>
      </c>
      <c r="BE2" s="183">
        <v>26</v>
      </c>
      <c r="BF2" s="183">
        <v>27</v>
      </c>
      <c r="BG2" s="183">
        <v>30</v>
      </c>
      <c r="BH2" s="183">
        <v>31</v>
      </c>
      <c r="BI2" s="183">
        <v>1</v>
      </c>
      <c r="BJ2" s="183">
        <v>2</v>
      </c>
      <c r="BK2" s="183">
        <v>3</v>
      </c>
      <c r="BL2" s="183">
        <v>7</v>
      </c>
      <c r="BM2" s="183">
        <v>8</v>
      </c>
      <c r="BN2" s="183">
        <v>9</v>
      </c>
      <c r="BO2" s="183">
        <v>10</v>
      </c>
      <c r="BP2" s="183">
        <v>13</v>
      </c>
      <c r="BQ2" s="183">
        <v>14</v>
      </c>
      <c r="BR2" s="183">
        <v>15</v>
      </c>
      <c r="BS2" s="183">
        <v>16</v>
      </c>
      <c r="BT2" s="183">
        <v>17</v>
      </c>
      <c r="BU2" s="183">
        <v>23</v>
      </c>
      <c r="BV2" s="183">
        <v>24</v>
      </c>
      <c r="BW2" s="183">
        <v>27</v>
      </c>
      <c r="BX2" s="183">
        <v>28</v>
      </c>
      <c r="BY2" s="183">
        <v>29</v>
      </c>
      <c r="BZ2" s="183">
        <v>30</v>
      </c>
      <c r="CA2" s="183">
        <v>6</v>
      </c>
      <c r="CB2" s="183">
        <v>7</v>
      </c>
      <c r="CC2" s="183">
        <v>8</v>
      </c>
      <c r="CD2" s="183">
        <v>9</v>
      </c>
      <c r="CE2" s="183">
        <v>11</v>
      </c>
      <c r="CF2" s="183">
        <v>12</v>
      </c>
      <c r="CG2" s="183">
        <v>13</v>
      </c>
      <c r="CH2" s="183">
        <v>14</v>
      </c>
      <c r="CI2" s="183">
        <v>18</v>
      </c>
      <c r="CJ2" s="183">
        <v>19</v>
      </c>
      <c r="CK2" s="183">
        <v>20</v>
      </c>
      <c r="CL2" s="183">
        <v>21</v>
      </c>
      <c r="CM2" s="183">
        <v>22</v>
      </c>
      <c r="CN2" s="183">
        <v>25</v>
      </c>
      <c r="CO2" s="183">
        <v>26</v>
      </c>
      <c r="CP2" s="183">
        <v>27</v>
      </c>
      <c r="CQ2" s="183">
        <v>28</v>
      </c>
      <c r="CR2" s="183">
        <v>29</v>
      </c>
      <c r="CS2" s="184" t="s">
        <v>448</v>
      </c>
      <c r="CT2" s="184" t="s">
        <v>449</v>
      </c>
      <c r="CU2" s="184" t="s">
        <v>450</v>
      </c>
      <c r="CV2" s="184" t="s">
        <v>451</v>
      </c>
      <c r="CW2" s="185" t="s">
        <v>452</v>
      </c>
      <c r="CX2" s="185" t="s">
        <v>453</v>
      </c>
      <c r="CY2" s="185" t="s">
        <v>454</v>
      </c>
    </row>
    <row r="3" customHeight="1" spans="1:103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>
        <v>1</v>
      </c>
      <c r="CD3" s="115"/>
      <c r="CE3" s="115"/>
      <c r="CF3" s="115"/>
      <c r="CG3" s="115"/>
      <c r="CH3" s="115">
        <v>1</v>
      </c>
      <c r="CI3" s="115"/>
      <c r="CJ3" s="115"/>
      <c r="CK3" s="115"/>
      <c r="CL3" s="115"/>
      <c r="CM3" s="115"/>
      <c r="CN3" s="115"/>
      <c r="CO3" s="115"/>
      <c r="CP3" s="115"/>
      <c r="CQ3" s="115"/>
      <c r="CR3" s="115"/>
      <c r="CS3" s="186">
        <f>SUM(B3:CR3)</f>
        <v>5</v>
      </c>
      <c r="CT3" s="186" cm="1">
        <f t="array" ref="CT3">SUMPRODUCT(--(B3:CR3=INT(B3:CR3)),--(B3:CR3&gt;0))</f>
        <v>4</v>
      </c>
      <c r="CU3" s="186" cm="1">
        <f t="array" ref="CU3">MAX(FREQUENCY(IF((B3:CR3=INT(B3:CR3))*(B3:CR3&gt;0),COLUMN(B3:CR3)),IF((B3:CR3&lt;&gt;INT(B3:CR3))+(B3:CR3&lt;=0),COLUMN(B3:CR3))))</f>
        <v>1</v>
      </c>
      <c r="CV3" s="187">
        <f>SUMPRODUCT(--CT3)/96*100%</f>
        <v>0.0416666666666667</v>
      </c>
      <c r="CW3" s="188">
        <f t="shared" ref="CW3:CW53" si="0">RANK(CS3,CS$3:CS$53,0)</f>
        <v>32</v>
      </c>
      <c r="CX3" s="188">
        <f t="shared" ref="CX3:CX53" si="1">RANK(CT3,CT$3:CT$53,0)</f>
        <v>33</v>
      </c>
      <c r="CY3" s="188">
        <f t="shared" ref="CY3:CY53" si="2">RANK(CU3,CU$3:CU$53,0)</f>
        <v>28</v>
      </c>
    </row>
    <row r="4" customHeight="1" spans="1:103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>
        <v>2</v>
      </c>
      <c r="BZ4" s="115">
        <v>1</v>
      </c>
      <c r="CA4" s="115"/>
      <c r="CB4" s="115">
        <v>1</v>
      </c>
      <c r="CC4" s="115"/>
      <c r="CD4" s="115"/>
      <c r="CE4" s="115"/>
      <c r="CF4" s="115"/>
      <c r="CG4" s="115"/>
      <c r="CH4" s="115">
        <v>1</v>
      </c>
      <c r="CI4" s="115"/>
      <c r="CJ4" s="115">
        <v>1</v>
      </c>
      <c r="CK4" s="115"/>
      <c r="CL4" s="115"/>
      <c r="CM4" s="115"/>
      <c r="CN4" s="115"/>
      <c r="CO4" s="115"/>
      <c r="CP4" s="115"/>
      <c r="CQ4" s="115"/>
      <c r="CR4" s="115"/>
      <c r="CS4" s="186">
        <f t="shared" ref="CS4:CS35" si="3">SUM(B4:CR4)</f>
        <v>40</v>
      </c>
      <c r="CT4" s="186" cm="1">
        <f t="array" ref="CT4">SUMPRODUCT(--(B4:CR4=INT(B4:CR4)),--(B4:CR4&gt;0))</f>
        <v>37</v>
      </c>
      <c r="CU4" s="186" cm="1">
        <f t="array" ref="CU4">MAX(FREQUENCY(IF((B4:CR4=INT(B4:CR4))*(B4:CR4&gt;0),COLUMN(B4:CR4)),IF((B4:CR4&lt;&gt;INT(B4:CR4))+(B4:CR4&lt;=0),COLUMN(B4:CR4))))</f>
        <v>6</v>
      </c>
      <c r="CV4" s="187">
        <f t="shared" ref="CV4:CV35" si="4">SUMPRODUCT(--CT4)/96*100%</f>
        <v>0.385416666666667</v>
      </c>
      <c r="CW4" s="188">
        <f t="shared" si="0"/>
        <v>8</v>
      </c>
      <c r="CX4" s="188">
        <f t="shared" si="1"/>
        <v>7</v>
      </c>
      <c r="CY4" s="188">
        <f t="shared" si="2"/>
        <v>4</v>
      </c>
    </row>
    <row r="5" customHeight="1" spans="1:103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>
        <v>1</v>
      </c>
      <c r="BW5" s="115">
        <v>1</v>
      </c>
      <c r="BX5" s="115"/>
      <c r="BY5" s="115">
        <v>1</v>
      </c>
      <c r="BZ5" s="115">
        <v>1</v>
      </c>
      <c r="CA5" s="115"/>
      <c r="CB5" s="115"/>
      <c r="CC5" s="115"/>
      <c r="CD5" s="115"/>
      <c r="CE5" s="115">
        <v>1</v>
      </c>
      <c r="CF5" s="115">
        <v>1</v>
      </c>
      <c r="CG5" s="115">
        <v>1</v>
      </c>
      <c r="CH5" s="115"/>
      <c r="CI5" s="115"/>
      <c r="CJ5" s="115"/>
      <c r="CK5" s="115">
        <v>1</v>
      </c>
      <c r="CL5" s="115"/>
      <c r="CM5" s="115"/>
      <c r="CN5" s="115"/>
      <c r="CO5" s="115"/>
      <c r="CP5" s="115"/>
      <c r="CQ5" s="115"/>
      <c r="CR5" s="115"/>
      <c r="CS5" s="186">
        <f t="shared" si="3"/>
        <v>15</v>
      </c>
      <c r="CT5" s="186" cm="1">
        <f t="array" ref="CT5">SUMPRODUCT(--(B5:CR5=INT(B5:CR5)),--(B5:CR5&gt;0))</f>
        <v>15</v>
      </c>
      <c r="CU5" s="186" cm="1">
        <f t="array" ref="CU5">MAX(FREQUENCY(IF((B5:CR5=INT(B5:CR5))*(B5:CR5&gt;0),COLUMN(B5:CR5)),IF((B5:CR5&lt;&gt;INT(B5:CR5))+(B5:CR5&lt;=0),COLUMN(B5:CR5))))</f>
        <v>3</v>
      </c>
      <c r="CV5" s="187">
        <f t="shared" si="4"/>
        <v>0.15625</v>
      </c>
      <c r="CW5" s="188">
        <f t="shared" si="0"/>
        <v>22</v>
      </c>
      <c r="CX5" s="188">
        <f t="shared" si="1"/>
        <v>20</v>
      </c>
      <c r="CY5" s="188">
        <f t="shared" si="2"/>
        <v>19</v>
      </c>
    </row>
    <row r="6" customHeight="1" spans="1:103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15"/>
      <c r="CE6" s="115"/>
      <c r="CF6" s="115"/>
      <c r="CG6" s="115"/>
      <c r="CH6" s="115"/>
      <c r="CI6" s="115"/>
      <c r="CJ6" s="115"/>
      <c r="CK6" s="115"/>
      <c r="CL6" s="115"/>
      <c r="CM6" s="115"/>
      <c r="CN6" s="115"/>
      <c r="CO6" s="115"/>
      <c r="CP6" s="115"/>
      <c r="CQ6" s="115"/>
      <c r="CR6" s="115"/>
      <c r="CS6" s="186">
        <f t="shared" si="3"/>
        <v>9</v>
      </c>
      <c r="CT6" s="186" cm="1">
        <f t="array" ref="CT6">SUMPRODUCT(--(B6:CR6=INT(B6:CR6)),--(B6:CR6&gt;0))</f>
        <v>9</v>
      </c>
      <c r="CU6" s="186" cm="1">
        <f t="array" ref="CU6">MAX(FREQUENCY(IF((B6:CR6=INT(B6:CR6))*(B6:CR6&gt;0),COLUMN(B6:CR6)),IF((B6:CR6&lt;&gt;INT(B6:CR6))+(B6:CR6&lt;=0),COLUMN(B6:CR6))))</f>
        <v>3</v>
      </c>
      <c r="CV6" s="187">
        <f t="shared" si="4"/>
        <v>0.09375</v>
      </c>
      <c r="CW6" s="188">
        <f t="shared" si="0"/>
        <v>27</v>
      </c>
      <c r="CX6" s="188">
        <f t="shared" si="1"/>
        <v>27</v>
      </c>
      <c r="CY6" s="188">
        <f t="shared" si="2"/>
        <v>19</v>
      </c>
    </row>
    <row r="7" customHeight="1" spans="1:103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15">
        <v>1</v>
      </c>
      <c r="CE7" s="115"/>
      <c r="CF7" s="115"/>
      <c r="CG7" s="115">
        <v>1</v>
      </c>
      <c r="CH7" s="115"/>
      <c r="CI7" s="115"/>
      <c r="CJ7" s="115"/>
      <c r="CK7" s="115"/>
      <c r="CL7" s="115"/>
      <c r="CM7" s="115"/>
      <c r="CN7" s="115"/>
      <c r="CO7" s="115"/>
      <c r="CP7" s="115"/>
      <c r="CQ7" s="115"/>
      <c r="CR7" s="115"/>
      <c r="CS7" s="186">
        <f t="shared" si="3"/>
        <v>14</v>
      </c>
      <c r="CT7" s="186" cm="1">
        <f t="array" ref="CT7">SUMPRODUCT(--(B7:CR7=INT(B7:CR7)),--(B7:CR7&gt;0))</f>
        <v>13</v>
      </c>
      <c r="CU7" s="186" cm="1">
        <f t="array" ref="CU7">MAX(FREQUENCY(IF((B7:CR7=INT(B7:CR7))*(B7:CR7&gt;0),COLUMN(B7:CR7)),IF((B7:CR7&lt;&gt;INT(B7:CR7))+(B7:CR7&lt;=0),COLUMN(B7:CR7))))</f>
        <v>4</v>
      </c>
      <c r="CV7" s="187">
        <f t="shared" si="4"/>
        <v>0.135416666666667</v>
      </c>
      <c r="CW7" s="188">
        <f t="shared" si="0"/>
        <v>24</v>
      </c>
      <c r="CX7" s="188">
        <f t="shared" si="1"/>
        <v>24</v>
      </c>
      <c r="CY7" s="188">
        <f t="shared" si="2"/>
        <v>13</v>
      </c>
    </row>
    <row r="8" customHeight="1" spans="1:103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>
        <v>1</v>
      </c>
      <c r="BX8" s="115"/>
      <c r="BY8" s="115">
        <v>1</v>
      </c>
      <c r="BZ8" s="115">
        <v>1</v>
      </c>
      <c r="CA8" s="115">
        <v>1</v>
      </c>
      <c r="CB8" s="115"/>
      <c r="CC8" s="115"/>
      <c r="CD8" s="115">
        <v>1</v>
      </c>
      <c r="CE8" s="115">
        <v>1</v>
      </c>
      <c r="CF8" s="115">
        <v>1</v>
      </c>
      <c r="CG8" s="115">
        <v>1</v>
      </c>
      <c r="CH8" s="115"/>
      <c r="CI8" s="115"/>
      <c r="CJ8" s="115">
        <v>1</v>
      </c>
      <c r="CK8" s="115"/>
      <c r="CL8" s="115">
        <v>1</v>
      </c>
      <c r="CM8" s="115"/>
      <c r="CN8" s="115"/>
      <c r="CO8" s="115"/>
      <c r="CP8" s="115"/>
      <c r="CQ8" s="115"/>
      <c r="CR8" s="115"/>
      <c r="CS8" s="186">
        <f t="shared" si="3"/>
        <v>46</v>
      </c>
      <c r="CT8" s="186" cm="1">
        <f t="array" ref="CT8">SUMPRODUCT(--(B8:CR8=INT(B8:CR8)),--(B8:CR8&gt;0))</f>
        <v>45</v>
      </c>
      <c r="CU8" s="186" cm="1">
        <f t="array" ref="CU8">MAX(FREQUENCY(IF((B8:CR8=INT(B8:CR8))*(B8:CR8&gt;0),COLUMN(B8:CR8)),IF((B8:CR8&lt;&gt;INT(B8:CR8))+(B8:CR8&lt;=0),COLUMN(B8:CR8))))</f>
        <v>5</v>
      </c>
      <c r="CV8" s="187">
        <f t="shared" si="4"/>
        <v>0.46875</v>
      </c>
      <c r="CW8" s="188">
        <f t="shared" si="0"/>
        <v>5</v>
      </c>
      <c r="CX8" s="188">
        <f t="shared" si="1"/>
        <v>3</v>
      </c>
      <c r="CY8" s="188">
        <f t="shared" si="2"/>
        <v>9</v>
      </c>
    </row>
    <row r="9" customHeight="1" spans="1:103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>
        <v>1</v>
      </c>
      <c r="BV9" s="115">
        <v>1</v>
      </c>
      <c r="BW9" s="115">
        <v>1</v>
      </c>
      <c r="BX9" s="115">
        <v>1</v>
      </c>
      <c r="BY9" s="115">
        <v>2</v>
      </c>
      <c r="BZ9" s="115">
        <v>1</v>
      </c>
      <c r="CA9" s="115"/>
      <c r="CB9" s="115"/>
      <c r="CC9" s="115"/>
      <c r="CD9" s="115">
        <v>1</v>
      </c>
      <c r="CE9" s="115"/>
      <c r="CF9" s="115"/>
      <c r="CG9" s="115"/>
      <c r="CH9" s="115"/>
      <c r="CI9" s="115"/>
      <c r="CJ9" s="115"/>
      <c r="CK9" s="115"/>
      <c r="CL9" s="115"/>
      <c r="CM9" s="115"/>
      <c r="CN9" s="115"/>
      <c r="CO9" s="115"/>
      <c r="CP9" s="115"/>
      <c r="CQ9" s="115"/>
      <c r="CR9" s="115"/>
      <c r="CS9" s="186">
        <f t="shared" si="3"/>
        <v>39</v>
      </c>
      <c r="CT9" s="186" cm="1">
        <f t="array" ref="CT9">SUMPRODUCT(--(B9:CR9=INT(B9:CR9)),--(B9:CR9&gt;0))</f>
        <v>36</v>
      </c>
      <c r="CU9" s="186" cm="1">
        <f t="array" ref="CU9">MAX(FREQUENCY(IF((B9:CR9=INT(B9:CR9))*(B9:CR9&gt;0),COLUMN(B9:CR9)),IF((B9:CR9&lt;&gt;INT(B9:CR9))+(B9:CR9&lt;=0),COLUMN(B9:CR9))))</f>
        <v>6</v>
      </c>
      <c r="CV9" s="187">
        <f t="shared" si="4"/>
        <v>0.375</v>
      </c>
      <c r="CW9" s="188">
        <f t="shared" si="0"/>
        <v>9</v>
      </c>
      <c r="CX9" s="188">
        <f t="shared" si="1"/>
        <v>8</v>
      </c>
      <c r="CY9" s="188">
        <f t="shared" si="2"/>
        <v>4</v>
      </c>
    </row>
    <row r="10" customHeight="1" spans="1:103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>
        <v>1</v>
      </c>
      <c r="BV10" s="115"/>
      <c r="BW10" s="115"/>
      <c r="BX10" s="115"/>
      <c r="BY10" s="115"/>
      <c r="BZ10" s="115"/>
      <c r="CA10" s="115"/>
      <c r="CB10" s="115"/>
      <c r="CC10" s="115"/>
      <c r="CD10" s="115"/>
      <c r="CE10" s="115"/>
      <c r="CF10" s="115"/>
      <c r="CG10" s="115"/>
      <c r="CH10" s="115"/>
      <c r="CI10" s="115"/>
      <c r="CJ10" s="115"/>
      <c r="CK10" s="115"/>
      <c r="CL10" s="115"/>
      <c r="CM10" s="115"/>
      <c r="CN10" s="115"/>
      <c r="CO10" s="115"/>
      <c r="CP10" s="115"/>
      <c r="CQ10" s="115"/>
      <c r="CR10" s="115"/>
      <c r="CS10" s="186">
        <f t="shared" si="3"/>
        <v>4</v>
      </c>
      <c r="CT10" s="186" cm="1">
        <f t="array" ref="CT10">SUMPRODUCT(--(B10:CR10=INT(B10:CR10)),--(B10:CR10&gt;0))</f>
        <v>4</v>
      </c>
      <c r="CU10" s="186" cm="1">
        <f t="array" ref="CU10">MAX(FREQUENCY(IF((B10:CR10=INT(B10:CR10))*(B10:CR10&gt;0),COLUMN(B10:CR10)),IF((B10:CR10&lt;&gt;INT(B10:CR10))+(B10:CR10&lt;=0),COLUMN(B10:CR10))))</f>
        <v>2</v>
      </c>
      <c r="CV10" s="187">
        <f t="shared" si="4"/>
        <v>0.0416666666666667</v>
      </c>
      <c r="CW10" s="188">
        <f t="shared" si="0"/>
        <v>34</v>
      </c>
      <c r="CX10" s="188">
        <f t="shared" si="1"/>
        <v>33</v>
      </c>
      <c r="CY10" s="188">
        <f t="shared" si="2"/>
        <v>25</v>
      </c>
    </row>
    <row r="11" customHeight="1" spans="1:103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>
        <v>1</v>
      </c>
      <c r="BV11" s="115"/>
      <c r="BW11" s="115"/>
      <c r="BX11" s="115"/>
      <c r="BY11" s="115"/>
      <c r="BZ11" s="115"/>
      <c r="CA11" s="115"/>
      <c r="CB11" s="115"/>
      <c r="CC11" s="115">
        <v>2</v>
      </c>
      <c r="CD11" s="115"/>
      <c r="CE11" s="115"/>
      <c r="CF11" s="115"/>
      <c r="CG11" s="115"/>
      <c r="CH11" s="115">
        <v>1</v>
      </c>
      <c r="CI11" s="115"/>
      <c r="CJ11" s="115"/>
      <c r="CK11" s="115"/>
      <c r="CL11" s="115"/>
      <c r="CM11" s="115"/>
      <c r="CN11" s="115"/>
      <c r="CO11" s="115"/>
      <c r="CP11" s="115"/>
      <c r="CQ11" s="115"/>
      <c r="CR11" s="115"/>
      <c r="CS11" s="186">
        <f t="shared" si="3"/>
        <v>25</v>
      </c>
      <c r="CT11" s="186" cm="1">
        <f t="array" ref="CT11">SUMPRODUCT(--(B11:CR11=INT(B11:CR11)),--(B11:CR11&gt;0))</f>
        <v>20</v>
      </c>
      <c r="CU11" s="186" cm="1">
        <f t="array" ref="CU11">MAX(FREQUENCY(IF((B11:CR11=INT(B11:CR11))*(B11:CR11&gt;0),COLUMN(B11:CR11)),IF((B11:CR11&lt;&gt;INT(B11:CR11))+(B11:CR11&lt;=0),COLUMN(B11:CR11))))</f>
        <v>2</v>
      </c>
      <c r="CV11" s="187">
        <f t="shared" si="4"/>
        <v>0.208333333333333</v>
      </c>
      <c r="CW11" s="188">
        <f t="shared" si="0"/>
        <v>15</v>
      </c>
      <c r="CX11" s="188">
        <f t="shared" si="1"/>
        <v>17</v>
      </c>
      <c r="CY11" s="188">
        <f t="shared" si="2"/>
        <v>25</v>
      </c>
    </row>
    <row r="12" customHeight="1" spans="1:103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15">
        <v>1</v>
      </c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86">
        <f t="shared" si="3"/>
        <v>4</v>
      </c>
      <c r="CT12" s="186" cm="1">
        <f t="array" ref="CT12">SUMPRODUCT(--(B12:CR12=INT(B12:CR12)),--(B12:CR12&gt;0))</f>
        <v>4</v>
      </c>
      <c r="CU12" s="186" cm="1">
        <f t="array" ref="CU12">MAX(FREQUENCY(IF((B12:CR12=INT(B12:CR12))*(B12:CR12&gt;0),COLUMN(B12:CR12)),IF((B12:CR12&lt;&gt;INT(B12:CR12))+(B12:CR12&lt;=0),COLUMN(B12:CR12))))</f>
        <v>1</v>
      </c>
      <c r="CV12" s="187">
        <f t="shared" si="4"/>
        <v>0.0416666666666667</v>
      </c>
      <c r="CW12" s="188">
        <f t="shared" si="0"/>
        <v>34</v>
      </c>
      <c r="CX12" s="188">
        <f t="shared" si="1"/>
        <v>33</v>
      </c>
      <c r="CY12" s="188">
        <f t="shared" si="2"/>
        <v>28</v>
      </c>
    </row>
    <row r="13" customHeight="1" spans="1:103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>
        <v>1</v>
      </c>
      <c r="BX13" s="115"/>
      <c r="BY13" s="115"/>
      <c r="BZ13" s="115"/>
      <c r="CA13" s="115"/>
      <c r="CB13" s="115"/>
      <c r="CC13" s="115"/>
      <c r="CD13" s="115"/>
      <c r="CE13" s="115"/>
      <c r="CF13" s="115"/>
      <c r="CG13" s="115"/>
      <c r="CH13" s="115">
        <v>1</v>
      </c>
      <c r="CI13" s="115"/>
      <c r="CJ13" s="115"/>
      <c r="CK13" s="115">
        <v>1</v>
      </c>
      <c r="CL13" s="115">
        <v>1</v>
      </c>
      <c r="CM13" s="115"/>
      <c r="CN13" s="115"/>
      <c r="CO13" s="115"/>
      <c r="CP13" s="115"/>
      <c r="CQ13" s="115"/>
      <c r="CR13" s="115"/>
      <c r="CS13" s="186">
        <f t="shared" si="3"/>
        <v>25</v>
      </c>
      <c r="CT13" s="186" cm="1">
        <f t="array" ref="CT13">SUMPRODUCT(--(B13:CR13=INT(B13:CR13)),--(B13:CR13&gt;0))</f>
        <v>24</v>
      </c>
      <c r="CU13" s="186" cm="1">
        <f t="array" ref="CU13">MAX(FREQUENCY(IF((B13:CR13=INT(B13:CR13))*(B13:CR13&gt;0),COLUMN(B13:CR13)),IF((B13:CR13&lt;&gt;INT(B13:CR13))+(B13:CR13&lt;=0),COLUMN(B13:CR13))))</f>
        <v>4</v>
      </c>
      <c r="CV13" s="187">
        <f t="shared" si="4"/>
        <v>0.25</v>
      </c>
      <c r="CW13" s="188">
        <f t="shared" si="0"/>
        <v>15</v>
      </c>
      <c r="CX13" s="188">
        <f t="shared" si="1"/>
        <v>14</v>
      </c>
      <c r="CY13" s="188">
        <f t="shared" si="2"/>
        <v>13</v>
      </c>
    </row>
    <row r="14" customHeight="1" spans="1:103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>
        <v>1</v>
      </c>
      <c r="CA14" s="115"/>
      <c r="CB14" s="115"/>
      <c r="CC14" s="115"/>
      <c r="CD14" s="115"/>
      <c r="CE14" s="115"/>
      <c r="CF14" s="115"/>
      <c r="CG14" s="115"/>
      <c r="CH14" s="115"/>
      <c r="CI14" s="115"/>
      <c r="CJ14" s="115"/>
      <c r="CK14" s="115"/>
      <c r="CL14" s="115">
        <v>1</v>
      </c>
      <c r="CM14" s="115"/>
      <c r="CN14" s="115"/>
      <c r="CO14" s="115"/>
      <c r="CP14" s="115"/>
      <c r="CQ14" s="115"/>
      <c r="CR14" s="115"/>
      <c r="CS14" s="186">
        <f t="shared" si="3"/>
        <v>8</v>
      </c>
      <c r="CT14" s="186" cm="1">
        <f t="array" ref="CT14">SUMPRODUCT(--(B14:CR14=INT(B14:CR14)),--(B14:CR14&gt;0))</f>
        <v>8</v>
      </c>
      <c r="CU14" s="186" cm="1">
        <f t="array" ref="CU14">MAX(FREQUENCY(IF((B14:CR14=INT(B14:CR14))*(B14:CR14&gt;0),COLUMN(B14:CR14)),IF((B14:CR14&lt;&gt;INT(B14:CR14))+(B14:CR14&lt;=0),COLUMN(B14:CR14))))</f>
        <v>1</v>
      </c>
      <c r="CV14" s="187">
        <f t="shared" si="4"/>
        <v>0.0833333333333333</v>
      </c>
      <c r="CW14" s="188">
        <f t="shared" si="0"/>
        <v>28</v>
      </c>
      <c r="CX14" s="188">
        <f t="shared" si="1"/>
        <v>28</v>
      </c>
      <c r="CY14" s="188">
        <f t="shared" si="2"/>
        <v>28</v>
      </c>
    </row>
    <row r="15" customHeight="1" spans="1:103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>
        <v>1</v>
      </c>
      <c r="BV15" s="115">
        <v>1</v>
      </c>
      <c r="BW15" s="115"/>
      <c r="BX15" s="115">
        <v>1</v>
      </c>
      <c r="BY15" s="115"/>
      <c r="BZ15" s="115"/>
      <c r="CA15" s="115">
        <v>1</v>
      </c>
      <c r="CB15" s="115"/>
      <c r="CC15" s="115">
        <v>1</v>
      </c>
      <c r="CD15" s="115"/>
      <c r="CE15" s="115"/>
      <c r="CF15" s="115"/>
      <c r="CG15" s="115"/>
      <c r="CH15" s="115">
        <v>1</v>
      </c>
      <c r="CI15" s="115">
        <v>2</v>
      </c>
      <c r="CJ15" s="115"/>
      <c r="CK15" s="115">
        <v>2</v>
      </c>
      <c r="CL15" s="115">
        <v>1</v>
      </c>
      <c r="CM15" s="115"/>
      <c r="CN15" s="115"/>
      <c r="CO15" s="115"/>
      <c r="CP15" s="115"/>
      <c r="CQ15" s="115"/>
      <c r="CR15" s="115"/>
      <c r="CS15" s="186">
        <f t="shared" si="3"/>
        <v>41</v>
      </c>
      <c r="CT15" s="186" cm="1">
        <f t="array" ref="CT15">SUMPRODUCT(--(B15:CR15=INT(B15:CR15)),--(B15:CR15&gt;0))</f>
        <v>35</v>
      </c>
      <c r="CU15" s="186" cm="1">
        <f t="array" ref="CU15">MAX(FREQUENCY(IF((B15:CR15=INT(B15:CR15))*(B15:CR15&gt;0),COLUMN(B15:CR15)),IF((B15:CR15&lt;&gt;INT(B15:CR15))+(B15:CR15&lt;=0),COLUMN(B15:CR15))))</f>
        <v>4</v>
      </c>
      <c r="CV15" s="187">
        <f t="shared" si="4"/>
        <v>0.364583333333333</v>
      </c>
      <c r="CW15" s="188">
        <f t="shared" si="0"/>
        <v>7</v>
      </c>
      <c r="CX15" s="188">
        <f t="shared" si="1"/>
        <v>9</v>
      </c>
      <c r="CY15" s="188">
        <f t="shared" si="2"/>
        <v>13</v>
      </c>
    </row>
    <row r="16" customHeight="1" spans="1:103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15"/>
      <c r="CE16" s="115"/>
      <c r="CF16" s="115"/>
      <c r="CG16" s="115"/>
      <c r="CH16" s="115"/>
      <c r="CI16" s="115"/>
      <c r="CJ16" s="115"/>
      <c r="CK16" s="115"/>
      <c r="CL16" s="115"/>
      <c r="CM16" s="115"/>
      <c r="CN16" s="115"/>
      <c r="CO16" s="115"/>
      <c r="CP16" s="115"/>
      <c r="CQ16" s="115"/>
      <c r="CR16" s="115"/>
      <c r="CS16" s="186">
        <f t="shared" si="3"/>
        <v>5</v>
      </c>
      <c r="CT16" s="186" cm="1">
        <f t="array" ref="CT16">SUMPRODUCT(--(B16:CR16=INT(B16:CR16)),--(B16:CR16&gt;0))</f>
        <v>5</v>
      </c>
      <c r="CU16" s="186" cm="1">
        <f t="array" ref="CU16">MAX(FREQUENCY(IF((B16:CR16=INT(B16:CR16))*(B16:CR16&gt;0),COLUMN(B16:CR16)),IF((B16:CR16&lt;&gt;INT(B16:CR16))+(B16:CR16&lt;=0),COLUMN(B16:CR16))))</f>
        <v>1</v>
      </c>
      <c r="CV16" s="187">
        <f t="shared" si="4"/>
        <v>0.0520833333333333</v>
      </c>
      <c r="CW16" s="188">
        <f t="shared" si="0"/>
        <v>32</v>
      </c>
      <c r="CX16" s="188">
        <f t="shared" si="1"/>
        <v>31</v>
      </c>
      <c r="CY16" s="188">
        <f t="shared" si="2"/>
        <v>28</v>
      </c>
    </row>
    <row r="17" customHeight="1" spans="1:103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>
        <v>1</v>
      </c>
      <c r="BY17" s="115"/>
      <c r="BZ17" s="115"/>
      <c r="CA17" s="115"/>
      <c r="CB17" s="115"/>
      <c r="CC17" s="115"/>
      <c r="CD17" s="115">
        <v>1</v>
      </c>
      <c r="CE17" s="115"/>
      <c r="CF17" s="115"/>
      <c r="CG17" s="115"/>
      <c r="CH17" s="115"/>
      <c r="CI17" s="115"/>
      <c r="CJ17" s="115"/>
      <c r="CK17" s="115"/>
      <c r="CL17" s="115"/>
      <c r="CM17" s="115"/>
      <c r="CN17" s="115"/>
      <c r="CO17" s="115"/>
      <c r="CP17" s="115"/>
      <c r="CQ17" s="115"/>
      <c r="CR17" s="115"/>
      <c r="CS17" s="186">
        <f t="shared" si="3"/>
        <v>7</v>
      </c>
      <c r="CT17" s="186" cm="1">
        <f t="array" ref="CT17">SUMPRODUCT(--(B17:CR17=INT(B17:CR17)),--(B17:CR17&gt;0))</f>
        <v>7</v>
      </c>
      <c r="CU17" s="186" cm="1">
        <f t="array" ref="CU17">MAX(FREQUENCY(IF((B17:CR17=INT(B17:CR17))*(B17:CR17&gt;0),COLUMN(B17:CR17)),IF((B17:CR17&lt;&gt;INT(B17:CR17))+(B17:CR17&lt;=0),COLUMN(B17:CR17))))</f>
        <v>1</v>
      </c>
      <c r="CV17" s="187">
        <f t="shared" si="4"/>
        <v>0.0729166666666667</v>
      </c>
      <c r="CW17" s="188">
        <f t="shared" si="0"/>
        <v>29</v>
      </c>
      <c r="CX17" s="188">
        <f t="shared" si="1"/>
        <v>29</v>
      </c>
      <c r="CY17" s="188">
        <f t="shared" si="2"/>
        <v>28</v>
      </c>
    </row>
    <row r="18" customHeight="1" spans="1:103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15"/>
      <c r="CE18" s="115"/>
      <c r="CF18" s="115"/>
      <c r="CG18" s="115"/>
      <c r="CH18" s="115"/>
      <c r="CI18" s="115"/>
      <c r="CJ18" s="115"/>
      <c r="CK18" s="115"/>
      <c r="CL18" s="115"/>
      <c r="CM18" s="115"/>
      <c r="CN18" s="115"/>
      <c r="CO18" s="115"/>
      <c r="CP18" s="115"/>
      <c r="CQ18" s="115"/>
      <c r="CR18" s="115"/>
      <c r="CS18" s="186">
        <f t="shared" si="3"/>
        <v>1</v>
      </c>
      <c r="CT18" s="186" cm="1">
        <f t="array" ref="CT18">SUMPRODUCT(--(B18:CR18=INT(B18:CR18)),--(B18:CR18&gt;0))</f>
        <v>1</v>
      </c>
      <c r="CU18" s="186" cm="1">
        <f t="array" ref="CU18">MAX(FREQUENCY(IF((B18:CR18=INT(B18:CR18))*(B18:CR18&gt;0),COLUMN(B18:CR18)),IF((B18:CR18&lt;&gt;INT(B18:CR18))+(B18:CR18&lt;=0),COLUMN(B18:CR18))))</f>
        <v>1</v>
      </c>
      <c r="CV18" s="187">
        <f t="shared" si="4"/>
        <v>0.0104166666666667</v>
      </c>
      <c r="CW18" s="188">
        <f t="shared" si="0"/>
        <v>39</v>
      </c>
      <c r="CX18" s="188">
        <f t="shared" si="1"/>
        <v>39</v>
      </c>
      <c r="CY18" s="188">
        <f t="shared" si="2"/>
        <v>28</v>
      </c>
    </row>
    <row r="19" customHeight="1" spans="1:103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>
        <v>1</v>
      </c>
      <c r="BW19" s="115"/>
      <c r="BX19" s="115"/>
      <c r="BY19" s="115"/>
      <c r="BZ19" s="115"/>
      <c r="CA19" s="115"/>
      <c r="CB19" s="115"/>
      <c r="CC19" s="115"/>
      <c r="CD19" s="115"/>
      <c r="CE19" s="115"/>
      <c r="CF19" s="115"/>
      <c r="CG19" s="115"/>
      <c r="CH19" s="115">
        <v>1</v>
      </c>
      <c r="CI19" s="115"/>
      <c r="CJ19" s="115"/>
      <c r="CK19" s="115"/>
      <c r="CL19" s="115"/>
      <c r="CM19" s="115"/>
      <c r="CN19" s="115"/>
      <c r="CO19" s="115"/>
      <c r="CP19" s="115"/>
      <c r="CQ19" s="115"/>
      <c r="CR19" s="115"/>
      <c r="CS19" s="186">
        <f t="shared" si="3"/>
        <v>15</v>
      </c>
      <c r="CT19" s="186" cm="1">
        <f t="array" ref="CT19">SUMPRODUCT(--(B19:CR19=INT(B19:CR19)),--(B19:CR19&gt;0))</f>
        <v>14</v>
      </c>
      <c r="CU19" s="186" cm="1">
        <f t="array" ref="CU19">MAX(FREQUENCY(IF((B19:CR19=INT(B19:CR19))*(B19:CR19&gt;0),COLUMN(B19:CR19)),IF((B19:CR19&lt;&gt;INT(B19:CR19))+(B19:CR19&lt;=0),COLUMN(B19:CR19))))</f>
        <v>2</v>
      </c>
      <c r="CV19" s="187">
        <f t="shared" si="4"/>
        <v>0.145833333333333</v>
      </c>
      <c r="CW19" s="188">
        <f t="shared" si="0"/>
        <v>22</v>
      </c>
      <c r="CX19" s="188">
        <f t="shared" si="1"/>
        <v>22</v>
      </c>
      <c r="CY19" s="188">
        <f t="shared" si="2"/>
        <v>25</v>
      </c>
    </row>
    <row r="20" customHeight="1" spans="1:103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15"/>
      <c r="CE20" s="115"/>
      <c r="CF20" s="115"/>
      <c r="CG20" s="115"/>
      <c r="CH20" s="115"/>
      <c r="CI20" s="115"/>
      <c r="CJ20" s="115"/>
      <c r="CK20" s="115"/>
      <c r="CL20" s="115"/>
      <c r="CM20" s="115"/>
      <c r="CN20" s="115"/>
      <c r="CO20" s="115"/>
      <c r="CP20" s="115"/>
      <c r="CQ20" s="115"/>
      <c r="CR20" s="115"/>
      <c r="CS20" s="186">
        <f t="shared" si="3"/>
        <v>2</v>
      </c>
      <c r="CT20" s="186" cm="1">
        <f t="array" ref="CT20">SUMPRODUCT(--(B20:CR20=INT(B20:CR20)),--(B20:CR20&gt;0))</f>
        <v>2</v>
      </c>
      <c r="CU20" s="186" cm="1">
        <f t="array" ref="CU20">MAX(FREQUENCY(IF((B20:CR20=INT(B20:CR20))*(B20:CR20&gt;0),COLUMN(B20:CR20)),IF((B20:CR20&lt;&gt;INT(B20:CR20))+(B20:CR20&lt;=0),COLUMN(B20:CR20))))</f>
        <v>1</v>
      </c>
      <c r="CV20" s="187">
        <f t="shared" si="4"/>
        <v>0.0208333333333333</v>
      </c>
      <c r="CW20" s="188">
        <f t="shared" si="0"/>
        <v>36</v>
      </c>
      <c r="CX20" s="188">
        <f t="shared" si="1"/>
        <v>36</v>
      </c>
      <c r="CY20" s="188">
        <f t="shared" si="2"/>
        <v>28</v>
      </c>
    </row>
    <row r="21" customHeight="1" spans="1:103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15"/>
      <c r="CE21" s="115"/>
      <c r="CF21" s="115"/>
      <c r="CG21" s="115"/>
      <c r="CH21" s="115"/>
      <c r="CI21" s="115"/>
      <c r="CJ21" s="115"/>
      <c r="CK21" s="115"/>
      <c r="CL21" s="115"/>
      <c r="CM21" s="115"/>
      <c r="CN21" s="115"/>
      <c r="CO21" s="115"/>
      <c r="CP21" s="115"/>
      <c r="CQ21" s="115"/>
      <c r="CR21" s="115"/>
      <c r="CS21" s="186">
        <f t="shared" si="3"/>
        <v>6</v>
      </c>
      <c r="CT21" s="186" cm="1">
        <f t="array" ref="CT21">SUMPRODUCT(--(B21:CR21=INT(B21:CR21)),--(B21:CR21&gt;0))</f>
        <v>5</v>
      </c>
      <c r="CU21" s="186" cm="1">
        <f t="array" ref="CU21">MAX(FREQUENCY(IF((B21:CR21=INT(B21:CR21))*(B21:CR21&gt;0),COLUMN(B21:CR21)),IF((B21:CR21&lt;&gt;INT(B21:CR21))+(B21:CR21&lt;=0),COLUMN(B21:CR21))))</f>
        <v>1</v>
      </c>
      <c r="CV21" s="187">
        <f t="shared" si="4"/>
        <v>0.0520833333333333</v>
      </c>
      <c r="CW21" s="188">
        <f t="shared" si="0"/>
        <v>31</v>
      </c>
      <c r="CX21" s="188">
        <f t="shared" si="1"/>
        <v>31</v>
      </c>
      <c r="CY21" s="188">
        <f t="shared" si="2"/>
        <v>28</v>
      </c>
    </row>
    <row r="22" customHeight="1" spans="1:103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>
        <v>1</v>
      </c>
      <c r="BW22" s="115"/>
      <c r="BX22" s="115">
        <v>1</v>
      </c>
      <c r="BY22" s="115">
        <v>3</v>
      </c>
      <c r="BZ22" s="115"/>
      <c r="CA22" s="115"/>
      <c r="CB22" s="115"/>
      <c r="CC22" s="115"/>
      <c r="CD22" s="115"/>
      <c r="CE22" s="115"/>
      <c r="CF22" s="115"/>
      <c r="CG22" s="115">
        <v>1</v>
      </c>
      <c r="CH22" s="115"/>
      <c r="CI22" s="115"/>
      <c r="CJ22" s="115">
        <v>1</v>
      </c>
      <c r="CK22" s="115">
        <v>1</v>
      </c>
      <c r="CL22" s="115"/>
      <c r="CM22" s="115"/>
      <c r="CN22" s="115"/>
      <c r="CO22" s="115"/>
      <c r="CP22" s="115"/>
      <c r="CQ22" s="115"/>
      <c r="CR22" s="115"/>
      <c r="CS22" s="186">
        <f t="shared" si="3"/>
        <v>37</v>
      </c>
      <c r="CT22" s="186" cm="1">
        <f t="array" ref="CT22">SUMPRODUCT(--(B22:CR22=INT(B22:CR22)),--(B22:CR22&gt;0))</f>
        <v>31</v>
      </c>
      <c r="CU22" s="186" cm="1">
        <f t="array" ref="CU22">MAX(FREQUENCY(IF((B22:CR22=INT(B22:CR22))*(B22:CR22&gt;0),COLUMN(B22:CR22)),IF((B22:CR22&lt;&gt;INT(B22:CR22))+(B22:CR22&lt;=0),COLUMN(B22:CR22))))</f>
        <v>5</v>
      </c>
      <c r="CV22" s="187">
        <f t="shared" si="4"/>
        <v>0.322916666666667</v>
      </c>
      <c r="CW22" s="188">
        <f t="shared" si="0"/>
        <v>10</v>
      </c>
      <c r="CX22" s="188">
        <f t="shared" si="1"/>
        <v>10</v>
      </c>
      <c r="CY22" s="188">
        <f t="shared" si="2"/>
        <v>9</v>
      </c>
    </row>
    <row r="23" customHeight="1" spans="1:103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15"/>
      <c r="CE23" s="115"/>
      <c r="CF23" s="115"/>
      <c r="CG23" s="115"/>
      <c r="CH23" s="115"/>
      <c r="CI23" s="115"/>
      <c r="CJ23" s="115"/>
      <c r="CK23" s="115"/>
      <c r="CL23" s="115"/>
      <c r="CM23" s="115"/>
      <c r="CN23" s="115"/>
      <c r="CO23" s="115"/>
      <c r="CP23" s="115"/>
      <c r="CQ23" s="115"/>
      <c r="CR23" s="115"/>
      <c r="CS23" s="186">
        <f t="shared" si="3"/>
        <v>1</v>
      </c>
      <c r="CT23" s="186" cm="1">
        <f t="array" ref="CT23">SUMPRODUCT(--(B23:CR23=INT(B23:CR23)),--(B23:CR23&gt;0))</f>
        <v>1</v>
      </c>
      <c r="CU23" s="186" cm="1">
        <f t="array" ref="CU23">MAX(FREQUENCY(IF((B23:CR23=INT(B23:CR23))*(B23:CR23&gt;0),COLUMN(B23:CR23)),IF((B23:CR23&lt;&gt;INT(B23:CR23))+(B23:CR23&lt;=0),COLUMN(B23:CR23))))</f>
        <v>1</v>
      </c>
      <c r="CV23" s="187">
        <f t="shared" si="4"/>
        <v>0.0104166666666667</v>
      </c>
      <c r="CW23" s="188">
        <f t="shared" si="0"/>
        <v>39</v>
      </c>
      <c r="CX23" s="188">
        <f t="shared" si="1"/>
        <v>39</v>
      </c>
      <c r="CY23" s="188">
        <f t="shared" si="2"/>
        <v>28</v>
      </c>
    </row>
    <row r="24" customHeight="1" spans="1:103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>
        <v>1</v>
      </c>
      <c r="BW24" s="115">
        <v>1</v>
      </c>
      <c r="BX24" s="115">
        <v>1</v>
      </c>
      <c r="BY24" s="115">
        <v>3</v>
      </c>
      <c r="BZ24" s="115"/>
      <c r="CA24" s="115"/>
      <c r="CB24" s="115"/>
      <c r="CC24" s="115"/>
      <c r="CD24" s="115"/>
      <c r="CE24" s="115"/>
      <c r="CF24" s="115"/>
      <c r="CG24" s="115"/>
      <c r="CH24" s="115"/>
      <c r="CI24" s="115"/>
      <c r="CJ24" s="115"/>
      <c r="CK24" s="115"/>
      <c r="CL24" s="115"/>
      <c r="CM24" s="115"/>
      <c r="CN24" s="115"/>
      <c r="CO24" s="115"/>
      <c r="CP24" s="115"/>
      <c r="CQ24" s="115"/>
      <c r="CR24" s="115"/>
      <c r="CS24" s="186">
        <f t="shared" si="3"/>
        <v>26</v>
      </c>
      <c r="CT24" s="186" cm="1">
        <f t="array" ref="CT24">SUMPRODUCT(--(B24:CR24=INT(B24:CR24)),--(B24:CR24&gt;0))</f>
        <v>24</v>
      </c>
      <c r="CU24" s="186" cm="1">
        <f t="array" ref="CU24">MAX(FREQUENCY(IF((B24:CR24=INT(B24:CR24))*(B24:CR24&gt;0),COLUMN(B24:CR24)),IF((B24:CR24&lt;&gt;INT(B24:CR24))+(B24:CR24&lt;=0),COLUMN(B24:CR24))))</f>
        <v>4</v>
      </c>
      <c r="CV24" s="187">
        <f t="shared" si="4"/>
        <v>0.25</v>
      </c>
      <c r="CW24" s="188">
        <f t="shared" si="0"/>
        <v>14</v>
      </c>
      <c r="CX24" s="188">
        <f t="shared" si="1"/>
        <v>14</v>
      </c>
      <c r="CY24" s="188">
        <f t="shared" si="2"/>
        <v>13</v>
      </c>
    </row>
    <row r="25" customHeight="1" spans="1:103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15"/>
      <c r="CE25" s="115"/>
      <c r="CF25" s="115"/>
      <c r="CG25" s="115"/>
      <c r="CH25" s="115"/>
      <c r="CI25" s="115"/>
      <c r="CJ25" s="115"/>
      <c r="CK25" s="115"/>
      <c r="CL25" s="115"/>
      <c r="CM25" s="115"/>
      <c r="CN25" s="115"/>
      <c r="CO25" s="115"/>
      <c r="CP25" s="115"/>
      <c r="CQ25" s="115"/>
      <c r="CR25" s="115"/>
      <c r="CS25" s="186">
        <f t="shared" si="3"/>
        <v>1</v>
      </c>
      <c r="CT25" s="186" cm="1">
        <f t="array" ref="CT25">SUMPRODUCT(--(B25:CR25=INT(B25:CR25)),--(B25:CR25&gt;0))</f>
        <v>1</v>
      </c>
      <c r="CU25" s="186" cm="1">
        <f t="array" ref="CU25">MAX(FREQUENCY(IF((B25:CR25=INT(B25:CR25))*(B25:CR25&gt;0),COLUMN(B25:CR25)),IF((B25:CR25&lt;&gt;INT(B25:CR25))+(B25:CR25&lt;=0),COLUMN(B25:CR25))))</f>
        <v>1</v>
      </c>
      <c r="CV25" s="187">
        <f t="shared" si="4"/>
        <v>0.0104166666666667</v>
      </c>
      <c r="CW25" s="188">
        <f t="shared" si="0"/>
        <v>39</v>
      </c>
      <c r="CX25" s="188">
        <f t="shared" si="1"/>
        <v>39</v>
      </c>
      <c r="CY25" s="188">
        <f t="shared" si="2"/>
        <v>28</v>
      </c>
    </row>
    <row r="26" customHeight="1" spans="1:103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15"/>
      <c r="CE26" s="115"/>
      <c r="CF26" s="115"/>
      <c r="CG26" s="115"/>
      <c r="CH26" s="115"/>
      <c r="CI26" s="115"/>
      <c r="CJ26" s="115"/>
      <c r="CK26" s="115"/>
      <c r="CL26" s="115"/>
      <c r="CM26" s="115"/>
      <c r="CN26" s="115"/>
      <c r="CO26" s="115"/>
      <c r="CP26" s="115"/>
      <c r="CQ26" s="115"/>
      <c r="CR26" s="115"/>
      <c r="CS26" s="186">
        <f t="shared" si="3"/>
        <v>0</v>
      </c>
      <c r="CT26" s="186" cm="1">
        <f t="array" ref="CT26">SUMPRODUCT(--(B26:CR26=INT(B26:CR26)),--(B26:CR26&gt;0))</f>
        <v>0</v>
      </c>
      <c r="CU26" s="186" cm="1">
        <f t="array" ref="CU26">MAX(FREQUENCY(IF((B26:CR26=INT(B26:CR26))*(B26:CR26&gt;0),COLUMN(B26:CR26)),IF((B26:CR26&lt;&gt;INT(B26:CR26))+(B26:CR26&lt;=0),COLUMN(B26:CR26))))</f>
        <v>0</v>
      </c>
      <c r="CV26" s="187">
        <f t="shared" si="4"/>
        <v>0</v>
      </c>
      <c r="CW26" s="188">
        <f t="shared" si="0"/>
        <v>45</v>
      </c>
      <c r="CX26" s="188">
        <f t="shared" si="1"/>
        <v>45</v>
      </c>
      <c r="CY26" s="188">
        <f t="shared" si="2"/>
        <v>45</v>
      </c>
    </row>
    <row r="27" customHeight="1" spans="1:103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15"/>
      <c r="CE27" s="115"/>
      <c r="CF27" s="115"/>
      <c r="CG27" s="115"/>
      <c r="CH27" s="115"/>
      <c r="CI27" s="115"/>
      <c r="CJ27" s="115"/>
      <c r="CK27" s="115"/>
      <c r="CL27" s="115"/>
      <c r="CM27" s="115"/>
      <c r="CN27" s="115"/>
      <c r="CO27" s="115"/>
      <c r="CP27" s="115"/>
      <c r="CQ27" s="115"/>
      <c r="CR27" s="115"/>
      <c r="CS27" s="186">
        <f t="shared" si="3"/>
        <v>1</v>
      </c>
      <c r="CT27" s="186" cm="1">
        <f t="array" ref="CT27">SUMPRODUCT(--(B27:CR27=INT(B27:CR27)),--(B27:CR27&gt;0))</f>
        <v>1</v>
      </c>
      <c r="CU27" s="186" cm="1">
        <f t="array" ref="CU27">MAX(FREQUENCY(IF((B27:CR27=INT(B27:CR27))*(B27:CR27&gt;0),COLUMN(B27:CR27)),IF((B27:CR27&lt;&gt;INT(B27:CR27))+(B27:CR27&lt;=0),COLUMN(B27:CR27))))</f>
        <v>1</v>
      </c>
      <c r="CV27" s="187">
        <f t="shared" si="4"/>
        <v>0.0104166666666667</v>
      </c>
      <c r="CW27" s="188">
        <f t="shared" si="0"/>
        <v>39</v>
      </c>
      <c r="CX27" s="188">
        <f t="shared" si="1"/>
        <v>39</v>
      </c>
      <c r="CY27" s="188">
        <f t="shared" si="2"/>
        <v>28</v>
      </c>
    </row>
    <row r="28" customHeight="1" spans="1:103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>
        <v>2</v>
      </c>
      <c r="CA28" s="115"/>
      <c r="CB28" s="115">
        <v>2</v>
      </c>
      <c r="CC28" s="115"/>
      <c r="CD28" s="115">
        <v>1</v>
      </c>
      <c r="CE28" s="115"/>
      <c r="CF28" s="115"/>
      <c r="CG28" s="115">
        <v>1</v>
      </c>
      <c r="CH28" s="115"/>
      <c r="CI28" s="115"/>
      <c r="CJ28" s="115"/>
      <c r="CK28" s="115"/>
      <c r="CL28" s="115"/>
      <c r="CM28" s="115"/>
      <c r="CN28" s="115"/>
      <c r="CO28" s="115"/>
      <c r="CP28" s="115"/>
      <c r="CQ28" s="115"/>
      <c r="CR28" s="115"/>
      <c r="CS28" s="186">
        <f t="shared" si="3"/>
        <v>30</v>
      </c>
      <c r="CT28" s="186" cm="1">
        <f t="array" ref="CT28">SUMPRODUCT(--(B28:CR28=INT(B28:CR28)),--(B28:CR28&gt;0))</f>
        <v>25</v>
      </c>
      <c r="CU28" s="186" cm="1">
        <f t="array" ref="CU28">MAX(FREQUENCY(IF((B28:CR28=INT(B28:CR28))*(B28:CR28&gt;0),COLUMN(B28:CR28)),IF((B28:CR28&lt;&gt;INT(B28:CR28))+(B28:CR28&lt;=0),COLUMN(B28:CR28))))</f>
        <v>5</v>
      </c>
      <c r="CV28" s="187">
        <f t="shared" si="4"/>
        <v>0.260416666666667</v>
      </c>
      <c r="CW28" s="188">
        <f t="shared" si="0"/>
        <v>13</v>
      </c>
      <c r="CX28" s="188">
        <f t="shared" si="1"/>
        <v>13</v>
      </c>
      <c r="CY28" s="188">
        <f t="shared" si="2"/>
        <v>9</v>
      </c>
    </row>
    <row r="29" customHeight="1" spans="1:103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>
        <v>1</v>
      </c>
      <c r="BZ29" s="115"/>
      <c r="CA29" s="115"/>
      <c r="CB29" s="115"/>
      <c r="CC29" s="115"/>
      <c r="CD29" s="115"/>
      <c r="CE29" s="115"/>
      <c r="CF29" s="115"/>
      <c r="CG29" s="115"/>
      <c r="CH29" s="115"/>
      <c r="CI29" s="115"/>
      <c r="CJ29" s="115"/>
      <c r="CK29" s="115"/>
      <c r="CL29" s="115"/>
      <c r="CM29" s="115"/>
      <c r="CN29" s="115"/>
      <c r="CO29" s="115"/>
      <c r="CP29" s="115"/>
      <c r="CQ29" s="115"/>
      <c r="CR29" s="115"/>
      <c r="CS29" s="186">
        <f t="shared" si="3"/>
        <v>17</v>
      </c>
      <c r="CT29" s="186" cm="1">
        <f t="array" ref="CT29">SUMPRODUCT(--(B29:CR29=INT(B29:CR29)),--(B29:CR29&gt;0))</f>
        <v>17</v>
      </c>
      <c r="CU29" s="186" cm="1">
        <f t="array" ref="CU29">MAX(FREQUENCY(IF((B29:CR29=INT(B29:CR29))*(B29:CR29&gt;0),COLUMN(B29:CR29)),IF((B29:CR29&lt;&gt;INT(B29:CR29))+(B29:CR29&lt;=0),COLUMN(B29:CR29))))</f>
        <v>5</v>
      </c>
      <c r="CV29" s="187">
        <f t="shared" si="4"/>
        <v>0.177083333333333</v>
      </c>
      <c r="CW29" s="188">
        <f t="shared" si="0"/>
        <v>19</v>
      </c>
      <c r="CX29" s="188">
        <f t="shared" si="1"/>
        <v>19</v>
      </c>
      <c r="CY29" s="188">
        <f t="shared" si="2"/>
        <v>9</v>
      </c>
    </row>
    <row r="30" customHeight="1" spans="1:103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15">
        <v>1</v>
      </c>
      <c r="CE30" s="115"/>
      <c r="CF30" s="115"/>
      <c r="CG30" s="115">
        <v>1</v>
      </c>
      <c r="CH30" s="115">
        <v>1</v>
      </c>
      <c r="CI30" s="115"/>
      <c r="CJ30" s="115"/>
      <c r="CK30" s="115"/>
      <c r="CL30" s="115"/>
      <c r="CM30" s="115"/>
      <c r="CN30" s="115"/>
      <c r="CO30" s="115"/>
      <c r="CP30" s="115"/>
      <c r="CQ30" s="115"/>
      <c r="CR30" s="115"/>
      <c r="CS30" s="186">
        <f t="shared" si="3"/>
        <v>16</v>
      </c>
      <c r="CT30" s="186" cm="1">
        <f t="array" ref="CT30">SUMPRODUCT(--(B30:CR30=INT(B30:CR30)),--(B30:CR30&gt;0))</f>
        <v>15</v>
      </c>
      <c r="CU30" s="186" cm="1">
        <f t="array" ref="CU30">MAX(FREQUENCY(IF((B30:CR30=INT(B30:CR30))*(B30:CR30&gt;0),COLUMN(B30:CR30)),IF((B30:CR30&lt;&gt;INT(B30:CR30))+(B30:CR30&lt;=0),COLUMN(B30:CR30))))</f>
        <v>4</v>
      </c>
      <c r="CV30" s="187">
        <f t="shared" si="4"/>
        <v>0.15625</v>
      </c>
      <c r="CW30" s="188">
        <f t="shared" si="0"/>
        <v>20</v>
      </c>
      <c r="CX30" s="188">
        <f t="shared" si="1"/>
        <v>20</v>
      </c>
      <c r="CY30" s="188">
        <f t="shared" si="2"/>
        <v>13</v>
      </c>
    </row>
    <row r="31" customHeight="1" spans="1:103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>
        <v>1</v>
      </c>
      <c r="BW31" s="115"/>
      <c r="BX31" s="115"/>
      <c r="BY31" s="115"/>
      <c r="BZ31" s="115"/>
      <c r="CA31" s="115"/>
      <c r="CB31" s="115">
        <v>1</v>
      </c>
      <c r="CC31" s="115"/>
      <c r="CD31" s="115">
        <v>1</v>
      </c>
      <c r="CE31" s="115"/>
      <c r="CF31" s="115"/>
      <c r="CG31" s="115">
        <v>1</v>
      </c>
      <c r="CH31" s="115"/>
      <c r="CI31" s="115"/>
      <c r="CJ31" s="115"/>
      <c r="CK31" s="115"/>
      <c r="CL31" s="115"/>
      <c r="CM31" s="115"/>
      <c r="CN31" s="115"/>
      <c r="CO31" s="115"/>
      <c r="CP31" s="115"/>
      <c r="CQ31" s="115"/>
      <c r="CR31" s="115"/>
      <c r="CS31" s="186">
        <f t="shared" si="3"/>
        <v>24</v>
      </c>
      <c r="CT31" s="186" cm="1">
        <f t="array" ref="CT31">SUMPRODUCT(--(B31:CR31=INT(B31:CR31)),--(B31:CR31&gt;0))</f>
        <v>22</v>
      </c>
      <c r="CU31" s="186" cm="1">
        <f t="array" ref="CU31">MAX(FREQUENCY(IF((B31:CR31=INT(B31:CR31))*(B31:CR31&gt;0),COLUMN(B31:CR31)),IF((B31:CR31&lt;&gt;INT(B31:CR31))+(B31:CR31&lt;=0),COLUMN(B31:CR31))))</f>
        <v>3</v>
      </c>
      <c r="CV31" s="187">
        <f t="shared" si="4"/>
        <v>0.229166666666667</v>
      </c>
      <c r="CW31" s="188">
        <f t="shared" si="0"/>
        <v>17</v>
      </c>
      <c r="CX31" s="188">
        <f t="shared" si="1"/>
        <v>16</v>
      </c>
      <c r="CY31" s="188">
        <f t="shared" si="2"/>
        <v>19</v>
      </c>
    </row>
    <row r="32" customHeight="1" spans="1:103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>
        <v>2</v>
      </c>
      <c r="BW32" s="115"/>
      <c r="BX32" s="115"/>
      <c r="BY32" s="115"/>
      <c r="BZ32" s="115">
        <v>1</v>
      </c>
      <c r="CA32" s="115"/>
      <c r="CB32" s="115">
        <v>1</v>
      </c>
      <c r="CC32" s="115"/>
      <c r="CD32" s="115"/>
      <c r="CE32" s="115"/>
      <c r="CF32" s="115"/>
      <c r="CG32" s="115">
        <v>2</v>
      </c>
      <c r="CH32" s="115">
        <v>1</v>
      </c>
      <c r="CI32" s="115"/>
      <c r="CJ32" s="115"/>
      <c r="CK32" s="115">
        <v>1</v>
      </c>
      <c r="CL32" s="115"/>
      <c r="CM32" s="115"/>
      <c r="CN32" s="115"/>
      <c r="CO32" s="115"/>
      <c r="CP32" s="115"/>
      <c r="CQ32" s="115"/>
      <c r="CR32" s="115"/>
      <c r="CS32" s="186">
        <f t="shared" si="3"/>
        <v>32</v>
      </c>
      <c r="CT32" s="186" cm="1">
        <f t="array" ref="CT32">SUMPRODUCT(--(B32:CR32=INT(B32:CR32)),--(B32:CR32&gt;0))</f>
        <v>28</v>
      </c>
      <c r="CU32" s="186" cm="1">
        <f t="array" ref="CU32">MAX(FREQUENCY(IF((B32:CR32=INT(B32:CR32))*(B32:CR32&gt;0),COLUMN(B32:CR32)),IF((B32:CR32&lt;&gt;INT(B32:CR32))+(B32:CR32&lt;=0),COLUMN(B32:CR32))))</f>
        <v>7</v>
      </c>
      <c r="CV32" s="187">
        <f t="shared" si="4"/>
        <v>0.291666666666667</v>
      </c>
      <c r="CW32" s="188">
        <f t="shared" si="0"/>
        <v>11</v>
      </c>
      <c r="CX32" s="188">
        <f t="shared" si="1"/>
        <v>11</v>
      </c>
      <c r="CY32" s="188">
        <f t="shared" si="2"/>
        <v>3</v>
      </c>
    </row>
    <row r="33" customHeight="1" spans="1:103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>
        <v>1</v>
      </c>
      <c r="BW33" s="115"/>
      <c r="BX33" s="115"/>
      <c r="BY33" s="115"/>
      <c r="BZ33" s="115"/>
      <c r="CA33" s="115"/>
      <c r="CB33" s="115"/>
      <c r="CC33" s="115"/>
      <c r="CD33" s="115">
        <v>1</v>
      </c>
      <c r="CE33" s="115"/>
      <c r="CF33" s="115"/>
      <c r="CG33" s="115"/>
      <c r="CH33" s="115">
        <v>1</v>
      </c>
      <c r="CI33" s="115"/>
      <c r="CJ33" s="115"/>
      <c r="CK33" s="115">
        <v>1</v>
      </c>
      <c r="CL33" s="115"/>
      <c r="CM33" s="115"/>
      <c r="CN33" s="115"/>
      <c r="CO33" s="115"/>
      <c r="CP33" s="115"/>
      <c r="CQ33" s="115"/>
      <c r="CR33" s="115"/>
      <c r="CS33" s="186">
        <f t="shared" si="3"/>
        <v>13</v>
      </c>
      <c r="CT33" s="186" cm="1">
        <f t="array" ref="CT33">SUMPRODUCT(--(B33:CR33=INT(B33:CR33)),--(B33:CR33&gt;0))</f>
        <v>13</v>
      </c>
      <c r="CU33" s="186" cm="1">
        <f t="array" ref="CU33">MAX(FREQUENCY(IF((B33:CR33=INT(B33:CR33))*(B33:CR33&gt;0),COLUMN(B33:CR33)),IF((B33:CR33&lt;&gt;INT(B33:CR33))+(B33:CR33&lt;=0),COLUMN(B33:CR33))))</f>
        <v>1</v>
      </c>
      <c r="CV33" s="187">
        <f t="shared" si="4"/>
        <v>0.135416666666667</v>
      </c>
      <c r="CW33" s="188">
        <f t="shared" si="0"/>
        <v>25</v>
      </c>
      <c r="CX33" s="188">
        <f t="shared" si="1"/>
        <v>24</v>
      </c>
      <c r="CY33" s="188">
        <f t="shared" si="2"/>
        <v>28</v>
      </c>
    </row>
    <row r="34" customHeight="1" spans="1:103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15"/>
      <c r="CE34" s="115"/>
      <c r="CF34" s="115"/>
      <c r="CG34" s="115"/>
      <c r="CH34" s="115"/>
      <c r="CI34" s="115"/>
      <c r="CJ34" s="115"/>
      <c r="CK34" s="115"/>
      <c r="CL34" s="115"/>
      <c r="CM34" s="115"/>
      <c r="CN34" s="115"/>
      <c r="CO34" s="115"/>
      <c r="CP34" s="115"/>
      <c r="CQ34" s="115"/>
      <c r="CR34" s="115"/>
      <c r="CS34" s="186">
        <f t="shared" si="3"/>
        <v>0</v>
      </c>
      <c r="CT34" s="186" cm="1">
        <f t="array" ref="CT34">SUMPRODUCT(--(B34:CR34=INT(B34:CR34)),--(B34:CR34&gt;0))</f>
        <v>0</v>
      </c>
      <c r="CU34" s="186" cm="1">
        <f t="array" ref="CU34">MAX(FREQUENCY(IF((B34:CR34=INT(B34:CR34))*(B34:CR34&gt;0),COLUMN(B34:CR34)),IF((B34:CR34&lt;&gt;INT(B34:CR34))+(B34:CR34&lt;=0),COLUMN(B34:CR34))))</f>
        <v>0</v>
      </c>
      <c r="CV34" s="187">
        <f t="shared" si="4"/>
        <v>0</v>
      </c>
      <c r="CW34" s="188">
        <f t="shared" si="0"/>
        <v>45</v>
      </c>
      <c r="CX34" s="188">
        <f t="shared" si="1"/>
        <v>45</v>
      </c>
      <c r="CY34" s="188">
        <f t="shared" si="2"/>
        <v>45</v>
      </c>
    </row>
    <row r="35" customHeight="1" spans="1:103">
      <c r="A35" s="189">
        <v>33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89"/>
      <c r="AQ35" s="189"/>
      <c r="AR35" s="189"/>
      <c r="AS35" s="189"/>
      <c r="AT35" s="189"/>
      <c r="AU35" s="189"/>
      <c r="AV35" s="189"/>
      <c r="AW35" s="189"/>
      <c r="AX35" s="189"/>
      <c r="AY35" s="189"/>
      <c r="AZ35" s="189"/>
      <c r="BA35" s="189"/>
      <c r="BB35" s="189"/>
      <c r="BC35" s="189"/>
      <c r="BD35" s="189"/>
      <c r="BE35" s="189"/>
      <c r="BF35" s="189"/>
      <c r="BG35" s="189"/>
      <c r="BH35" s="189"/>
      <c r="BI35" s="189"/>
      <c r="BJ35" s="189"/>
      <c r="BK35" s="189"/>
      <c r="BL35" s="189"/>
      <c r="BM35" s="189"/>
      <c r="BN35" s="189"/>
      <c r="BO35" s="189"/>
      <c r="BP35" s="189"/>
      <c r="BQ35" s="189"/>
      <c r="BR35" s="189"/>
      <c r="BS35" s="189"/>
      <c r="BT35" s="189"/>
      <c r="BU35" s="189"/>
      <c r="BV35" s="189"/>
      <c r="BW35" s="189"/>
      <c r="BX35" s="189"/>
      <c r="BY35" s="189"/>
      <c r="BZ35" s="189"/>
      <c r="CA35" s="189"/>
      <c r="CB35" s="189"/>
      <c r="CC35" s="189"/>
      <c r="CD35" s="189"/>
      <c r="CE35" s="189"/>
      <c r="CF35" s="189"/>
      <c r="CG35" s="189"/>
      <c r="CH35" s="189"/>
      <c r="CI35" s="189"/>
      <c r="CJ35" s="189"/>
      <c r="CK35" s="189"/>
      <c r="CL35" s="189"/>
      <c r="CM35" s="189"/>
      <c r="CN35" s="189"/>
      <c r="CO35" s="189"/>
      <c r="CP35" s="189"/>
      <c r="CQ35" s="189"/>
      <c r="CR35" s="189"/>
      <c r="CS35" s="186">
        <f t="shared" si="3"/>
        <v>0</v>
      </c>
      <c r="CT35" s="186" cm="1">
        <f t="array" ref="CT35">SUMPRODUCT(--(B35:CR35=INT(B35:CR35)),--(B35:CR35&gt;0))</f>
        <v>0</v>
      </c>
      <c r="CU35" s="186" cm="1">
        <f t="array" ref="CU35">MAX(FREQUENCY(IF((B35:CR35=INT(B35:CR35))*(B35:CR35&gt;0),COLUMN(B35:CR35)),IF((B35:CR35&lt;&gt;INT(B35:CR35))+(B35:CR35&lt;=0),COLUMN(B35:CR35))))</f>
        <v>0</v>
      </c>
      <c r="CV35" s="187">
        <f t="shared" si="4"/>
        <v>0</v>
      </c>
      <c r="CW35" s="188">
        <f t="shared" si="0"/>
        <v>45</v>
      </c>
      <c r="CX35" s="188">
        <f t="shared" si="1"/>
        <v>45</v>
      </c>
      <c r="CY35" s="188">
        <f t="shared" si="2"/>
        <v>45</v>
      </c>
    </row>
    <row r="36" customHeight="1" spans="1:103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15"/>
      <c r="CE36" s="115"/>
      <c r="CF36" s="115"/>
      <c r="CG36" s="115"/>
      <c r="CH36" s="115"/>
      <c r="CI36" s="115"/>
      <c r="CJ36" s="115"/>
      <c r="CK36" s="115"/>
      <c r="CL36" s="115"/>
      <c r="CM36" s="115"/>
      <c r="CN36" s="115"/>
      <c r="CO36" s="115"/>
      <c r="CP36" s="115"/>
      <c r="CQ36" s="115"/>
      <c r="CR36" s="115"/>
      <c r="CS36" s="186">
        <f t="shared" ref="CS36:CS53" si="5">SUM(B36:CR36)</f>
        <v>2</v>
      </c>
      <c r="CT36" s="186" cm="1">
        <f t="array" ref="CT36">SUMPRODUCT(--(B36:CR36=INT(B36:CR36)),--(B36:CR36&gt;0))</f>
        <v>2</v>
      </c>
      <c r="CU36" s="186" cm="1">
        <f t="array" ref="CU36">MAX(FREQUENCY(IF((B36:CR36=INT(B36:CR36))*(B36:CR36&gt;0),COLUMN(B36:CR36)),IF((B36:CR36&lt;&gt;INT(B36:CR36))+(B36:CR36&lt;=0),COLUMN(B36:CR36))))</f>
        <v>1</v>
      </c>
      <c r="CV36" s="187">
        <f t="shared" ref="CV36:CV53" si="6">SUMPRODUCT(--CT36)/96*100%</f>
        <v>0.0208333333333333</v>
      </c>
      <c r="CW36" s="188">
        <f t="shared" si="0"/>
        <v>36</v>
      </c>
      <c r="CX36" s="188">
        <f t="shared" si="1"/>
        <v>36</v>
      </c>
      <c r="CY36" s="188">
        <f t="shared" si="2"/>
        <v>28</v>
      </c>
    </row>
    <row r="37" customHeight="1" spans="1:103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>
        <v>1</v>
      </c>
      <c r="BW37" s="115"/>
      <c r="BX37" s="115"/>
      <c r="BY37" s="115"/>
      <c r="BZ37" s="115"/>
      <c r="CA37" s="115"/>
      <c r="CB37" s="115"/>
      <c r="CC37" s="115"/>
      <c r="CD37" s="115">
        <v>1</v>
      </c>
      <c r="CE37" s="115"/>
      <c r="CF37" s="115"/>
      <c r="CG37" s="115">
        <v>1</v>
      </c>
      <c r="CH37" s="115">
        <v>1</v>
      </c>
      <c r="CI37" s="115"/>
      <c r="CJ37" s="115"/>
      <c r="CK37" s="115"/>
      <c r="CL37" s="115"/>
      <c r="CM37" s="115"/>
      <c r="CN37" s="115"/>
      <c r="CO37" s="115"/>
      <c r="CP37" s="115"/>
      <c r="CQ37" s="115"/>
      <c r="CR37" s="115"/>
      <c r="CS37" s="186">
        <f t="shared" si="5"/>
        <v>20</v>
      </c>
      <c r="CT37" s="186" cm="1">
        <f t="array" ref="CT37">SUMPRODUCT(--(B37:CR37=INT(B37:CR37)),--(B37:CR37&gt;0))</f>
        <v>19</v>
      </c>
      <c r="CU37" s="186" cm="1">
        <f t="array" ref="CU37">MAX(FREQUENCY(IF((B37:CR37=INT(B37:CR37))*(B37:CR37&gt;0),COLUMN(B37:CR37)),IF((B37:CR37&lt;&gt;INT(B37:CR37))+(B37:CR37&lt;=0),COLUMN(B37:CR37))))</f>
        <v>3</v>
      </c>
      <c r="CV37" s="187">
        <f t="shared" si="6"/>
        <v>0.197916666666667</v>
      </c>
      <c r="CW37" s="188">
        <f t="shared" si="0"/>
        <v>18</v>
      </c>
      <c r="CX37" s="188">
        <f t="shared" si="1"/>
        <v>18</v>
      </c>
      <c r="CY37" s="188">
        <f t="shared" si="2"/>
        <v>19</v>
      </c>
    </row>
    <row r="38" customHeight="1" spans="1:103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>
        <v>2</v>
      </c>
      <c r="BV38" s="115"/>
      <c r="BW38" s="115"/>
      <c r="BX38" s="115"/>
      <c r="BY38" s="115">
        <v>1</v>
      </c>
      <c r="BZ38" s="115">
        <v>1</v>
      </c>
      <c r="CA38" s="115"/>
      <c r="CB38" s="115"/>
      <c r="CC38" s="115"/>
      <c r="CD38" s="115"/>
      <c r="CE38" s="115"/>
      <c r="CF38" s="115"/>
      <c r="CG38" s="115">
        <v>1</v>
      </c>
      <c r="CH38" s="115">
        <v>1</v>
      </c>
      <c r="CI38" s="115"/>
      <c r="CJ38" s="115"/>
      <c r="CK38" s="115">
        <v>1</v>
      </c>
      <c r="CL38" s="115"/>
      <c r="CM38" s="115"/>
      <c r="CN38" s="115"/>
      <c r="CO38" s="115"/>
      <c r="CP38" s="115"/>
      <c r="CQ38" s="115"/>
      <c r="CR38" s="115"/>
      <c r="CS38" s="186">
        <f t="shared" si="5"/>
        <v>16</v>
      </c>
      <c r="CT38" s="186" cm="1">
        <f t="array" ref="CT38">SUMPRODUCT(--(B38:CR38=INT(B38:CR38)),--(B38:CR38&gt;0))</f>
        <v>14</v>
      </c>
      <c r="CU38" s="186" cm="1">
        <f t="array" ref="CU38">MAX(FREQUENCY(IF((B38:CR38=INT(B38:CR38))*(B38:CR38&gt;0),COLUMN(B38:CR38)),IF((B38:CR38&lt;&gt;INT(B38:CR38))+(B38:CR38&lt;=0),COLUMN(B38:CR38))))</f>
        <v>3</v>
      </c>
      <c r="CV38" s="187">
        <f t="shared" si="6"/>
        <v>0.145833333333333</v>
      </c>
      <c r="CW38" s="188">
        <f t="shared" si="0"/>
        <v>20</v>
      </c>
      <c r="CX38" s="188">
        <f t="shared" si="1"/>
        <v>22</v>
      </c>
      <c r="CY38" s="188">
        <f t="shared" si="2"/>
        <v>19</v>
      </c>
    </row>
    <row r="39" customHeight="1" spans="1:103">
      <c r="A39" s="189">
        <v>37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89"/>
      <c r="AQ39" s="189"/>
      <c r="AR39" s="189"/>
      <c r="AS39" s="189"/>
      <c r="AT39" s="189"/>
      <c r="AU39" s="189"/>
      <c r="AV39" s="189"/>
      <c r="AW39" s="189"/>
      <c r="AX39" s="189"/>
      <c r="AY39" s="189"/>
      <c r="AZ39" s="189"/>
      <c r="BA39" s="189"/>
      <c r="BB39" s="189"/>
      <c r="BC39" s="189"/>
      <c r="BD39" s="189"/>
      <c r="BE39" s="189"/>
      <c r="BF39" s="189"/>
      <c r="BG39" s="189"/>
      <c r="BH39" s="189"/>
      <c r="BI39" s="189"/>
      <c r="BJ39" s="189"/>
      <c r="BK39" s="189"/>
      <c r="BL39" s="189"/>
      <c r="BM39" s="189"/>
      <c r="BN39" s="189"/>
      <c r="BO39" s="189"/>
      <c r="BP39" s="189"/>
      <c r="BQ39" s="189"/>
      <c r="BR39" s="189"/>
      <c r="BS39" s="189"/>
      <c r="BT39" s="189"/>
      <c r="BU39" s="189"/>
      <c r="BV39" s="189"/>
      <c r="BW39" s="189"/>
      <c r="BX39" s="189"/>
      <c r="BY39" s="189"/>
      <c r="BZ39" s="189"/>
      <c r="CA39" s="189"/>
      <c r="CB39" s="189"/>
      <c r="CC39" s="189"/>
      <c r="CD39" s="189"/>
      <c r="CE39" s="189"/>
      <c r="CF39" s="189"/>
      <c r="CG39" s="189"/>
      <c r="CH39" s="189"/>
      <c r="CI39" s="189"/>
      <c r="CJ39" s="189"/>
      <c r="CK39" s="189"/>
      <c r="CL39" s="189"/>
      <c r="CM39" s="189"/>
      <c r="CN39" s="189"/>
      <c r="CO39" s="189"/>
      <c r="CP39" s="189"/>
      <c r="CQ39" s="189"/>
      <c r="CR39" s="189"/>
      <c r="CS39" s="186">
        <f t="shared" si="5"/>
        <v>0</v>
      </c>
      <c r="CT39" s="186" cm="1">
        <f t="array" ref="CT39">SUMPRODUCT(--(B39:CR39=INT(B39:CR39)),--(B39:CR39&gt;0))</f>
        <v>0</v>
      </c>
      <c r="CU39" s="186" cm="1">
        <f t="array" ref="CU39">MAX(FREQUENCY(IF((B39:CR39=INT(B39:CR39))*(B39:CR39&gt;0),COLUMN(B39:CR39)),IF((B39:CR39&lt;&gt;INT(B39:CR39))+(B39:CR39&lt;=0),COLUMN(B39:CR39))))</f>
        <v>0</v>
      </c>
      <c r="CV39" s="187">
        <f t="shared" si="6"/>
        <v>0</v>
      </c>
      <c r="CW39" s="190">
        <f t="shared" si="0"/>
        <v>45</v>
      </c>
      <c r="CX39" s="190">
        <f t="shared" si="1"/>
        <v>45</v>
      </c>
      <c r="CY39" s="190">
        <f t="shared" si="2"/>
        <v>45</v>
      </c>
    </row>
    <row r="40" customHeight="1" spans="1:103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>
        <v>1</v>
      </c>
      <c r="BV40" s="115">
        <v>1</v>
      </c>
      <c r="BW40" s="115"/>
      <c r="BX40" s="115"/>
      <c r="BY40" s="115">
        <v>1</v>
      </c>
      <c r="BZ40" s="115"/>
      <c r="CA40" s="115">
        <v>1</v>
      </c>
      <c r="CB40" s="115">
        <v>2</v>
      </c>
      <c r="CC40" s="115"/>
      <c r="CD40" s="115">
        <v>1</v>
      </c>
      <c r="CE40" s="115">
        <v>2</v>
      </c>
      <c r="CF40" s="115"/>
      <c r="CG40" s="115"/>
      <c r="CH40" s="115"/>
      <c r="CI40" s="115"/>
      <c r="CJ40" s="115"/>
      <c r="CK40" s="115"/>
      <c r="CL40" s="115"/>
      <c r="CM40" s="115"/>
      <c r="CN40" s="115"/>
      <c r="CO40" s="115"/>
      <c r="CP40" s="115"/>
      <c r="CQ40" s="115"/>
      <c r="CR40" s="115"/>
      <c r="CS40" s="186">
        <f t="shared" si="5"/>
        <v>60</v>
      </c>
      <c r="CT40" s="186" cm="1">
        <f t="array" ref="CT40">SUMPRODUCT(--(B40:CR40=INT(B40:CR40)),--(B40:CR40&gt;0))</f>
        <v>49</v>
      </c>
      <c r="CU40" s="186" cm="1">
        <f t="array" ref="CU40">MAX(FREQUENCY(IF((B40:CR40=INT(B40:CR40))*(B40:CR40&gt;0),COLUMN(B40:CR40)),IF((B40:CR40&lt;&gt;INT(B40:CR40))+(B40:CR40&lt;=0),COLUMN(B40:CR40))))</f>
        <v>12</v>
      </c>
      <c r="CV40" s="187">
        <f t="shared" si="6"/>
        <v>0.510416666666667</v>
      </c>
      <c r="CW40" s="188">
        <f t="shared" si="0"/>
        <v>2</v>
      </c>
      <c r="CX40" s="188">
        <f t="shared" si="1"/>
        <v>2</v>
      </c>
      <c r="CY40" s="188">
        <f t="shared" si="2"/>
        <v>2</v>
      </c>
    </row>
    <row r="41" customHeight="1" spans="1:103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>
        <v>2</v>
      </c>
      <c r="BV41" s="115"/>
      <c r="BW41" s="115">
        <v>1</v>
      </c>
      <c r="BX41" s="115">
        <v>1</v>
      </c>
      <c r="BY41" s="115">
        <v>1</v>
      </c>
      <c r="BZ41" s="115">
        <v>1</v>
      </c>
      <c r="CA41" s="115"/>
      <c r="CB41" s="115">
        <v>1</v>
      </c>
      <c r="CC41" s="115"/>
      <c r="CD41" s="115"/>
      <c r="CE41" s="115"/>
      <c r="CF41" s="115"/>
      <c r="CG41" s="115"/>
      <c r="CH41" s="115"/>
      <c r="CI41" s="115"/>
      <c r="CJ41" s="115">
        <v>1</v>
      </c>
      <c r="CK41" s="115">
        <v>1</v>
      </c>
      <c r="CL41" s="115">
        <v>1</v>
      </c>
      <c r="CM41" s="115"/>
      <c r="CN41" s="115"/>
      <c r="CO41" s="115"/>
      <c r="CP41" s="115"/>
      <c r="CQ41" s="115"/>
      <c r="CR41" s="115"/>
      <c r="CS41" s="186">
        <f t="shared" si="5"/>
        <v>48</v>
      </c>
      <c r="CT41" s="186" cm="1">
        <f t="array" ref="CT41">SUMPRODUCT(--(B41:CR41=INT(B41:CR41)),--(B41:CR41&gt;0))</f>
        <v>38</v>
      </c>
      <c r="CU41" s="186" cm="1">
        <f t="array" ref="CU41">MAX(FREQUENCY(IF((B41:CR41=INT(B41:CR41))*(B41:CR41&gt;0),COLUMN(B41:CR41)),IF((B41:CR41&lt;&gt;INT(B41:CR41))+(B41:CR41&lt;=0),COLUMN(B41:CR41))))</f>
        <v>6</v>
      </c>
      <c r="CV41" s="187">
        <f t="shared" si="6"/>
        <v>0.395833333333333</v>
      </c>
      <c r="CW41" s="188">
        <f t="shared" si="0"/>
        <v>4</v>
      </c>
      <c r="CX41" s="188">
        <f t="shared" si="1"/>
        <v>6</v>
      </c>
      <c r="CY41" s="188">
        <f t="shared" si="2"/>
        <v>4</v>
      </c>
    </row>
    <row r="42" customHeight="1" spans="1:103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>
        <v>1</v>
      </c>
      <c r="BW42" s="115"/>
      <c r="BX42" s="115"/>
      <c r="BY42" s="115"/>
      <c r="BZ42" s="115"/>
      <c r="CA42" s="115">
        <v>1</v>
      </c>
      <c r="CB42" s="115"/>
      <c r="CC42" s="115">
        <v>1</v>
      </c>
      <c r="CD42" s="115">
        <v>1</v>
      </c>
      <c r="CE42" s="115">
        <v>1</v>
      </c>
      <c r="CF42" s="115">
        <v>1</v>
      </c>
      <c r="CG42" s="115">
        <v>1</v>
      </c>
      <c r="CH42" s="115">
        <v>1</v>
      </c>
      <c r="CI42" s="115"/>
      <c r="CJ42" s="115">
        <v>1</v>
      </c>
      <c r="CK42" s="115"/>
      <c r="CL42" s="115"/>
      <c r="CM42" s="115"/>
      <c r="CN42" s="115"/>
      <c r="CO42" s="115"/>
      <c r="CP42" s="115"/>
      <c r="CQ42" s="115"/>
      <c r="CR42" s="115"/>
      <c r="CS42" s="186">
        <f t="shared" si="5"/>
        <v>53</v>
      </c>
      <c r="CT42" s="186" cm="1">
        <f t="array" ref="CT42">SUMPRODUCT(--(B42:CR42=INT(B42:CR42)),--(B42:CR42&gt;0))</f>
        <v>41</v>
      </c>
      <c r="CU42" s="186" cm="1">
        <f t="array" ref="CU42">MAX(FREQUENCY(IF((B42:CR42=INT(B42:CR42))*(B42:CR42&gt;0),COLUMN(B42:CR42)),IF((B42:CR42&lt;&gt;INT(B42:CR42))+(B42:CR42&lt;=0),COLUMN(B42:CR42))))</f>
        <v>6</v>
      </c>
      <c r="CV42" s="187">
        <f t="shared" si="6"/>
        <v>0.427083333333333</v>
      </c>
      <c r="CW42" s="188">
        <f t="shared" si="0"/>
        <v>3</v>
      </c>
      <c r="CX42" s="188">
        <f t="shared" si="1"/>
        <v>4</v>
      </c>
      <c r="CY42" s="188">
        <f t="shared" si="2"/>
        <v>4</v>
      </c>
    </row>
    <row r="43" customHeight="1" spans="1:103">
      <c r="A43" s="115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>
        <v>1</v>
      </c>
      <c r="BY43" s="115"/>
      <c r="BZ43" s="115"/>
      <c r="CA43" s="115"/>
      <c r="CB43" s="115"/>
      <c r="CC43" s="115"/>
      <c r="CD43" s="115"/>
      <c r="CE43" s="115"/>
      <c r="CF43" s="115"/>
      <c r="CG43" s="115"/>
      <c r="CH43" s="115"/>
      <c r="CI43" s="115"/>
      <c r="CJ43" s="115"/>
      <c r="CK43" s="115"/>
      <c r="CL43" s="115"/>
      <c r="CM43" s="115"/>
      <c r="CN43" s="115"/>
      <c r="CO43" s="115"/>
      <c r="CP43" s="115"/>
      <c r="CQ43" s="115"/>
      <c r="CR43" s="115"/>
      <c r="CS43" s="186">
        <f t="shared" si="5"/>
        <v>1</v>
      </c>
      <c r="CT43" s="186" cm="1">
        <f t="array" ref="CT43">SUMPRODUCT(--(B43:CR43=INT(B43:CR43)),--(B43:CR43&gt;0))</f>
        <v>1</v>
      </c>
      <c r="CU43" s="186" cm="1">
        <f t="array" ref="CU43">MAX(FREQUENCY(IF((B43:CR43=INT(B43:CR43))*(B43:CR43&gt;0),COLUMN(B43:CR43)),IF((B43:CR43&lt;&gt;INT(B43:CR43))+(B43:CR43&lt;=0),COLUMN(B43:CR43))))</f>
        <v>1</v>
      </c>
      <c r="CV43" s="187">
        <f t="shared" si="6"/>
        <v>0.0104166666666667</v>
      </c>
      <c r="CW43" s="188">
        <f t="shared" si="0"/>
        <v>39</v>
      </c>
      <c r="CX43" s="188">
        <f t="shared" si="1"/>
        <v>39</v>
      </c>
      <c r="CY43" s="188">
        <f t="shared" si="2"/>
        <v>28</v>
      </c>
    </row>
    <row r="44" customHeight="1" spans="1:103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>
        <v>1</v>
      </c>
      <c r="BV44" s="115">
        <v>1</v>
      </c>
      <c r="BW44" s="115">
        <v>1</v>
      </c>
      <c r="BX44" s="115"/>
      <c r="BY44" s="115"/>
      <c r="BZ44" s="115">
        <v>1</v>
      </c>
      <c r="CA44" s="115">
        <v>1</v>
      </c>
      <c r="CB44" s="115">
        <v>1</v>
      </c>
      <c r="CC44" s="115"/>
      <c r="CD44" s="115"/>
      <c r="CE44" s="115">
        <v>1</v>
      </c>
      <c r="CF44" s="115"/>
      <c r="CG44" s="115"/>
      <c r="CH44" s="115">
        <v>1</v>
      </c>
      <c r="CI44" s="115"/>
      <c r="CJ44" s="115"/>
      <c r="CK44" s="115"/>
      <c r="CL44" s="115"/>
      <c r="CM44" s="115"/>
      <c r="CN44" s="115"/>
      <c r="CO44" s="115"/>
      <c r="CP44" s="115"/>
      <c r="CQ44" s="115"/>
      <c r="CR44" s="115"/>
      <c r="CS44" s="186">
        <f t="shared" si="5"/>
        <v>46</v>
      </c>
      <c r="CT44" s="186" cm="1">
        <f t="array" ref="CT44">SUMPRODUCT(--(B44:CR44=INT(B44:CR44)),--(B44:CR44&gt;0))</f>
        <v>39</v>
      </c>
      <c r="CU44" s="186" cm="1">
        <f t="array" ref="CU44">MAX(FREQUENCY(IF((B44:CR44=INT(B44:CR44))*(B44:CR44&gt;0),COLUMN(B44:CR44)),IF((B44:CR44&lt;&gt;INT(B44:CR44))+(B44:CR44&lt;=0),COLUMN(B44:CR44))))</f>
        <v>6</v>
      </c>
      <c r="CV44" s="187">
        <f t="shared" si="6"/>
        <v>0.40625</v>
      </c>
      <c r="CW44" s="188">
        <f t="shared" si="0"/>
        <v>5</v>
      </c>
      <c r="CX44" s="188">
        <f t="shared" si="1"/>
        <v>5</v>
      </c>
      <c r="CY44" s="188">
        <f t="shared" si="2"/>
        <v>4</v>
      </c>
    </row>
    <row r="45" customHeight="1" spans="1:103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15"/>
      <c r="CE45" s="115"/>
      <c r="CF45" s="115"/>
      <c r="CG45" s="115"/>
      <c r="CH45" s="115"/>
      <c r="CI45" s="115"/>
      <c r="CJ45" s="115"/>
      <c r="CK45" s="115"/>
      <c r="CL45" s="115"/>
      <c r="CM45" s="115"/>
      <c r="CN45" s="115"/>
      <c r="CO45" s="115"/>
      <c r="CP45" s="115"/>
      <c r="CQ45" s="115"/>
      <c r="CR45" s="115"/>
      <c r="CS45" s="186">
        <f t="shared" si="5"/>
        <v>0</v>
      </c>
      <c r="CT45" s="186" cm="1">
        <f t="array" ref="CT45">SUMPRODUCT(--(B45:CR45=INT(B45:CR45)),--(B45:CR45&gt;0))</f>
        <v>0</v>
      </c>
      <c r="CU45" s="186" cm="1">
        <f t="array" ref="CU45">MAX(FREQUENCY(IF((B45:CR45=INT(B45:CR45))*(B45:CR45&gt;0),COLUMN(B45:CR45)),IF((B45:CR45&lt;&gt;INT(B45:CR45))+(B45:CR45&lt;=0),COLUMN(B45:CR45))))</f>
        <v>0</v>
      </c>
      <c r="CV45" s="187">
        <f t="shared" si="6"/>
        <v>0</v>
      </c>
      <c r="CW45" s="188">
        <f t="shared" si="0"/>
        <v>45</v>
      </c>
      <c r="CX45" s="188">
        <f t="shared" si="1"/>
        <v>45</v>
      </c>
      <c r="CY45" s="188">
        <f t="shared" si="2"/>
        <v>45</v>
      </c>
    </row>
    <row r="46" customHeight="1" spans="1:103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>
        <v>1</v>
      </c>
      <c r="BV46" s="115">
        <v>2</v>
      </c>
      <c r="BW46" s="115">
        <v>2</v>
      </c>
      <c r="BX46" s="115">
        <v>2</v>
      </c>
      <c r="BY46" s="115">
        <v>1</v>
      </c>
      <c r="BZ46" s="115">
        <v>1</v>
      </c>
      <c r="CA46" s="115"/>
      <c r="CB46" s="115"/>
      <c r="CC46" s="115"/>
      <c r="CD46" s="115">
        <v>1</v>
      </c>
      <c r="CE46" s="115">
        <v>1</v>
      </c>
      <c r="CF46" s="115">
        <v>2</v>
      </c>
      <c r="CG46" s="115">
        <v>1</v>
      </c>
      <c r="CH46" s="115">
        <v>1</v>
      </c>
      <c r="CI46" s="115">
        <v>1</v>
      </c>
      <c r="CJ46" s="115">
        <v>1</v>
      </c>
      <c r="CK46" s="115">
        <v>1</v>
      </c>
      <c r="CL46" s="115"/>
      <c r="CM46" s="115"/>
      <c r="CN46" s="115"/>
      <c r="CO46" s="115"/>
      <c r="CP46" s="115"/>
      <c r="CQ46" s="115"/>
      <c r="CR46" s="115"/>
      <c r="CS46" s="186">
        <f t="shared" si="5"/>
        <v>81</v>
      </c>
      <c r="CT46" s="186" cm="1">
        <f t="array" ref="CT46">SUMPRODUCT(--(B46:CR46=INT(B46:CR46)),--(B46:CR46&gt;0))</f>
        <v>62</v>
      </c>
      <c r="CU46" s="186" cm="1">
        <f t="array" ref="CU46">MAX(FREQUENCY(IF((B46:CR46=INT(B46:CR46))*(B46:CR46&gt;0),COLUMN(B46:CR46)),IF((B46:CR46&lt;&gt;INT(B46:CR46))+(B46:CR46&lt;=0),COLUMN(B46:CR46))))</f>
        <v>17</v>
      </c>
      <c r="CV46" s="187">
        <f t="shared" si="6"/>
        <v>0.645833333333333</v>
      </c>
      <c r="CW46" s="188">
        <f t="shared" si="0"/>
        <v>1</v>
      </c>
      <c r="CX46" s="188">
        <f t="shared" si="1"/>
        <v>1</v>
      </c>
      <c r="CY46" s="188">
        <f t="shared" si="2"/>
        <v>1</v>
      </c>
    </row>
    <row r="47" customHeight="1" spans="1:103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15"/>
      <c r="CE47" s="115"/>
      <c r="CF47" s="115"/>
      <c r="CG47" s="115"/>
      <c r="CH47" s="115"/>
      <c r="CI47" s="115"/>
      <c r="CJ47" s="115"/>
      <c r="CK47" s="115"/>
      <c r="CL47" s="115"/>
      <c r="CM47" s="115"/>
      <c r="CN47" s="115"/>
      <c r="CO47" s="115"/>
      <c r="CP47" s="115"/>
      <c r="CQ47" s="115"/>
      <c r="CR47" s="115"/>
      <c r="CS47" s="186">
        <f t="shared" si="5"/>
        <v>0</v>
      </c>
      <c r="CT47" s="186" cm="1">
        <f t="array" ref="CT47">SUMPRODUCT(--(B47:CR47=INT(B47:CR47)),--(B47:CR47&gt;0))</f>
        <v>0</v>
      </c>
      <c r="CU47" s="186" cm="1">
        <f t="array" ref="CU47">MAX(FREQUENCY(IF((B47:CR47=INT(B47:CR47))*(B47:CR47&gt;0),COLUMN(B47:CR47)),IF((B47:CR47&lt;&gt;INT(B47:CR47))+(B47:CR47&lt;=0),COLUMN(B47:CR47))))</f>
        <v>0</v>
      </c>
      <c r="CV47" s="187">
        <f t="shared" si="6"/>
        <v>0</v>
      </c>
      <c r="CW47" s="188">
        <f t="shared" si="0"/>
        <v>45</v>
      </c>
      <c r="CX47" s="188">
        <f t="shared" si="1"/>
        <v>45</v>
      </c>
      <c r="CY47" s="188">
        <f t="shared" si="2"/>
        <v>45</v>
      </c>
    </row>
    <row r="48" customHeight="1" spans="1:103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>
        <v>1</v>
      </c>
      <c r="BW48" s="115">
        <v>1</v>
      </c>
      <c r="BX48" s="115"/>
      <c r="BY48" s="115">
        <v>1</v>
      </c>
      <c r="BZ48" s="115">
        <v>1</v>
      </c>
      <c r="CA48" s="115"/>
      <c r="CB48" s="115"/>
      <c r="CC48" s="115"/>
      <c r="CD48" s="115"/>
      <c r="CE48" s="115"/>
      <c r="CF48" s="115"/>
      <c r="CG48" s="115"/>
      <c r="CH48" s="115">
        <v>1</v>
      </c>
      <c r="CI48" s="115"/>
      <c r="CJ48" s="115"/>
      <c r="CK48" s="115"/>
      <c r="CL48" s="115"/>
      <c r="CM48" s="115"/>
      <c r="CN48" s="115"/>
      <c r="CO48" s="115"/>
      <c r="CP48" s="115"/>
      <c r="CQ48" s="115"/>
      <c r="CR48" s="115"/>
      <c r="CS48" s="186">
        <f t="shared" si="5"/>
        <v>31</v>
      </c>
      <c r="CT48" s="186" cm="1">
        <f t="array" ref="CT48">SUMPRODUCT(--(B48:CR48=INT(B48:CR48)),--(B48:CR48&gt;0))</f>
        <v>27</v>
      </c>
      <c r="CU48" s="186" cm="1">
        <f t="array" ref="CU48">MAX(FREQUENCY(IF((B48:CR48=INT(B48:CR48))*(B48:CR48&gt;0),COLUMN(B48:CR48)),IF((B48:CR48&lt;&gt;INT(B48:CR48))+(B48:CR48&lt;=0),COLUMN(B48:CR48))))</f>
        <v>3</v>
      </c>
      <c r="CV48" s="187">
        <f t="shared" si="6"/>
        <v>0.28125</v>
      </c>
      <c r="CW48" s="188">
        <f t="shared" si="0"/>
        <v>12</v>
      </c>
      <c r="CX48" s="188">
        <f t="shared" si="1"/>
        <v>12</v>
      </c>
      <c r="CY48" s="188">
        <f t="shared" si="2"/>
        <v>19</v>
      </c>
    </row>
    <row r="49" customHeight="1" spans="1:103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>
        <v>1</v>
      </c>
      <c r="BV49" s="115">
        <v>1</v>
      </c>
      <c r="BW49" s="115">
        <v>1</v>
      </c>
      <c r="BX49" s="115">
        <v>1</v>
      </c>
      <c r="BY49" s="115"/>
      <c r="BZ49" s="115">
        <v>1</v>
      </c>
      <c r="CA49" s="115">
        <v>1</v>
      </c>
      <c r="CB49" s="115"/>
      <c r="CC49" s="115"/>
      <c r="CD49" s="115"/>
      <c r="CE49" s="115"/>
      <c r="CF49" s="115"/>
      <c r="CG49" s="115"/>
      <c r="CH49" s="115"/>
      <c r="CI49" s="115"/>
      <c r="CJ49" s="115"/>
      <c r="CK49" s="115"/>
      <c r="CL49" s="115"/>
      <c r="CM49" s="115"/>
      <c r="CN49" s="115"/>
      <c r="CO49" s="115"/>
      <c r="CP49" s="115"/>
      <c r="CQ49" s="115"/>
      <c r="CR49" s="115"/>
      <c r="CS49" s="186">
        <f t="shared" si="5"/>
        <v>10</v>
      </c>
      <c r="CT49" s="186" cm="1">
        <f t="array" ref="CT49">SUMPRODUCT(--(B49:CR49=INT(B49:CR49)),--(B49:CR49&gt;0))</f>
        <v>10</v>
      </c>
      <c r="CU49" s="186" cm="1">
        <f t="array" ref="CU49">MAX(FREQUENCY(IF((B49:CR49=INT(B49:CR49))*(B49:CR49&gt;0),COLUMN(B49:CR49)),IF((B49:CR49&lt;&gt;INT(B49:CR49))+(B49:CR49&lt;=0),COLUMN(B49:CR49))))</f>
        <v>4</v>
      </c>
      <c r="CV49" s="187">
        <f t="shared" si="6"/>
        <v>0.104166666666667</v>
      </c>
      <c r="CW49" s="188">
        <f t="shared" si="0"/>
        <v>26</v>
      </c>
      <c r="CX49" s="188">
        <f t="shared" si="1"/>
        <v>26</v>
      </c>
      <c r="CY49" s="188">
        <f t="shared" si="2"/>
        <v>13</v>
      </c>
    </row>
    <row r="50" customHeight="1" spans="1:103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>
        <v>1</v>
      </c>
      <c r="BW50" s="115"/>
      <c r="BX50" s="115"/>
      <c r="BY50" s="115"/>
      <c r="BZ50" s="115"/>
      <c r="CA50" s="115"/>
      <c r="CB50" s="115"/>
      <c r="CC50" s="115"/>
      <c r="CD50" s="115"/>
      <c r="CE50" s="115"/>
      <c r="CF50" s="115"/>
      <c r="CG50" s="115">
        <v>1</v>
      </c>
      <c r="CH50" s="115"/>
      <c r="CI50" s="115"/>
      <c r="CJ50" s="115"/>
      <c r="CK50" s="115"/>
      <c r="CL50" s="115"/>
      <c r="CM50" s="115"/>
      <c r="CN50" s="115"/>
      <c r="CO50" s="115"/>
      <c r="CP50" s="115"/>
      <c r="CQ50" s="115"/>
      <c r="CR50" s="115"/>
      <c r="CS50" s="186">
        <f t="shared" si="5"/>
        <v>7</v>
      </c>
      <c r="CT50" s="186" cm="1">
        <f t="array" ref="CT50">SUMPRODUCT(--(B50:CR50=INT(B50:CR50)),--(B50:CR50&gt;0))</f>
        <v>7</v>
      </c>
      <c r="CU50" s="186" cm="1">
        <f t="array" ref="CU50">MAX(FREQUENCY(IF((B50:CR50=INT(B50:CR50))*(B50:CR50&gt;0),COLUMN(B50:CR50)),IF((B50:CR50&lt;&gt;INT(B50:CR50))+(B50:CR50&lt;=0),COLUMN(B50:CR50))))</f>
        <v>1</v>
      </c>
      <c r="CV50" s="187">
        <f t="shared" si="6"/>
        <v>0.0729166666666667</v>
      </c>
      <c r="CW50" s="188">
        <f t="shared" si="0"/>
        <v>29</v>
      </c>
      <c r="CX50" s="188">
        <f t="shared" si="1"/>
        <v>29</v>
      </c>
      <c r="CY50" s="188">
        <f t="shared" si="2"/>
        <v>28</v>
      </c>
    </row>
    <row r="51" customHeight="1" spans="1:103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15"/>
      <c r="CE51" s="115"/>
      <c r="CF51" s="115"/>
      <c r="CG51" s="115"/>
      <c r="CH51" s="115"/>
      <c r="CI51" s="115"/>
      <c r="CJ51" s="115"/>
      <c r="CK51" s="115"/>
      <c r="CL51" s="115"/>
      <c r="CM51" s="115"/>
      <c r="CN51" s="115"/>
      <c r="CO51" s="115"/>
      <c r="CP51" s="115"/>
      <c r="CQ51" s="115"/>
      <c r="CR51" s="115"/>
      <c r="CS51" s="186">
        <f t="shared" si="5"/>
        <v>1</v>
      </c>
      <c r="CT51" s="186" cm="1">
        <f t="array" ref="CT51">SUMPRODUCT(--(B51:CR51=INT(B51:CR51)),--(B51:CR51&gt;0))</f>
        <v>1</v>
      </c>
      <c r="CU51" s="186" cm="1">
        <f t="array" ref="CU51">MAX(FREQUENCY(IF((B51:CR51=INT(B51:CR51))*(B51:CR51&gt;0),COLUMN(B51:CR51)),IF((B51:CR51&lt;&gt;INT(B51:CR51))+(B51:CR51&lt;=0),COLUMN(B51:CR51))))</f>
        <v>1</v>
      </c>
      <c r="CV51" s="187">
        <f t="shared" si="6"/>
        <v>0.0104166666666667</v>
      </c>
      <c r="CW51" s="188">
        <f t="shared" si="0"/>
        <v>39</v>
      </c>
      <c r="CX51" s="188">
        <f t="shared" si="1"/>
        <v>39</v>
      </c>
      <c r="CY51" s="188">
        <f t="shared" si="2"/>
        <v>28</v>
      </c>
    </row>
    <row r="52" customHeight="1" spans="1:103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15"/>
      <c r="CE52" s="115"/>
      <c r="CF52" s="115"/>
      <c r="CG52" s="115"/>
      <c r="CH52" s="115"/>
      <c r="CI52" s="115"/>
      <c r="CJ52" s="115"/>
      <c r="CK52" s="115"/>
      <c r="CL52" s="115"/>
      <c r="CM52" s="115"/>
      <c r="CN52" s="115"/>
      <c r="CO52" s="115"/>
      <c r="CP52" s="115"/>
      <c r="CQ52" s="115"/>
      <c r="CR52" s="115"/>
      <c r="CS52" s="186">
        <f t="shared" si="5"/>
        <v>0</v>
      </c>
      <c r="CT52" s="186" cm="1">
        <f t="array" ref="CT52">SUMPRODUCT(--(B52:CR52=INT(B52:CR52)),--(B52:CR52&gt;0))</f>
        <v>0</v>
      </c>
      <c r="CU52" s="186" cm="1">
        <f t="array" ref="CU52">MAX(FREQUENCY(IF((B52:CR52=INT(B52:CR52))*(B52:CR52&gt;0),COLUMN(B52:CR52)),IF((B52:CR52&lt;&gt;INT(B52:CR52))+(B52:CR52&lt;=0),COLUMN(B52:CR52))))</f>
        <v>0</v>
      </c>
      <c r="CV52" s="187">
        <f t="shared" si="6"/>
        <v>0</v>
      </c>
      <c r="CW52" s="188">
        <f t="shared" si="0"/>
        <v>45</v>
      </c>
      <c r="CX52" s="188">
        <f t="shared" si="1"/>
        <v>45</v>
      </c>
      <c r="CY52" s="188">
        <f t="shared" si="2"/>
        <v>45</v>
      </c>
    </row>
    <row r="53" customHeight="1" spans="1:103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15"/>
      <c r="CE53" s="115"/>
      <c r="CF53" s="115"/>
      <c r="CG53" s="115"/>
      <c r="CH53" s="115"/>
      <c r="CI53" s="115"/>
      <c r="CJ53" s="115"/>
      <c r="CK53" s="115"/>
      <c r="CL53" s="115"/>
      <c r="CM53" s="115"/>
      <c r="CN53" s="115"/>
      <c r="CO53" s="115"/>
      <c r="CP53" s="115"/>
      <c r="CQ53" s="115"/>
      <c r="CR53" s="115"/>
      <c r="CS53" s="186">
        <f t="shared" si="5"/>
        <v>2</v>
      </c>
      <c r="CT53" s="186" cm="1">
        <f t="array" ref="CT53">SUMPRODUCT(--(B53:CR53=INT(B53:CR53)),--(B53:CR53&gt;0))</f>
        <v>2</v>
      </c>
      <c r="CU53" s="186" cm="1">
        <f t="array" ref="CU53">MAX(FREQUENCY(IF((B53:CR53=INT(B53:CR53))*(B53:CR53&gt;0),COLUMN(B53:CR53)),IF((B53:CR53&lt;&gt;INT(B53:CR53))+(B53:CR53&lt;=0),COLUMN(B53:CR53))))</f>
        <v>1</v>
      </c>
      <c r="CV53" s="187">
        <f t="shared" si="6"/>
        <v>0.0208333333333333</v>
      </c>
      <c r="CW53" s="188">
        <f t="shared" si="0"/>
        <v>36</v>
      </c>
      <c r="CX53" s="188">
        <f t="shared" si="1"/>
        <v>36</v>
      </c>
      <c r="CY53" s="188">
        <f t="shared" si="2"/>
        <v>28</v>
      </c>
    </row>
    <row r="54" s="173" customFormat="1" ht="28" spans="1:103">
      <c r="A54" s="191" t="s">
        <v>455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10</v>
      </c>
      <c r="BV54" s="17" cm="1">
        <f t="array" ref="BV54">SUMPRODUCT(--(BV3:BV53=INT(BV3:BV53)),--(BV3:BV53&gt;0))</f>
        <v>17</v>
      </c>
      <c r="BW54" s="17" cm="1">
        <f t="array" ref="BW54">SUMPRODUCT(--(BW3:BW53=INT(BW3:BW53)),--(BW3:BW53&gt;0))</f>
        <v>10</v>
      </c>
      <c r="BX54" s="17" cm="1">
        <f t="array" ref="BX54">SUMPRODUCT(--(BX3:BX53=INT(BX3:BX53)),--(BX3:BX53&gt;0))</f>
        <v>9</v>
      </c>
      <c r="BY54" s="17" cm="1">
        <f t="array" ref="BY54">SUMPRODUCT(--(BY3:BY53=INT(BY3:BY53)),--(BY3:BY53&gt;0))</f>
        <v>12</v>
      </c>
      <c r="BZ54" s="17" cm="1">
        <f t="array" ref="BZ54">SUMPRODUCT(--(BZ3:BZ53=INT(BZ3:BZ53)),--(BZ3:BZ53&gt;0))</f>
        <v>13</v>
      </c>
      <c r="CA54" s="17" cm="1">
        <f t="array" ref="CA54">SUMPRODUCT(--(CA3:CA53=INT(CA3:CA53)),--(CA3:CA53&gt;0))</f>
        <v>7</v>
      </c>
      <c r="CB54" s="17" cm="1">
        <f t="array" ref="CB54">SUMPRODUCT(--(CB3:CB53=INT(CB3:CB53)),--(CB3:CB53&gt;0))</f>
        <v>7</v>
      </c>
      <c r="CC54" s="17" cm="1">
        <f t="array" ref="CC54">SUMPRODUCT(--(CC3:CC53=INT(CC3:CC53)),--(CC3:CC53&gt;0))</f>
        <v>4</v>
      </c>
      <c r="CD54" s="17" cm="1">
        <f t="array" ref="CD54">SUMPRODUCT(--(CD3:CD53=INT(CD3:CD53)),--(CD3:CD53&gt;0))</f>
        <v>12</v>
      </c>
      <c r="CE54" s="17" cm="1">
        <f t="array" ref="CE54">SUMPRODUCT(--(CE3:CE53=INT(CE3:CE53)),--(CE3:CE53&gt;0))</f>
        <v>6</v>
      </c>
      <c r="CF54" s="17" cm="1">
        <f t="array" ref="CF54">SUMPRODUCT(--(CF3:CF53=INT(CF3:CF53)),--(CF3:CF53&gt;0))</f>
        <v>4</v>
      </c>
      <c r="CG54" s="17" cm="1">
        <f t="array" ref="CG54">SUMPRODUCT(--(CG3:CG53=INT(CG3:CG53)),--(CG3:CG53&gt;0))</f>
        <v>13</v>
      </c>
      <c r="CH54" s="17" cm="1">
        <f t="array" ref="CH54">SUMPRODUCT(--(CH3:CH53=INT(CH3:CH53)),--(CH3:CH53&gt;0))</f>
        <v>15</v>
      </c>
      <c r="CI54" s="17" cm="1">
        <f t="array" ref="CI54">SUMPRODUCT(--(CI3:CI53=INT(CI3:CI53)),--(CI3:CI53&gt;0))</f>
        <v>2</v>
      </c>
      <c r="CJ54" s="17" cm="1">
        <f t="array" ref="CJ54">SUMPRODUCT(--(CJ3:CJ53=INT(CJ3:CJ53)),--(CJ3:CJ53&gt;0))</f>
        <v>6</v>
      </c>
      <c r="CK54" s="17" cm="1">
        <f t="array" ref="CK54">SUMPRODUCT(--(CK3:CK53=INT(CK3:CK53)),--(CK3:CK53&gt;0))</f>
        <v>9</v>
      </c>
      <c r="CL54" s="17" cm="1">
        <f t="array" ref="CL54">SUMPRODUCT(--(CL3:CL53=INT(CL3:CL53)),--(CL3:CL53&gt;0))</f>
        <v>5</v>
      </c>
      <c r="CM54" s="17" cm="1">
        <f t="array" ref="CM54">SUMPRODUCT(--(CM3:CM53=INT(CM3:CM53)),--(CM3:CM53&gt;0))</f>
        <v>0</v>
      </c>
      <c r="CN54" s="17" cm="1">
        <f t="array" ref="CN54">SUMPRODUCT(--(CN3:CN53=INT(CN3:CN53)),--(CN3:CN53&gt;0))</f>
        <v>0</v>
      </c>
      <c r="CO54" s="17" cm="1">
        <f t="array" ref="CO54">SUMPRODUCT(--(CO3:CO53=INT(CO3:CO53)),--(CO3:CO53&gt;0))</f>
        <v>0</v>
      </c>
      <c r="CP54" s="17" cm="1">
        <f t="array" ref="CP54">SUMPRODUCT(--(CP3:CP53=INT(CP3:CP53)),--(CP3:CP53&gt;0))</f>
        <v>0</v>
      </c>
      <c r="CQ54" s="17" cm="1">
        <f t="array" ref="CQ54">SUMPRODUCT(--(CQ3:CQ53=INT(CQ3:CQ53)),--(CQ3:CQ53&gt;0))</f>
        <v>0</v>
      </c>
      <c r="CR54" s="17" cm="1">
        <f t="array" ref="CR54">SUMPRODUCT(--(CR3:CR53=INT(CR3:CR53)),--(CR3:CR53&gt;0))</f>
        <v>0</v>
      </c>
      <c r="CS54" s="192" t="s">
        <v>456</v>
      </c>
      <c r="CT54" s="193"/>
      <c r="CU54" s="193"/>
      <c r="CV54" s="193"/>
      <c r="CW54" s="193"/>
      <c r="CX54" s="193"/>
      <c r="CY54" s="194"/>
    </row>
    <row r="55" s="173" customFormat="1" ht="28" spans="1:103">
      <c r="A55" s="191" t="s">
        <v>457</v>
      </c>
      <c r="B55" s="17">
        <f>SUM(B3:B53)</f>
        <v>11</v>
      </c>
      <c r="C55" s="17">
        <f t="shared" ref="C55:AH55" si="7">SUM(C3:C53)</f>
        <v>9</v>
      </c>
      <c r="D55" s="17">
        <f t="shared" si="7"/>
        <v>12</v>
      </c>
      <c r="E55" s="17">
        <f t="shared" si="7"/>
        <v>6</v>
      </c>
      <c r="F55" s="17">
        <f t="shared" si="7"/>
        <v>2</v>
      </c>
      <c r="G55" s="17">
        <f t="shared" si="7"/>
        <v>7</v>
      </c>
      <c r="H55" s="17">
        <f t="shared" si="7"/>
        <v>12</v>
      </c>
      <c r="I55" s="17">
        <f t="shared" si="7"/>
        <v>16</v>
      </c>
      <c r="J55" s="17">
        <f t="shared" si="7"/>
        <v>14</v>
      </c>
      <c r="K55" s="17">
        <f t="shared" si="7"/>
        <v>6</v>
      </c>
      <c r="L55" s="17">
        <f t="shared" si="7"/>
        <v>12</v>
      </c>
      <c r="M55" s="17">
        <f t="shared" si="7"/>
        <v>7</v>
      </c>
      <c r="N55" s="17">
        <f t="shared" si="7"/>
        <v>10</v>
      </c>
      <c r="O55" s="17">
        <f t="shared" si="7"/>
        <v>0</v>
      </c>
      <c r="P55" s="17">
        <f t="shared" si="7"/>
        <v>1</v>
      </c>
      <c r="Q55" s="17">
        <f t="shared" si="7"/>
        <v>13</v>
      </c>
      <c r="R55" s="17">
        <f t="shared" si="7"/>
        <v>13</v>
      </c>
      <c r="S55" s="17">
        <f t="shared" si="7"/>
        <v>15</v>
      </c>
      <c r="T55" s="17">
        <f t="shared" si="7"/>
        <v>28</v>
      </c>
      <c r="U55" s="17">
        <f t="shared" si="7"/>
        <v>5</v>
      </c>
      <c r="V55" s="17">
        <f t="shared" si="7"/>
        <v>13</v>
      </c>
      <c r="W55" s="17">
        <f t="shared" si="7"/>
        <v>3</v>
      </c>
      <c r="X55" s="17">
        <f t="shared" si="7"/>
        <v>2</v>
      </c>
      <c r="Y55" s="17">
        <f t="shared" si="7"/>
        <v>31</v>
      </c>
      <c r="Z55" s="17">
        <f t="shared" si="7"/>
        <v>3</v>
      </c>
      <c r="AA55" s="17">
        <f t="shared" si="7"/>
        <v>4</v>
      </c>
      <c r="AB55" s="17">
        <f t="shared" si="7"/>
        <v>2</v>
      </c>
      <c r="AC55" s="17">
        <f t="shared" si="7"/>
        <v>3</v>
      </c>
      <c r="AD55" s="17">
        <f t="shared" si="7"/>
        <v>2</v>
      </c>
      <c r="AE55" s="17">
        <f t="shared" si="7"/>
        <v>5</v>
      </c>
      <c r="AF55" s="17">
        <f t="shared" si="7"/>
        <v>9</v>
      </c>
      <c r="AG55" s="17">
        <f t="shared" si="7"/>
        <v>1</v>
      </c>
      <c r="AH55" s="17">
        <f t="shared" si="7"/>
        <v>0</v>
      </c>
      <c r="AI55" s="17">
        <f t="shared" ref="AI55:BH55" si="8">SUM(AI3:AI53)</f>
        <v>0</v>
      </c>
      <c r="AJ55" s="17">
        <f t="shared" si="8"/>
        <v>20</v>
      </c>
      <c r="AK55" s="17">
        <f t="shared" si="8"/>
        <v>7</v>
      </c>
      <c r="AL55" s="17">
        <f t="shared" si="8"/>
        <v>2</v>
      </c>
      <c r="AM55" s="17">
        <f t="shared" si="8"/>
        <v>3</v>
      </c>
      <c r="AN55" s="17">
        <f t="shared" si="8"/>
        <v>11</v>
      </c>
      <c r="AO55" s="17">
        <f t="shared" si="8"/>
        <v>9</v>
      </c>
      <c r="AP55" s="17">
        <f t="shared" si="8"/>
        <v>2</v>
      </c>
      <c r="AQ55" s="17">
        <f t="shared" si="8"/>
        <v>6</v>
      </c>
      <c r="AR55" s="17">
        <f t="shared" si="8"/>
        <v>18</v>
      </c>
      <c r="AS55" s="17">
        <f t="shared" si="8"/>
        <v>10</v>
      </c>
      <c r="AT55" s="17">
        <f t="shared" si="8"/>
        <v>9</v>
      </c>
      <c r="AU55" s="17">
        <f t="shared" si="8"/>
        <v>23</v>
      </c>
      <c r="AV55" s="17">
        <f t="shared" si="8"/>
        <v>8</v>
      </c>
      <c r="AW55" s="17">
        <f t="shared" si="8"/>
        <v>4</v>
      </c>
      <c r="AX55" s="17">
        <f t="shared" si="8"/>
        <v>14</v>
      </c>
      <c r="AY55" s="17">
        <f t="shared" si="8"/>
        <v>17</v>
      </c>
      <c r="AZ55" s="17">
        <f t="shared" si="8"/>
        <v>15</v>
      </c>
      <c r="BA55" s="17">
        <f t="shared" si="8"/>
        <v>20</v>
      </c>
      <c r="BB55" s="17">
        <f t="shared" si="8"/>
        <v>12</v>
      </c>
      <c r="BC55" s="17">
        <f t="shared" si="8"/>
        <v>25</v>
      </c>
      <c r="BD55" s="17">
        <f t="shared" si="8"/>
        <v>14</v>
      </c>
      <c r="BE55" s="17">
        <f t="shared" si="8"/>
        <v>27</v>
      </c>
      <c r="BF55" s="17">
        <f t="shared" si="8"/>
        <v>18</v>
      </c>
      <c r="BG55" s="17">
        <f t="shared" si="8"/>
        <v>20</v>
      </c>
      <c r="BH55" s="17">
        <f t="shared" si="8"/>
        <v>8</v>
      </c>
      <c r="BI55" s="17">
        <f t="shared" ref="BI55:CH55" si="9">SUM(BI3:BI53)</f>
        <v>23</v>
      </c>
      <c r="BJ55" s="17">
        <f t="shared" si="9"/>
        <v>24</v>
      </c>
      <c r="BK55" s="17">
        <f t="shared" si="9"/>
        <v>14</v>
      </c>
      <c r="BL55" s="17">
        <f t="shared" si="9"/>
        <v>6</v>
      </c>
      <c r="BM55" s="17">
        <f t="shared" si="9"/>
        <v>0</v>
      </c>
      <c r="BN55" s="17">
        <f t="shared" si="9"/>
        <v>6</v>
      </c>
      <c r="BO55" s="17">
        <f t="shared" si="9"/>
        <v>10</v>
      </c>
      <c r="BP55" s="17">
        <f t="shared" si="9"/>
        <v>3</v>
      </c>
      <c r="BQ55" s="17">
        <f t="shared" si="9"/>
        <v>6</v>
      </c>
      <c r="BR55" s="17">
        <f t="shared" si="9"/>
        <v>8</v>
      </c>
      <c r="BS55" s="17">
        <f t="shared" si="9"/>
        <v>5</v>
      </c>
      <c r="BT55" s="17">
        <f t="shared" si="9"/>
        <v>1</v>
      </c>
      <c r="BU55" s="17">
        <f t="shared" si="9"/>
        <v>12</v>
      </c>
      <c r="BV55" s="17">
        <f t="shared" si="9"/>
        <v>19</v>
      </c>
      <c r="BW55" s="17">
        <f t="shared" si="9"/>
        <v>11</v>
      </c>
      <c r="BX55" s="17">
        <f t="shared" si="9"/>
        <v>10</v>
      </c>
      <c r="BY55" s="17">
        <f t="shared" si="9"/>
        <v>18</v>
      </c>
      <c r="BZ55" s="17">
        <f t="shared" si="9"/>
        <v>14</v>
      </c>
      <c r="CA55" s="17">
        <f t="shared" si="9"/>
        <v>7</v>
      </c>
      <c r="CB55" s="17">
        <f t="shared" si="9"/>
        <v>9</v>
      </c>
      <c r="CC55" s="17">
        <f t="shared" si="9"/>
        <v>5</v>
      </c>
      <c r="CD55" s="17">
        <f t="shared" si="9"/>
        <v>12</v>
      </c>
      <c r="CE55" s="17">
        <f t="shared" si="9"/>
        <v>7</v>
      </c>
      <c r="CF55" s="17">
        <f t="shared" si="9"/>
        <v>5</v>
      </c>
      <c r="CG55" s="17">
        <f t="shared" si="9"/>
        <v>14</v>
      </c>
      <c r="CH55" s="17">
        <f t="shared" si="9"/>
        <v>15</v>
      </c>
      <c r="CI55" s="17">
        <f t="shared" ref="CI55:CR55" si="10">SUM(CI3:CI53)</f>
        <v>3</v>
      </c>
      <c r="CJ55" s="17">
        <f t="shared" si="10"/>
        <v>6</v>
      </c>
      <c r="CK55" s="17">
        <f t="shared" si="10"/>
        <v>10</v>
      </c>
      <c r="CL55" s="17">
        <f t="shared" si="10"/>
        <v>5</v>
      </c>
      <c r="CM55" s="17">
        <f t="shared" si="10"/>
        <v>0</v>
      </c>
      <c r="CN55" s="17">
        <f t="shared" si="10"/>
        <v>0</v>
      </c>
      <c r="CO55" s="17">
        <f t="shared" si="10"/>
        <v>0</v>
      </c>
      <c r="CP55" s="17">
        <f t="shared" si="10"/>
        <v>0</v>
      </c>
      <c r="CQ55" s="17">
        <f t="shared" si="10"/>
        <v>0</v>
      </c>
      <c r="CR55" s="17">
        <f t="shared" si="10"/>
        <v>0</v>
      </c>
      <c r="CS55" s="195"/>
      <c r="CT55" s="196"/>
      <c r="CU55" s="196"/>
      <c r="CV55" s="196"/>
      <c r="CW55" s="196"/>
      <c r="CX55" s="196"/>
      <c r="CY55" s="197"/>
    </row>
    <row r="57" spans="1:103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  <c r="CD57">
        <v>81</v>
      </c>
      <c r="CE57">
        <v>82</v>
      </c>
      <c r="CF57">
        <v>83</v>
      </c>
      <c r="CG57">
        <v>84</v>
      </c>
      <c r="CH57">
        <v>85</v>
      </c>
      <c r="CI57">
        <v>86</v>
      </c>
      <c r="CJ57">
        <v>87</v>
      </c>
      <c r="CK57">
        <v>88</v>
      </c>
      <c r="CL57">
        <v>89</v>
      </c>
      <c r="CM57">
        <v>90</v>
      </c>
      <c r="CN57">
        <v>91</v>
      </c>
      <c r="CO57">
        <v>92</v>
      </c>
      <c r="CP57">
        <v>93</v>
      </c>
      <c r="CQ57">
        <v>94</v>
      </c>
      <c r="CR57">
        <v>95</v>
      </c>
    </row>
  </sheetData>
  <mergeCells count="9">
    <mergeCell ref="B1:S1"/>
    <mergeCell ref="T1:AI1"/>
    <mergeCell ref="AJ1:AL1"/>
    <mergeCell ref="AM1:BH1"/>
    <mergeCell ref="BI1:BZ1"/>
    <mergeCell ref="CA1:CR1"/>
    <mergeCell ref="CS1:CY1"/>
    <mergeCell ref="A1:A2"/>
    <mergeCell ref="CS54:CY55"/>
  </mergeCells>
  <conditionalFormatting sqref="B54:CR54">
    <cfRule type="colorScale" priority="465">
      <colorScale>
        <cfvo type="min"/>
        <cfvo type="max"/>
        <color theme="6" tint="0.8"/>
        <color theme="6" tint="-0.25"/>
      </colorScale>
    </cfRule>
  </conditionalFormatting>
  <conditionalFormatting sqref="B55:CR55">
    <cfRule type="colorScale" priority="464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594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572">
      <colorScale>
        <cfvo type="min"/>
        <cfvo type="max"/>
        <color theme="4" tint="0.8"/>
        <color theme="4" tint="-0.25"/>
      </colorScale>
    </cfRule>
    <cfRule type="colorScale" priority="584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571">
      <colorScale>
        <cfvo type="min"/>
        <cfvo type="max"/>
        <color theme="4" tint="0.8"/>
        <color theme="4" tint="-0.25"/>
      </colorScale>
    </cfRule>
    <cfRule type="colorScale" priority="583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570">
      <colorScale>
        <cfvo type="min"/>
        <cfvo type="max"/>
        <color theme="4" tint="0.8"/>
        <color theme="4" tint="-0.25"/>
      </colorScale>
    </cfRule>
    <cfRule type="colorScale" priority="582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563">
      <colorScale>
        <cfvo type="min"/>
        <cfvo type="max"/>
        <color theme="4" tint="-0.25"/>
        <color theme="4" tint="0.8"/>
      </colorScale>
    </cfRule>
    <cfRule type="colorScale" priority="559">
      <colorScale>
        <cfvo type="min"/>
        <cfvo type="max"/>
        <color theme="4" tint="0.8"/>
        <color theme="4" tint="-0.25"/>
      </colorScale>
    </cfRule>
    <cfRule type="colorScale" priority="555">
      <colorScale>
        <cfvo type="min"/>
        <cfvo type="max"/>
        <color theme="4"/>
        <color theme="4" tint="0.8"/>
      </colorScale>
    </cfRule>
    <cfRule type="colorScale" priority="551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562">
      <colorScale>
        <cfvo type="min"/>
        <cfvo type="max"/>
        <color theme="4" tint="-0.25"/>
        <color theme="4" tint="0.8"/>
      </colorScale>
    </cfRule>
    <cfRule type="colorScale" priority="558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/>
        <color theme="4" tint="0.8"/>
      </colorScale>
    </cfRule>
    <cfRule type="colorScale" priority="550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549">
      <colorScale>
        <cfvo type="min"/>
        <cfvo type="max"/>
        <color theme="4" tint="0.8"/>
        <color theme="4"/>
      </colorScale>
    </cfRule>
    <cfRule type="colorScale" priority="553">
      <colorScale>
        <cfvo type="min"/>
        <cfvo type="max"/>
        <color theme="4"/>
        <color theme="4" tint="0.8"/>
      </colorScale>
    </cfRule>
    <cfRule type="colorScale" priority="557">
      <colorScale>
        <cfvo type="min"/>
        <cfvo type="max"/>
        <color theme="4" tint="0.8"/>
        <color theme="4" tint="-0.25"/>
      </colorScale>
    </cfRule>
    <cfRule type="colorScale" priority="561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547">
      <colorScale>
        <cfvo type="min"/>
        <cfvo type="max"/>
        <color theme="4" tint="-0.25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487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546">
      <colorScale>
        <cfvo type="min"/>
        <cfvo type="max"/>
        <color theme="4" tint="-0.25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486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545">
      <colorScale>
        <cfvo type="min"/>
        <cfvo type="max"/>
        <color theme="4" tint="-0.25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485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544">
      <colorScale>
        <cfvo type="min"/>
        <cfvo type="max"/>
        <color theme="4" tint="-0.25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484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543">
      <colorScale>
        <cfvo type="min"/>
        <cfvo type="max"/>
        <color theme="4" tint="-0.25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483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542">
      <colorScale>
        <cfvo type="min"/>
        <cfvo type="max"/>
        <color theme="4" tint="-0.25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482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541">
      <colorScale>
        <cfvo type="min"/>
        <cfvo type="max"/>
        <color theme="4" tint="-0.25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481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540">
      <colorScale>
        <cfvo type="min"/>
        <cfvo type="max"/>
        <color theme="4" tint="-0.25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480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539">
      <colorScale>
        <cfvo type="min"/>
        <cfvo type="max"/>
        <color theme="4" tint="-0.25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479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538">
      <colorScale>
        <cfvo type="min"/>
        <cfvo type="max"/>
        <color theme="4" tint="-0.25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478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537">
      <colorScale>
        <cfvo type="min"/>
        <cfvo type="max"/>
        <color theme="4" tint="-0.25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477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536">
      <colorScale>
        <cfvo type="min"/>
        <cfvo type="max"/>
        <color theme="4" tint="-0.25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476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535">
      <colorScale>
        <cfvo type="min"/>
        <cfvo type="max"/>
        <color theme="4" tint="-0.25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475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534">
      <colorScale>
        <cfvo type="min"/>
        <cfvo type="max"/>
        <color theme="4" tint="-0.25"/>
        <color theme="4" tint="0.8"/>
      </colorScale>
    </cfRule>
    <cfRule type="colorScale" priority="514">
      <colorScale>
        <cfvo type="min"/>
        <cfvo type="max"/>
        <color theme="4" tint="0.8"/>
        <color theme="4" tint="-0.25"/>
      </colorScale>
    </cfRule>
    <cfRule type="colorScale" priority="494">
      <colorScale>
        <cfvo type="min"/>
        <cfvo type="max"/>
        <color theme="4"/>
        <color theme="4" tint="0.8"/>
      </colorScale>
    </cfRule>
    <cfRule type="colorScale" priority="474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533">
      <colorScale>
        <cfvo type="min"/>
        <cfvo type="max"/>
        <color theme="4" tint="-0.25"/>
        <color theme="4" tint="0.8"/>
      </colorScale>
    </cfRule>
    <cfRule type="colorScale" priority="513">
      <colorScale>
        <cfvo type="min"/>
        <cfvo type="max"/>
        <color theme="4" tint="0.8"/>
        <color theme="4" tint="-0.25"/>
      </colorScale>
    </cfRule>
    <cfRule type="colorScale" priority="493">
      <colorScale>
        <cfvo type="min"/>
        <cfvo type="max"/>
        <color theme="4"/>
        <color theme="4" tint="0.8"/>
      </colorScale>
    </cfRule>
    <cfRule type="colorScale" priority="473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532">
      <colorScale>
        <cfvo type="min"/>
        <cfvo type="max"/>
        <color theme="4" tint="-0.25"/>
        <color theme="4" tint="0.8"/>
      </colorScale>
    </cfRule>
    <cfRule type="colorScale" priority="512">
      <colorScale>
        <cfvo type="min"/>
        <cfvo type="max"/>
        <color theme="4" tint="0.8"/>
        <color theme="4" tint="-0.25"/>
      </colorScale>
    </cfRule>
    <cfRule type="colorScale" priority="492">
      <colorScale>
        <cfvo type="min"/>
        <cfvo type="max"/>
        <color theme="4"/>
        <color theme="4" tint="0.8"/>
      </colorScale>
    </cfRule>
    <cfRule type="colorScale" priority="472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531">
      <colorScale>
        <cfvo type="min"/>
        <cfvo type="max"/>
        <color theme="4" tint="-0.25"/>
        <color theme="4" tint="0.8"/>
      </colorScale>
    </cfRule>
    <cfRule type="colorScale" priority="511">
      <colorScale>
        <cfvo type="min"/>
        <cfvo type="max"/>
        <color theme="4" tint="0.8"/>
        <color theme="4" tint="-0.25"/>
      </colorScale>
    </cfRule>
    <cfRule type="colorScale" priority="491">
      <colorScale>
        <cfvo type="min"/>
        <cfvo type="max"/>
        <color theme="4"/>
        <color theme="4" tint="0.8"/>
      </colorScale>
    </cfRule>
    <cfRule type="colorScale" priority="471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530">
      <colorScale>
        <cfvo type="min"/>
        <cfvo type="max"/>
        <color theme="4" tint="-0.25"/>
        <color theme="4" tint="0.8"/>
      </colorScale>
    </cfRule>
    <cfRule type="colorScale" priority="510">
      <colorScale>
        <cfvo type="min"/>
        <cfvo type="max"/>
        <color theme="4" tint="0.8"/>
        <color theme="4" tint="-0.25"/>
      </colorScale>
    </cfRule>
    <cfRule type="colorScale" priority="490">
      <colorScale>
        <cfvo type="min"/>
        <cfvo type="max"/>
        <color theme="4"/>
        <color theme="4" tint="0.8"/>
      </colorScale>
    </cfRule>
    <cfRule type="colorScale" priority="470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529">
      <colorScale>
        <cfvo type="min"/>
        <cfvo type="max"/>
        <color theme="4" tint="-0.25"/>
        <color theme="4" tint="0.8"/>
      </colorScale>
    </cfRule>
    <cfRule type="colorScale" priority="509">
      <colorScale>
        <cfvo type="min"/>
        <cfvo type="max"/>
        <color theme="4" tint="0.8"/>
        <color theme="4" tint="-0.25"/>
      </colorScale>
    </cfRule>
    <cfRule type="colorScale" priority="489">
      <colorScale>
        <cfvo type="min"/>
        <cfvo type="max"/>
        <color theme="4"/>
        <color theme="4" tint="0.8"/>
      </colorScale>
    </cfRule>
    <cfRule type="colorScale" priority="469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468">
      <colorScale>
        <cfvo type="min"/>
        <cfvo type="max"/>
        <color theme="4" tint="0.8"/>
        <color theme="4"/>
      </colorScale>
    </cfRule>
    <cfRule type="colorScale" priority="488">
      <colorScale>
        <cfvo type="min"/>
        <cfvo type="max"/>
        <color theme="4"/>
        <color theme="4" tint="0.8"/>
      </colorScale>
    </cfRule>
    <cfRule type="colorScale" priority="508">
      <colorScale>
        <cfvo type="min"/>
        <cfvo type="max"/>
        <color theme="4" tint="0.8"/>
        <color theme="4" tint="-0.25"/>
      </colorScale>
    </cfRule>
    <cfRule type="colorScale" priority="528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463">
      <colorScale>
        <cfvo type="min"/>
        <cfvo type="max"/>
        <color theme="4" tint="-0.25"/>
        <color theme="4" tint="0.8"/>
      </colorScale>
    </cfRule>
    <cfRule type="colorScale" priority="453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/>
        <color theme="4" tint="0.8"/>
      </colorScale>
    </cfRule>
    <cfRule type="colorScale" priority="433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458">
      <colorScale>
        <cfvo type="min"/>
        <cfvo type="max"/>
        <color theme="4" tint="-0.25"/>
        <color theme="4" tint="0.8"/>
      </colorScale>
    </cfRule>
    <cfRule type="colorScale" priority="448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/>
        <color theme="4" tint="0.8"/>
      </colorScale>
    </cfRule>
    <cfRule type="colorScale" priority="428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462">
      <colorScale>
        <cfvo type="min"/>
        <cfvo type="max"/>
        <color theme="4" tint="-0.25"/>
        <color theme="4" tint="0.8"/>
      </colorScale>
    </cfRule>
    <cfRule type="colorScale" priority="452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/>
        <color theme="4" tint="0.8"/>
      </colorScale>
    </cfRule>
    <cfRule type="colorScale" priority="432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457">
      <colorScale>
        <cfvo type="min"/>
        <cfvo type="max"/>
        <color theme="4" tint="-0.25"/>
        <color theme="4" tint="0.8"/>
      </colorScale>
    </cfRule>
    <cfRule type="colorScale" priority="447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/>
        <color theme="4" tint="0.8"/>
      </colorScale>
    </cfRule>
    <cfRule type="colorScale" priority="427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416">
      <colorScale>
        <cfvo type="num" val="1"/>
        <cfvo type="num" val="3"/>
        <color theme="4" tint="0.8"/>
        <color theme="4" tint="-0.25"/>
      </colorScale>
    </cfRule>
    <cfRule type="colorScale" priority="431">
      <colorScale>
        <cfvo type="min"/>
        <cfvo type="max"/>
        <color theme="4" tint="0.8"/>
        <color theme="4"/>
      </colorScale>
    </cfRule>
    <cfRule type="colorScale" priority="441">
      <colorScale>
        <cfvo type="min"/>
        <cfvo type="max"/>
        <color theme="4"/>
        <color theme="4" tint="0.8"/>
      </colorScale>
    </cfRule>
    <cfRule type="colorScale" priority="451">
      <colorScale>
        <cfvo type="min"/>
        <cfvo type="max"/>
        <color theme="4" tint="0.8"/>
        <color theme="4" tint="-0.25"/>
      </colorScale>
    </cfRule>
    <cfRule type="colorScale" priority="461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421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358">
      <colorScale>
        <cfvo type="min"/>
        <cfvo type="max"/>
        <color theme="4" tint="-0.25"/>
        <color theme="4" tint="0.8"/>
      </colorScale>
    </cfRule>
    <cfRule type="colorScale" priority="336">
      <colorScale>
        <cfvo type="min"/>
        <cfvo type="max"/>
        <color theme="4" tint="0.8"/>
        <color theme="4" tint="-0.25"/>
      </colorScale>
    </cfRule>
    <cfRule type="colorScale" priority="314">
      <colorScale>
        <cfvo type="min"/>
        <cfvo type="max"/>
        <color theme="4"/>
        <color theme="4" tint="0.8"/>
      </colorScale>
    </cfRule>
    <cfRule type="colorScale" priority="292">
      <colorScale>
        <cfvo type="min"/>
        <cfvo type="max"/>
        <color theme="4" tint="0.8"/>
        <color theme="4"/>
      </colorScale>
    </cfRule>
    <cfRule type="colorScale" priority="248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357">
      <colorScale>
        <cfvo type="min"/>
        <cfvo type="max"/>
        <color theme="4" tint="-0.25"/>
        <color theme="4" tint="0.8"/>
      </colorScale>
    </cfRule>
    <cfRule type="colorScale" priority="335">
      <colorScale>
        <cfvo type="min"/>
        <cfvo type="max"/>
        <color theme="4" tint="0.8"/>
        <color theme="4" tint="-0.25"/>
      </colorScale>
    </cfRule>
    <cfRule type="colorScale" priority="313">
      <colorScale>
        <cfvo type="min"/>
        <cfvo type="max"/>
        <color theme="4"/>
        <color theme="4" tint="0.8"/>
      </colorScale>
    </cfRule>
    <cfRule type="colorScale" priority="291">
      <colorScale>
        <cfvo type="min"/>
        <cfvo type="max"/>
        <color theme="4" tint="0.8"/>
        <color theme="4"/>
      </colorScale>
    </cfRule>
    <cfRule type="colorScale" priority="247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356">
      <colorScale>
        <cfvo type="min"/>
        <cfvo type="max"/>
        <color theme="4" tint="-0.25"/>
        <color theme="4" tint="0.8"/>
      </colorScale>
    </cfRule>
    <cfRule type="colorScale" priority="334">
      <colorScale>
        <cfvo type="min"/>
        <cfvo type="max"/>
        <color theme="4" tint="0.8"/>
        <color theme="4" tint="-0.25"/>
      </colorScale>
    </cfRule>
    <cfRule type="colorScale" priority="312">
      <colorScale>
        <cfvo type="min"/>
        <cfvo type="max"/>
        <color theme="4"/>
        <color theme="4" tint="0.8"/>
      </colorScale>
    </cfRule>
    <cfRule type="colorScale" priority="290">
      <colorScale>
        <cfvo type="min"/>
        <cfvo type="max"/>
        <color theme="4" tint="0.8"/>
        <color theme="4"/>
      </colorScale>
    </cfRule>
    <cfRule type="colorScale" priority="246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355">
      <colorScale>
        <cfvo type="min"/>
        <cfvo type="max"/>
        <color theme="4" tint="-0.25"/>
        <color theme="4" tint="0.8"/>
      </colorScale>
    </cfRule>
    <cfRule type="colorScale" priority="333">
      <colorScale>
        <cfvo type="min"/>
        <cfvo type="max"/>
        <color theme="4" tint="0.8"/>
        <color theme="4" tint="-0.25"/>
      </colorScale>
    </cfRule>
    <cfRule type="colorScale" priority="311">
      <colorScale>
        <cfvo type="min"/>
        <cfvo type="max"/>
        <color theme="4"/>
        <color theme="4" tint="0.8"/>
      </colorScale>
    </cfRule>
    <cfRule type="colorScale" priority="289">
      <colorScale>
        <cfvo type="min"/>
        <cfvo type="max"/>
        <color theme="4" tint="0.8"/>
        <color theme="4"/>
      </colorScale>
    </cfRule>
    <cfRule type="colorScale" priority="245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267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354">
      <colorScale>
        <cfvo type="min"/>
        <cfvo type="max"/>
        <color theme="4" tint="-0.25"/>
        <color theme="4" tint="0.8"/>
      </colorScale>
    </cfRule>
    <cfRule type="colorScale" priority="332">
      <colorScale>
        <cfvo type="min"/>
        <cfvo type="max"/>
        <color theme="4" tint="0.8"/>
        <color theme="4" tint="-0.25"/>
      </colorScale>
    </cfRule>
    <cfRule type="colorScale" priority="310">
      <colorScale>
        <cfvo type="min"/>
        <cfvo type="max"/>
        <color theme="4"/>
        <color theme="4" tint="0.8"/>
      </colorScale>
    </cfRule>
    <cfRule type="colorScale" priority="288">
      <colorScale>
        <cfvo type="min"/>
        <cfvo type="max"/>
        <color theme="4" tint="0.8"/>
        <color theme="4"/>
      </colorScale>
    </cfRule>
    <cfRule type="colorScale" priority="244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353">
      <colorScale>
        <cfvo type="min"/>
        <cfvo type="max"/>
        <color theme="4" tint="-0.25"/>
        <color theme="4" tint="0.8"/>
      </colorScale>
    </cfRule>
    <cfRule type="colorScale" priority="331">
      <colorScale>
        <cfvo type="min"/>
        <cfvo type="max"/>
        <color theme="4" tint="0.8"/>
        <color theme="4" tint="-0.25"/>
      </colorScale>
    </cfRule>
    <cfRule type="colorScale" priority="309">
      <colorScale>
        <cfvo type="min"/>
        <cfvo type="max"/>
        <color theme="4"/>
        <color theme="4" tint="0.8"/>
      </colorScale>
    </cfRule>
    <cfRule type="colorScale" priority="287">
      <colorScale>
        <cfvo type="min"/>
        <cfvo type="max"/>
        <color theme="4" tint="0.8"/>
        <color theme="4"/>
      </colorScale>
    </cfRule>
    <cfRule type="colorScale" priority="243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265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352">
      <colorScale>
        <cfvo type="min"/>
        <cfvo type="max"/>
        <color theme="4" tint="-0.25"/>
        <color theme="4" tint="0.8"/>
      </colorScale>
    </cfRule>
    <cfRule type="colorScale" priority="330">
      <colorScale>
        <cfvo type="min"/>
        <cfvo type="max"/>
        <color theme="4" tint="0.8"/>
        <color theme="4" tint="-0.25"/>
      </colorScale>
    </cfRule>
    <cfRule type="colorScale" priority="308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  <cfRule type="colorScale" priority="242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264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351">
      <colorScale>
        <cfvo type="min"/>
        <cfvo type="max"/>
        <color theme="4" tint="-0.25"/>
        <color theme="4" tint="0.8"/>
      </colorScale>
    </cfRule>
    <cfRule type="colorScale" priority="329">
      <colorScale>
        <cfvo type="min"/>
        <cfvo type="max"/>
        <color theme="4" tint="0.8"/>
        <color theme="4" tint="-0.25"/>
      </colorScale>
    </cfRule>
    <cfRule type="colorScale" priority="307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  <cfRule type="colorScale" priority="241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263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350">
      <colorScale>
        <cfvo type="min"/>
        <cfvo type="max"/>
        <color theme="4" tint="-0.25"/>
        <color theme="4" tint="0.8"/>
      </colorScale>
    </cfRule>
    <cfRule type="colorScale" priority="328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  <cfRule type="colorScale" priority="240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262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349">
      <colorScale>
        <cfvo type="min"/>
        <cfvo type="max"/>
        <color theme="4" tint="-0.25"/>
        <color theme="4" tint="0.8"/>
      </colorScale>
    </cfRule>
    <cfRule type="colorScale" priority="327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  <cfRule type="colorScale" priority="239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348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  <cfRule type="colorScale" priority="238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347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  <cfRule type="colorScale" priority="237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43">
      <colorScale>
        <cfvo type="min"/>
        <cfvo type="max"/>
        <color theme="4" tint="-0.25"/>
        <color theme="4" tint="0.8"/>
      </colorScale>
    </cfRule>
  </conditionalFormatting>
  <conditionalFormatting sqref="BU26:BU53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42">
      <colorScale>
        <cfvo type="min"/>
        <cfvo type="max"/>
        <color theme="4" tint="-0.25"/>
        <color theme="4" tint="0.8"/>
      </colorScale>
    </cfRule>
  </conditionalFormatting>
  <conditionalFormatting sqref="BV26:BV53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341">
      <colorScale>
        <cfvo type="min"/>
        <cfvo type="max"/>
        <color theme="4" tint="-0.25"/>
        <color theme="4" tint="0.8"/>
      </colorScale>
    </cfRule>
  </conditionalFormatting>
  <conditionalFormatting sqref="BW26:BW53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340">
      <colorScale>
        <cfvo type="min"/>
        <cfvo type="max"/>
        <color theme="4" tint="-0.25"/>
        <color theme="4" tint="0.8"/>
      </colorScale>
    </cfRule>
  </conditionalFormatting>
  <conditionalFormatting sqref="BX26:BX53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339">
      <colorScale>
        <cfvo type="min"/>
        <cfvo type="max"/>
        <color theme="4" tint="-0.25"/>
        <color theme="4" tint="0.8"/>
      </colorScale>
    </cfRule>
  </conditionalFormatting>
  <conditionalFormatting sqref="BY26:BY53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338">
      <colorScale>
        <cfvo type="min"/>
        <cfvo type="max"/>
        <color theme="4" tint="-0.25"/>
        <color theme="4" tint="0.8"/>
      </colorScale>
    </cfRule>
  </conditionalFormatting>
  <conditionalFormatting sqref="BZ26:BZ53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8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8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79">
      <colorScale>
        <cfvo type="min"/>
        <cfvo type="max"/>
        <color theme="4" tint="0.8"/>
        <color theme="4"/>
      </colorScale>
    </cfRule>
  </conditionalFormatting>
  <conditionalFormatting sqref="CD3:CD53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CD26:CD53">
    <cfRule type="colorScale" priority="78">
      <colorScale>
        <cfvo type="min"/>
        <cfvo type="max"/>
        <color theme="4" tint="0.8"/>
        <color theme="4"/>
      </colorScale>
    </cfRule>
  </conditionalFormatting>
  <conditionalFormatting sqref="CE3:CE53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CE26:CE53">
    <cfRule type="colorScale" priority="77">
      <colorScale>
        <cfvo type="min"/>
        <cfvo type="max"/>
        <color theme="4" tint="0.8"/>
        <color theme="4"/>
      </colorScale>
    </cfRule>
  </conditionalFormatting>
  <conditionalFormatting sqref="CF3:CF53">
    <cfRule type="colorScale" priority="156">
      <colorScale>
        <cfvo type="min"/>
        <cfvo type="max"/>
        <color theme="4" tint="-0.25"/>
        <color theme="4" tint="0.8"/>
      </colorScale>
    </cfRule>
    <cfRule type="colorScale" priority="136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/>
        <color theme="4" tint="0.8"/>
      </colorScale>
    </cfRule>
    <cfRule type="colorScale" priority="96">
      <colorScale>
        <cfvo type="min"/>
        <cfvo type="max"/>
        <color theme="4" tint="0.8"/>
        <color theme="4"/>
      </colorScale>
    </cfRule>
    <cfRule type="colorScale" priority="56">
      <colorScale>
        <cfvo type="num" val="1"/>
        <cfvo type="num" val="3"/>
        <color theme="4" tint="0.8"/>
        <color theme="4" tint="-0.25"/>
      </colorScale>
    </cfRule>
  </conditionalFormatting>
  <conditionalFormatting sqref="CF26:CF53">
    <cfRule type="colorScale" priority="76">
      <colorScale>
        <cfvo type="min"/>
        <cfvo type="max"/>
        <color theme="4" tint="0.8"/>
        <color theme="4"/>
      </colorScale>
    </cfRule>
  </conditionalFormatting>
  <conditionalFormatting sqref="CG3:CG53">
    <cfRule type="colorScale" priority="155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/>
        <color theme="4" tint="0.8"/>
      </colorScale>
    </cfRule>
    <cfRule type="colorScale" priority="95">
      <colorScale>
        <cfvo type="min"/>
        <cfvo type="max"/>
        <color theme="4" tint="0.8"/>
        <color theme="4"/>
      </colorScale>
    </cfRule>
    <cfRule type="colorScale" priority="55">
      <colorScale>
        <cfvo type="num" val="1"/>
        <cfvo type="num" val="3"/>
        <color theme="4" tint="0.8"/>
        <color theme="4" tint="-0.25"/>
      </colorScale>
    </cfRule>
  </conditionalFormatting>
  <conditionalFormatting sqref="CG26:CG53">
    <cfRule type="colorScale" priority="75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154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54">
      <colorScale>
        <cfvo type="num" val="1"/>
        <cfvo type="num" val="3"/>
        <color theme="4" tint="0.8"/>
        <color theme="4" tint="-0.25"/>
      </colorScale>
    </cfRule>
  </conditionalFormatting>
  <conditionalFormatting sqref="CH26:CH53">
    <cfRule type="colorScale" priority="74">
      <colorScale>
        <cfvo type="min"/>
        <cfvo type="max"/>
        <color theme="4" tint="0.8"/>
        <color theme="4"/>
      </colorScale>
    </cfRule>
  </conditionalFormatting>
  <conditionalFormatting sqref="CI3:CI53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CI26:CI53">
    <cfRule type="colorScale" priority="72">
      <colorScale>
        <cfvo type="min"/>
        <cfvo type="max"/>
        <color theme="4" tint="0.8"/>
        <color theme="4"/>
      </colorScale>
    </cfRule>
  </conditionalFormatting>
  <conditionalFormatting sqref="CJ3:CJ53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CJ26:CJ53">
    <cfRule type="colorScale" priority="71">
      <colorScale>
        <cfvo type="min"/>
        <cfvo type="max"/>
        <color theme="4" tint="0.8"/>
        <color theme="4"/>
      </colorScale>
    </cfRule>
  </conditionalFormatting>
  <conditionalFormatting sqref="CK3:CK53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CK26:CK53">
    <cfRule type="colorScale" priority="70">
      <colorScale>
        <cfvo type="min"/>
        <cfvo type="max"/>
        <color theme="4" tint="0.8"/>
        <color theme="4"/>
      </colorScale>
    </cfRule>
  </conditionalFormatting>
  <conditionalFormatting sqref="CL3:CL53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CL26:CL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CM3:CM53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CM26:CM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CN3:CN53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CN26:CN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CO3:CO53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CO26:CO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CP3:CP53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CP26:CP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CQ3:CQ53">
    <cfRule type="colorScale" priority="44">
      <colorScale>
        <cfvo type="num" val="1"/>
        <cfvo type="num" val="3"/>
        <color theme="4" tint="0.8"/>
        <color theme="4" tint="-0.25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44">
      <colorScale>
        <cfvo type="min"/>
        <cfvo type="max"/>
        <color theme="4" tint="-0.25"/>
        <color theme="4" tint="0.8"/>
      </colorScale>
    </cfRule>
  </conditionalFormatting>
  <conditionalFormatting sqref="CQ26:CQ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CR3:CR53">
    <cfRule type="colorScale" priority="43">
      <colorScale>
        <cfvo type="num" val="1"/>
        <cfvo type="num" val="3"/>
        <color theme="4" tint="0.8"/>
        <color theme="4" tint="-0.25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43">
      <colorScale>
        <cfvo type="min"/>
        <cfvo type="max"/>
        <color theme="4" tint="-0.25"/>
        <color theme="4" tint="0.8"/>
      </colorScale>
    </cfRule>
  </conditionalFormatting>
  <conditionalFormatting sqref="CR26:CR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CW3:CW53">
    <cfRule type="colorScale" priority="568">
      <colorScale>
        <cfvo type="min"/>
        <cfvo type="max"/>
        <color theme="9" tint="-0.5"/>
        <color theme="9" tint="0.8"/>
      </colorScale>
    </cfRule>
    <cfRule type="colorScale" priority="569">
      <colorScale>
        <cfvo type="min"/>
        <cfvo type="max"/>
        <color rgb="FFFF7128"/>
        <color rgb="FFFFEF9C"/>
      </colorScale>
    </cfRule>
  </conditionalFormatting>
  <conditionalFormatting sqref="CX3:CX53">
    <cfRule type="colorScale" priority="567">
      <colorScale>
        <cfvo type="min"/>
        <cfvo type="max"/>
        <color theme="9" tint="-0.5"/>
        <color theme="9" tint="0.8"/>
      </colorScale>
    </cfRule>
  </conditionalFormatting>
  <conditionalFormatting sqref="CY3:CY53">
    <cfRule type="colorScale" priority="566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596">
      <colorScale>
        <cfvo type="min"/>
        <cfvo type="max"/>
        <color theme="4" tint="0.8"/>
        <color theme="4" tint="-0.25"/>
      </colorScale>
    </cfRule>
    <cfRule type="colorScale" priority="597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564">
      <colorScale>
        <cfvo type="min"/>
        <cfvo type="max"/>
        <color theme="4" tint="0.8"/>
        <color theme="4"/>
      </colorScale>
    </cfRule>
    <cfRule type="colorScale" priority="565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466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403">
      <colorScale>
        <cfvo type="min"/>
        <cfvo type="max"/>
        <color theme="4" tint="0.8"/>
        <color theme="4"/>
      </colorScale>
    </cfRule>
  </conditionalFormatting>
  <conditionalFormatting sqref="B3:BZ53">
    <cfRule type="colorScale" priority="202">
      <colorScale>
        <cfvo type="min"/>
        <cfvo type="max"/>
        <color theme="4" tint="0.8"/>
        <color theme="4"/>
      </colorScale>
    </cfRule>
    <cfRule type="colorScale" priority="203">
      <colorScale>
        <cfvo type="min"/>
        <cfvo type="max"/>
        <color theme="4" tint="0.8"/>
        <color theme="4" tint="-0.25"/>
      </colorScale>
    </cfRule>
  </conditionalFormatting>
  <conditionalFormatting sqref="B3:CR53"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418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417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467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423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422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Z15 A26:AF27 AD9:AF9 Z9:AB9 A25:X25 CW11:CY11 CW13:CY13" unlockedFormula="1"/>
    <ignoredError sqref="U1:AF1 A17:X18 Z17:AF18 A19:AF21 A22:X22 AA22:AD22 AF22 A23:AF23 A28:X28 Z29:AF29 A32:X32 A38:X38 Z38:AB38 AD38:AF38 A39:AF39 CW38:CY39 A34:AF35 CX35:CY35 A37:AF37 AC40:AD40 A40:V40 A43:AF43 CW25:CY28 A36:X36 Z36:AF36 A42:X42 A16:AF16 AB15:AE15 Z3:AF3 A14:X15 A6:AF7 A3:X4 Z41:AE41 A24:X24 A12:X12 CX9:CY9 A11:Z11 AB11:AC11 AE11 A9:X10 Z10:AF10 CW12:CY12 CW14:CY14 CS1:CY2 CW7:CY8 A49:X49 Z49:AF49 A8:V8 X8:AF8 A46:X46 AA46 AC46:AD46 AF46 A44:W44 Z44:AD44 AF44 AE48 Z48:AB48 A2:AF2 A50:AD50 AF50 A51:AF51 A53:AF53 A52 P52 V52 Y52 AA52:AF52 A47:AF47 A45:AF45 X41 Z24:AF24 Z12:AF12 Z14:AF14 AB13:AF13 Z13 C1:S1 A1 CX3 CW4:CY4 Z4:AE4" formulaRange="1" unlockedFormula="1"/>
    <ignoredError sqref="AE22:CI22 A39:CV39 AD11:CG11 AE46:CG46 AE44:CG44 Y14 A29:Y29 CK42:CY42 CM41:CY41 CK8 CM8:CV8 CI4 AG37:CG38 AG16:CY18 CL5:CY5 A5:CJ5 CI11:CV11 CM13:CV14 CI13:CJ13 CJ15 AG19:CG19 CI19:CY19 AG20:CY21 CL22:CY22 AG23:CY24 A30:CG30 CI30:CY30 A31:CY31 CL32:CY33 CI32:CJ33 CI42 CI44:CY44 CL46:CY46 CI48:CY48 A33:CG33 CI3:CW3 AG49:CY53 A54:CY56 A57:CE57 CS57:CY57 Y10 Y41 A1:T1 A16:AF16 Y17:AF18 A19:AF21 Y22:Z22 Y28:CV28 AG29:CY29 Y32:CG32 A37:AF37 Y38:AF38 AG35:CW35 AE40:CY40 W40:AB40 AG43:CY43 Y36 AG36:CY36 AF15:CG15 AG3:CG3 Y3:Y4 AF41:CI41 Y12:CV12 A13:AA13 AA11 AG10:CY10 CM15:CY15 A48:AD48 Y49 W8 AG8:CI8 Y46:AB46 X44:Y44 AF48:CG48 AG2:CR2 AE50:AF50 A51:AF51 B52:AF52 AG47:CY47 AG45:CY45 A41:W41 AG14:CK14 AG13:CG13 CY3 CK4:CV4 AF4:CG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3" sqref="G2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458</v>
      </c>
      <c r="B2" s="148" t="s">
        <v>459</v>
      </c>
      <c r="C2" s="149" t="s">
        <v>460</v>
      </c>
      <c r="D2" s="150"/>
      <c r="E2" s="148" t="s">
        <v>459</v>
      </c>
      <c r="F2" s="148"/>
      <c r="G2" s="151" t="s">
        <v>461</v>
      </c>
      <c r="H2" s="151"/>
      <c r="I2" s="143"/>
      <c r="J2" s="152"/>
    </row>
    <row r="3" ht="16.5" spans="1:10">
      <c r="A3" s="144" t="s">
        <v>462</v>
      </c>
      <c r="B3" s="153" t="s">
        <v>463</v>
      </c>
      <c r="C3" s="153"/>
      <c r="D3" s="153"/>
      <c r="E3" s="153"/>
      <c r="F3" s="153"/>
      <c r="G3" s="153"/>
      <c r="H3" s="153"/>
      <c r="I3" s="143"/>
      <c r="J3" s="152"/>
    </row>
    <row r="4" ht="16.5" spans="1:10">
      <c r="A4" s="144" t="s">
        <v>464</v>
      </c>
      <c r="B4" s="154" t="s">
        <v>287</v>
      </c>
      <c r="C4" s="154"/>
      <c r="D4" s="154"/>
      <c r="E4" s="154"/>
      <c r="F4" s="154"/>
      <c r="G4" s="154"/>
      <c r="H4" s="154"/>
      <c r="I4" s="143"/>
      <c r="J4" s="152"/>
    </row>
    <row r="5" ht="16.5" spans="1:10">
      <c r="A5" s="144" t="s">
        <v>465</v>
      </c>
      <c r="B5" s="155">
        <v>1</v>
      </c>
      <c r="C5" s="155"/>
      <c r="D5" s="156">
        <v>2</v>
      </c>
      <c r="E5" s="156"/>
      <c r="F5" s="156"/>
      <c r="G5" s="155" t="s">
        <v>466</v>
      </c>
      <c r="H5" s="155"/>
      <c r="I5" s="143"/>
      <c r="J5" s="152"/>
    </row>
    <row r="6" ht="16.5" spans="1:10">
      <c r="A6" s="144" t="s">
        <v>467</v>
      </c>
      <c r="B6" s="157">
        <v>1</v>
      </c>
      <c r="C6" s="157"/>
      <c r="D6" s="157"/>
      <c r="E6" s="157"/>
      <c r="F6" s="157"/>
      <c r="G6" s="158" t="s">
        <v>468</v>
      </c>
      <c r="H6" s="158"/>
      <c r="I6" s="143"/>
      <c r="J6" s="152"/>
    </row>
    <row r="7" ht="16.5" spans="1:10">
      <c r="A7" s="144" t="s">
        <v>469</v>
      </c>
      <c r="B7" s="159" t="s">
        <v>470</v>
      </c>
      <c r="C7" s="159"/>
      <c r="D7" s="159"/>
      <c r="E7" s="159"/>
      <c r="F7" s="159"/>
      <c r="G7" s="160" t="s">
        <v>471</v>
      </c>
      <c r="H7" s="160"/>
      <c r="I7" s="143"/>
      <c r="J7" s="152"/>
    </row>
    <row r="8" ht="16.5" spans="1:10">
      <c r="A8" s="144" t="s">
        <v>472</v>
      </c>
      <c r="B8" s="161">
        <v>1</v>
      </c>
      <c r="C8" s="161"/>
      <c r="D8" s="162" t="s">
        <v>473</v>
      </c>
      <c r="E8" s="162"/>
      <c r="F8" s="162"/>
      <c r="G8" s="161" t="s">
        <v>474</v>
      </c>
      <c r="H8" s="161"/>
      <c r="I8" s="143"/>
      <c r="J8" s="152"/>
    </row>
    <row r="9" s="1" customFormat="1" ht="16.5" spans="1:10">
      <c r="A9" s="144" t="s">
        <v>475</v>
      </c>
      <c r="B9" s="2" t="s">
        <v>476</v>
      </c>
      <c r="C9" s="2"/>
      <c r="D9" s="2"/>
      <c r="E9" s="2"/>
      <c r="F9" s="2"/>
      <c r="G9" s="163" t="s">
        <v>477</v>
      </c>
      <c r="H9" s="163"/>
      <c r="I9" s="1"/>
      <c r="J9" s="164"/>
    </row>
    <row r="10" s="1" customFormat="1" ht="16.5" spans="1:10">
      <c r="A10" s="144" t="s">
        <v>478</v>
      </c>
      <c r="B10" s="165" t="s">
        <v>476</v>
      </c>
      <c r="C10" s="165"/>
      <c r="D10" s="165"/>
      <c r="E10" s="165"/>
      <c r="F10" s="165"/>
      <c r="G10" s="165"/>
      <c r="H10" s="165"/>
      <c r="I10" s="166"/>
      <c r="J10" s="164"/>
    </row>
    <row r="11" ht="16.5" spans="1:10">
      <c r="A11" s="144" t="s">
        <v>479</v>
      </c>
      <c r="B11" s="148" t="s">
        <v>480</v>
      </c>
      <c r="C11" s="148"/>
      <c r="D11" s="148"/>
      <c r="E11" s="148"/>
      <c r="F11" s="148"/>
      <c r="G11" s="148"/>
      <c r="H11" s="148"/>
      <c r="I11" s="143"/>
      <c r="J11" s="152"/>
    </row>
    <row r="12" ht="16.5" spans="1:10">
      <c r="A12" s="144" t="s">
        <v>481</v>
      </c>
      <c r="B12" s="153">
        <v>1</v>
      </c>
      <c r="C12" s="153"/>
      <c r="D12" s="167" t="s">
        <v>482</v>
      </c>
      <c r="E12" s="153">
        <v>1</v>
      </c>
      <c r="F12" s="167" t="s">
        <v>482</v>
      </c>
      <c r="G12" s="143" t="s">
        <v>476</v>
      </c>
      <c r="H12" s="143"/>
      <c r="I12" s="143"/>
      <c r="J12" s="152"/>
    </row>
    <row r="13" ht="16.5" spans="1:10">
      <c r="A13" s="144" t="s">
        <v>483</v>
      </c>
      <c r="B13" s="154">
        <v>1</v>
      </c>
      <c r="C13" s="154"/>
      <c r="D13" s="154"/>
      <c r="E13" s="154"/>
      <c r="F13" s="154"/>
      <c r="G13" s="154"/>
      <c r="H13" s="143" t="s">
        <v>476</v>
      </c>
      <c r="I13" s="143"/>
      <c r="J13" s="152"/>
    </row>
    <row r="14" ht="16.5" spans="1:10">
      <c r="A14" s="144" t="s">
        <v>484</v>
      </c>
      <c r="B14" s="168">
        <v>1</v>
      </c>
      <c r="C14" s="168"/>
      <c r="D14" s="168"/>
      <c r="E14" s="168"/>
      <c r="F14" s="168"/>
      <c r="G14" s="169">
        <v>2</v>
      </c>
      <c r="H14" s="170" t="s">
        <v>476</v>
      </c>
      <c r="I14" s="170"/>
      <c r="J14" s="171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7" width="3.63636363636364" style="115" customWidth="1"/>
    <col min="8" max="8" width="5.18181818181818" style="115" customWidth="1"/>
    <col min="9" max="16384" width="8.72727272727273" style="115"/>
  </cols>
  <sheetData>
    <row r="1" s="112" customFormat="1" spans="1:10">
      <c r="A1" s="116" t="s">
        <v>485</v>
      </c>
      <c r="B1" s="117"/>
      <c r="C1" s="112" t="s">
        <v>1</v>
      </c>
      <c r="D1" s="112" t="s">
        <v>2</v>
      </c>
      <c r="E1" s="118" t="s">
        <v>3</v>
      </c>
      <c r="F1" s="119"/>
      <c r="G1" s="118" t="s">
        <v>4</v>
      </c>
      <c r="H1" s="119"/>
      <c r="I1" s="112" t="s">
        <v>5</v>
      </c>
      <c r="J1" s="112" t="s">
        <v>6</v>
      </c>
    </row>
    <row r="2" s="113" customFormat="1" spans="1:10">
      <c r="A2" s="120" t="s">
        <v>486</v>
      </c>
      <c r="B2" s="121" t="s">
        <v>487</v>
      </c>
      <c r="C2" s="122" t="s">
        <v>7</v>
      </c>
      <c r="D2" s="123"/>
      <c r="E2" s="123"/>
      <c r="F2" s="123"/>
      <c r="G2" s="123"/>
      <c r="H2" s="124"/>
    </row>
    <row r="3" s="113" customFormat="1" spans="1:10">
      <c r="A3" s="125"/>
      <c r="B3" s="121" t="s">
        <v>488</v>
      </c>
      <c r="C3" s="122" t="s">
        <v>31</v>
      </c>
      <c r="D3" s="123"/>
      <c r="E3" s="123"/>
      <c r="F3" s="123"/>
      <c r="G3" s="123"/>
      <c r="H3" s="124"/>
    </row>
    <row r="4" s="113" customFormat="1" spans="1:10">
      <c r="A4" s="125"/>
      <c r="B4" s="121"/>
      <c r="C4" s="122" t="s">
        <v>25</v>
      </c>
      <c r="D4" s="123"/>
      <c r="E4" s="123"/>
      <c r="F4" s="123"/>
      <c r="G4" s="123"/>
      <c r="H4" s="124"/>
    </row>
    <row r="5" s="113" customFormat="1" spans="1:10">
      <c r="A5" s="125"/>
      <c r="B5" s="121" t="s">
        <v>489</v>
      </c>
      <c r="C5" s="122" t="s">
        <v>36</v>
      </c>
      <c r="D5" s="123"/>
      <c r="E5" s="123"/>
      <c r="F5" s="123"/>
      <c r="G5" s="123"/>
      <c r="H5" s="124"/>
    </row>
    <row r="6" s="113" customFormat="1" spans="1:10">
      <c r="A6" s="125"/>
      <c r="B6" s="121" t="s">
        <v>490</v>
      </c>
      <c r="C6" s="15" t="s">
        <v>21</v>
      </c>
      <c r="D6" s="126" t="s">
        <v>119</v>
      </c>
      <c r="E6" s="127"/>
      <c r="F6" s="127"/>
      <c r="G6" s="127"/>
      <c r="H6" s="128"/>
    </row>
    <row r="7" s="113" customFormat="1" spans="1:10">
      <c r="A7" s="125"/>
      <c r="B7" s="121"/>
      <c r="C7" s="15" t="s">
        <v>59</v>
      </c>
      <c r="D7" s="113" t="s">
        <v>91</v>
      </c>
      <c r="E7" s="126" t="s">
        <v>106</v>
      </c>
      <c r="F7" s="127"/>
      <c r="G7" s="127"/>
      <c r="H7" s="128"/>
    </row>
    <row r="8" s="113" customFormat="1" spans="1:10">
      <c r="A8" s="125"/>
      <c r="B8" s="121" t="s">
        <v>491</v>
      </c>
      <c r="C8" s="15" t="s">
        <v>15</v>
      </c>
      <c r="D8" s="126" t="s">
        <v>96</v>
      </c>
      <c r="E8" s="127"/>
      <c r="F8" s="127"/>
      <c r="G8" s="127"/>
      <c r="H8" s="128"/>
    </row>
    <row r="9" s="113" customFormat="1" spans="1:10">
      <c r="A9" s="125"/>
      <c r="B9" s="121" t="s">
        <v>492</v>
      </c>
      <c r="C9" s="122" t="s">
        <v>27</v>
      </c>
      <c r="D9" s="123"/>
      <c r="E9" s="123"/>
      <c r="F9" s="123"/>
      <c r="G9" s="123"/>
      <c r="H9" s="124"/>
    </row>
    <row r="10" s="113" customFormat="1" spans="1:10">
      <c r="A10" s="125"/>
      <c r="B10" s="121" t="s">
        <v>493</v>
      </c>
      <c r="C10" s="122" t="s">
        <v>39</v>
      </c>
      <c r="D10" s="123"/>
      <c r="E10" s="123"/>
      <c r="F10" s="123"/>
      <c r="G10" s="123"/>
      <c r="H10" s="124"/>
    </row>
    <row r="11" s="113" customFormat="1" spans="1:10">
      <c r="A11" s="129"/>
      <c r="B11" s="121" t="s">
        <v>494</v>
      </c>
      <c r="C11" s="122" t="s">
        <v>84</v>
      </c>
      <c r="D11" s="123"/>
      <c r="E11" s="123"/>
      <c r="F11" s="123"/>
      <c r="G11" s="123"/>
      <c r="H11" s="124"/>
    </row>
    <row r="12" s="114" customFormat="1" spans="1:10">
      <c r="A12" s="130" t="s">
        <v>495</v>
      </c>
      <c r="B12" s="131" t="s">
        <v>496</v>
      </c>
      <c r="C12" s="132" t="s">
        <v>106</v>
      </c>
      <c r="D12" s="133"/>
      <c r="E12" s="134" t="s">
        <v>21</v>
      </c>
      <c r="F12" s="135"/>
      <c r="G12" s="135"/>
      <c r="H12" s="136"/>
    </row>
    <row r="13" s="114" customFormat="1" spans="1:10">
      <c r="A13" s="137"/>
      <c r="B13" s="131"/>
      <c r="C13" s="132" t="s">
        <v>45</v>
      </c>
      <c r="D13" s="138"/>
      <c r="E13" s="138"/>
      <c r="F13" s="138"/>
      <c r="G13" s="138"/>
      <c r="H13" s="133"/>
    </row>
    <row r="14" s="114" customFormat="1" spans="1:10">
      <c r="A14" s="137"/>
      <c r="B14" s="131" t="s">
        <v>497</v>
      </c>
      <c r="C14" s="132" t="s">
        <v>498</v>
      </c>
      <c r="D14" s="138"/>
      <c r="E14" s="133"/>
      <c r="F14" s="135" t="s">
        <v>39</v>
      </c>
      <c r="G14" s="135"/>
      <c r="H14" s="136"/>
    </row>
    <row r="15" s="114" customFormat="1" spans="1:10">
      <c r="A15" s="137"/>
      <c r="B15" s="131" t="s">
        <v>499</v>
      </c>
      <c r="C15" s="132" t="s">
        <v>10</v>
      </c>
      <c r="D15" s="138"/>
      <c r="E15" s="138"/>
      <c r="F15" s="138"/>
      <c r="G15" s="138"/>
      <c r="H15" s="133"/>
    </row>
    <row r="16" s="114" customFormat="1" spans="1:10">
      <c r="A16" s="137"/>
      <c r="B16" s="131"/>
      <c r="C16" s="132" t="s">
        <v>13</v>
      </c>
      <c r="D16" s="138"/>
      <c r="E16" s="138"/>
      <c r="F16" s="138"/>
      <c r="G16" s="138"/>
      <c r="H16" s="133"/>
    </row>
    <row r="17" s="114" customFormat="1" spans="1:10">
      <c r="A17" s="137"/>
      <c r="B17" s="131" t="s">
        <v>500</v>
      </c>
      <c r="C17" s="132" t="s">
        <v>30</v>
      </c>
      <c r="D17" s="138"/>
      <c r="E17" s="138"/>
      <c r="F17" s="138"/>
      <c r="G17" s="138"/>
      <c r="H17" s="133"/>
    </row>
    <row r="18" s="114" customFormat="1" spans="1:10">
      <c r="A18" s="137"/>
      <c r="B18" s="131" t="s">
        <v>501</v>
      </c>
      <c r="C18" s="132" t="s">
        <v>50</v>
      </c>
      <c r="D18" s="138"/>
      <c r="E18" s="138"/>
      <c r="F18" s="138"/>
      <c r="G18" s="138"/>
      <c r="H18" s="133"/>
    </row>
    <row r="19" s="114" customFormat="1" spans="1:10">
      <c r="A19" s="137"/>
      <c r="B19" s="131" t="s">
        <v>502</v>
      </c>
      <c r="C19" s="132" t="s">
        <v>96</v>
      </c>
      <c r="D19" s="138"/>
      <c r="E19" s="138"/>
      <c r="F19" s="138"/>
      <c r="G19" s="138"/>
      <c r="H19" s="133"/>
      <c r="I19" s="139"/>
      <c r="J19" s="140"/>
    </row>
    <row r="20" s="114" customFormat="1" spans="1:10">
      <c r="A20" s="137"/>
      <c r="B20" s="131" t="s">
        <v>503</v>
      </c>
      <c r="C20" s="132" t="s">
        <v>100</v>
      </c>
      <c r="D20" s="138"/>
      <c r="E20" s="138"/>
      <c r="F20" s="138"/>
      <c r="G20" s="133"/>
      <c r="H20" s="136" t="s">
        <v>38</v>
      </c>
      <c r="I20" s="139"/>
      <c r="J20" s="140"/>
    </row>
    <row r="21" s="114" customFormat="1" spans="1:10">
      <c r="A21" s="137"/>
      <c r="B21" s="131" t="s">
        <v>504</v>
      </c>
      <c r="C21" s="139"/>
      <c r="D21" s="140"/>
      <c r="E21" s="134" t="s">
        <v>28</v>
      </c>
      <c r="F21" s="135"/>
      <c r="G21" s="135"/>
      <c r="H21" s="136"/>
    </row>
    <row r="22" s="114" customFormat="1" spans="1:10">
      <c r="A22" s="141"/>
      <c r="B22" s="131" t="s">
        <v>505</v>
      </c>
      <c r="C22" s="139"/>
      <c r="D22" s="142"/>
      <c r="E22" s="142"/>
      <c r="F22" s="142"/>
      <c r="G22" s="142"/>
      <c r="H22" s="140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506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507</v>
      </c>
      <c r="B2" s="96"/>
      <c r="C2" s="97"/>
      <c r="D2" s="98" t="s">
        <v>50</v>
      </c>
      <c r="E2" s="98" t="s">
        <v>123</v>
      </c>
      <c r="F2" s="99"/>
      <c r="G2" s="99"/>
      <c r="H2" s="100"/>
      <c r="I2" s="100"/>
    </row>
    <row r="3" s="92" customFormat="1" customHeight="1" spans="1:16">
      <c r="A3" s="101"/>
      <c r="B3" s="97" t="s">
        <v>38</v>
      </c>
      <c r="C3" s="97" t="s">
        <v>50</v>
      </c>
      <c r="D3" s="98" t="s">
        <v>30</v>
      </c>
      <c r="E3" s="98" t="s">
        <v>7</v>
      </c>
      <c r="F3" s="99" t="s">
        <v>78</v>
      </c>
      <c r="G3" s="99" t="s">
        <v>91</v>
      </c>
      <c r="H3" s="100" t="s">
        <v>123</v>
      </c>
      <c r="I3" s="100" t="s">
        <v>106</v>
      </c>
    </row>
    <row r="4" s="92" customFormat="1" customHeight="1" spans="1:16">
      <c r="A4" s="101"/>
      <c r="B4" s="97" t="s">
        <v>45</v>
      </c>
      <c r="C4" s="97" t="s">
        <v>43</v>
      </c>
      <c r="D4" s="98" t="s">
        <v>134</v>
      </c>
      <c r="E4" s="98" t="s">
        <v>94</v>
      </c>
      <c r="F4" s="99" t="s">
        <v>21</v>
      </c>
      <c r="G4" s="99" t="s">
        <v>69</v>
      </c>
      <c r="H4" s="100" t="s">
        <v>58</v>
      </c>
      <c r="I4" s="100" t="s">
        <v>33</v>
      </c>
    </row>
    <row r="5" s="92" customFormat="1" customHeight="1" spans="1:16">
      <c r="A5" s="101"/>
      <c r="B5" s="97" t="s">
        <v>85</v>
      </c>
      <c r="C5" s="97" t="s">
        <v>31</v>
      </c>
      <c r="D5" s="98" t="s">
        <v>47</v>
      </c>
      <c r="E5" s="98" t="s">
        <v>88</v>
      </c>
      <c r="F5" s="99" t="s">
        <v>84</v>
      </c>
      <c r="G5" s="99" t="s">
        <v>28</v>
      </c>
      <c r="H5" s="100" t="s">
        <v>39</v>
      </c>
      <c r="I5" s="100" t="s">
        <v>124</v>
      </c>
    </row>
    <row r="6" s="92" customFormat="1" customHeight="1" spans="1:16">
      <c r="A6" s="101"/>
      <c r="B6" s="97" t="s">
        <v>25</v>
      </c>
      <c r="C6" s="97" t="s">
        <v>87</v>
      </c>
      <c r="D6" s="98" t="s">
        <v>10</v>
      </c>
      <c r="E6" s="98" t="s">
        <v>86</v>
      </c>
      <c r="F6" s="99" t="s">
        <v>100</v>
      </c>
      <c r="G6" s="99" t="s">
        <v>132</v>
      </c>
      <c r="H6" s="100" t="s">
        <v>73</v>
      </c>
      <c r="I6" s="100" t="s">
        <v>19</v>
      </c>
    </row>
    <row r="7" s="92" customFormat="1" customHeight="1" spans="1:16">
      <c r="A7" s="101"/>
      <c r="B7" s="97" t="s">
        <v>117</v>
      </c>
      <c r="C7" s="97" t="s">
        <v>36</v>
      </c>
      <c r="D7" s="98" t="s">
        <v>70</v>
      </c>
      <c r="E7" s="98" t="s">
        <v>13</v>
      </c>
      <c r="F7" s="99" t="s">
        <v>113</v>
      </c>
      <c r="G7" s="99" t="s">
        <v>59</v>
      </c>
      <c r="H7" s="100" t="s">
        <v>89</v>
      </c>
      <c r="I7" s="100" t="s">
        <v>114</v>
      </c>
    </row>
    <row r="8" s="92" customFormat="1" customHeight="1" spans="1:16">
      <c r="A8" s="101"/>
      <c r="B8" s="97" t="s">
        <v>130</v>
      </c>
      <c r="C8" s="97" t="s">
        <v>68</v>
      </c>
      <c r="D8" s="98" t="s">
        <v>81</v>
      </c>
      <c r="E8" s="98" t="s">
        <v>119</v>
      </c>
      <c r="F8" s="99" t="s">
        <v>53</v>
      </c>
      <c r="G8" s="99" t="s">
        <v>126</v>
      </c>
      <c r="H8" s="100" t="s">
        <v>63</v>
      </c>
      <c r="I8" s="100" t="s">
        <v>96</v>
      </c>
    </row>
    <row r="9" s="92" customFormat="1" customHeight="1" spans="1:16">
      <c r="A9" s="102"/>
      <c r="B9" s="103"/>
      <c r="C9" s="104"/>
      <c r="D9" s="105" t="s">
        <v>135</v>
      </c>
      <c r="E9" s="106"/>
      <c r="F9" s="107"/>
      <c r="G9" s="107"/>
      <c r="H9" s="107"/>
      <c r="I9" s="108"/>
    </row>
    <row r="10" s="92" customFormat="1" customHeight="1" spans="1:16">
      <c r="A10" s="95" t="s">
        <v>508</v>
      </c>
      <c r="B10" s="96"/>
      <c r="C10" s="97"/>
      <c r="D10" s="98" t="s">
        <v>50</v>
      </c>
      <c r="E10" s="98" t="s">
        <v>123</v>
      </c>
      <c r="F10" s="99"/>
      <c r="G10" s="99"/>
      <c r="H10" s="100"/>
      <c r="I10" s="100"/>
    </row>
    <row r="11" s="92" customFormat="1" customHeight="1" spans="1:16">
      <c r="A11" s="101"/>
      <c r="B11" s="97" t="s">
        <v>58</v>
      </c>
      <c r="C11" s="97" t="s">
        <v>106</v>
      </c>
      <c r="D11" s="98" t="s">
        <v>69</v>
      </c>
      <c r="E11" s="98" t="s">
        <v>134</v>
      </c>
      <c r="F11" s="99" t="s">
        <v>15</v>
      </c>
      <c r="G11" s="99" t="s">
        <v>91</v>
      </c>
      <c r="H11" s="100" t="s">
        <v>38</v>
      </c>
      <c r="I11" s="100" t="s">
        <v>27</v>
      </c>
    </row>
    <row r="12" s="92" customFormat="1" customHeight="1" spans="1:16">
      <c r="A12" s="101"/>
      <c r="B12" s="97" t="s">
        <v>94</v>
      </c>
      <c r="C12" s="97" t="s">
        <v>33</v>
      </c>
      <c r="D12" s="98" t="s">
        <v>7</v>
      </c>
      <c r="E12" s="98" t="s">
        <v>30</v>
      </c>
      <c r="F12" s="99" t="s">
        <v>21</v>
      </c>
      <c r="G12" s="99" t="s">
        <v>78</v>
      </c>
      <c r="H12" s="100" t="s">
        <v>45</v>
      </c>
      <c r="I12" s="100" t="s">
        <v>43</v>
      </c>
    </row>
    <row r="13" s="92" customFormat="1" customHeight="1" spans="1:16">
      <c r="A13" s="101"/>
      <c r="B13" s="97" t="s">
        <v>85</v>
      </c>
      <c r="C13" s="97" t="s">
        <v>47</v>
      </c>
      <c r="D13" s="98" t="s">
        <v>39</v>
      </c>
      <c r="E13" s="98" t="s">
        <v>124</v>
      </c>
      <c r="F13" s="99" t="s">
        <v>132</v>
      </c>
      <c r="G13" s="99" t="s">
        <v>86</v>
      </c>
      <c r="H13" s="100" t="s">
        <v>88</v>
      </c>
      <c r="I13" s="100" t="s">
        <v>31</v>
      </c>
    </row>
    <row r="14" s="92" customFormat="1" customHeight="1" spans="1:16">
      <c r="A14" s="101"/>
      <c r="B14" s="97" t="s">
        <v>25</v>
      </c>
      <c r="C14" s="97" t="s">
        <v>87</v>
      </c>
      <c r="D14" s="98" t="s">
        <v>10</v>
      </c>
      <c r="E14" s="98" t="s">
        <v>73</v>
      </c>
      <c r="F14" s="99" t="s">
        <v>28</v>
      </c>
      <c r="G14" s="99" t="s">
        <v>84</v>
      </c>
      <c r="H14" s="100" t="s">
        <v>19</v>
      </c>
      <c r="I14" s="100" t="s">
        <v>100</v>
      </c>
    </row>
    <row r="15" s="92" customFormat="1" customHeight="1" spans="1:16">
      <c r="A15" s="101"/>
      <c r="B15" s="97" t="s">
        <v>36</v>
      </c>
      <c r="C15" s="97" t="s">
        <v>117</v>
      </c>
      <c r="D15" s="98" t="s">
        <v>114</v>
      </c>
      <c r="E15" s="98" t="s">
        <v>113</v>
      </c>
      <c r="F15" s="99" t="s">
        <v>13</v>
      </c>
      <c r="G15" s="99" t="s">
        <v>59</v>
      </c>
      <c r="H15" s="100" t="s">
        <v>89</v>
      </c>
      <c r="I15" s="100" t="s">
        <v>70</v>
      </c>
    </row>
    <row r="16" s="92" customFormat="1" customHeight="1" spans="1:16">
      <c r="A16" s="101"/>
      <c r="B16" s="97" t="s">
        <v>130</v>
      </c>
      <c r="C16" s="97" t="s">
        <v>68</v>
      </c>
      <c r="D16" s="98" t="s">
        <v>126</v>
      </c>
      <c r="E16" s="98" t="s">
        <v>119</v>
      </c>
      <c r="F16" s="99" t="s">
        <v>53</v>
      </c>
      <c r="G16" s="99" t="s">
        <v>81</v>
      </c>
      <c r="H16" s="100" t="s">
        <v>135</v>
      </c>
      <c r="I16" s="100" t="s">
        <v>96</v>
      </c>
    </row>
    <row r="17" s="92" customFormat="1" customHeight="1" spans="1:9">
      <c r="A17" s="102"/>
      <c r="B17" s="103"/>
      <c r="C17" s="104"/>
      <c r="D17" s="105" t="s">
        <v>63</v>
      </c>
      <c r="E17" s="106"/>
      <c r="F17" s="107"/>
      <c r="G17" s="107"/>
      <c r="H17" s="107"/>
      <c r="I17" s="108"/>
    </row>
    <row r="18" s="92" customFormat="1" customHeight="1" spans="1:9">
      <c r="A18" s="95" t="s">
        <v>509</v>
      </c>
      <c r="B18" s="96"/>
      <c r="C18" s="97"/>
      <c r="D18" s="98" t="s">
        <v>50</v>
      </c>
      <c r="E18" s="98"/>
      <c r="F18" s="99" t="s">
        <v>123</v>
      </c>
      <c r="G18" s="99"/>
      <c r="H18" s="100"/>
      <c r="I18" s="100"/>
    </row>
    <row r="19" s="92" customFormat="1" customHeight="1" spans="1:9">
      <c r="A19" s="101"/>
      <c r="B19" s="109" t="s">
        <v>27</v>
      </c>
      <c r="C19" s="97" t="s">
        <v>38</v>
      </c>
      <c r="D19" s="98" t="s">
        <v>134</v>
      </c>
      <c r="E19" s="98" t="s">
        <v>91</v>
      </c>
      <c r="F19" s="99" t="s">
        <v>58</v>
      </c>
      <c r="G19" s="99" t="s">
        <v>106</v>
      </c>
      <c r="H19" s="100" t="s">
        <v>15</v>
      </c>
      <c r="I19" s="100" t="s">
        <v>69</v>
      </c>
    </row>
    <row r="20" s="92" customFormat="1" customHeight="1" spans="1:9">
      <c r="A20" s="101"/>
      <c r="B20" s="97" t="s">
        <v>78</v>
      </c>
      <c r="C20" s="97" t="s">
        <v>30</v>
      </c>
      <c r="D20" s="98" t="s">
        <v>94</v>
      </c>
      <c r="E20" s="98" t="s">
        <v>33</v>
      </c>
      <c r="F20" s="99" t="s">
        <v>43</v>
      </c>
      <c r="G20" s="99" t="s">
        <v>47</v>
      </c>
      <c r="H20" s="100" t="s">
        <v>45</v>
      </c>
      <c r="I20" s="100" t="s">
        <v>7</v>
      </c>
    </row>
    <row r="21" s="92" customFormat="1" customHeight="1" spans="1:9">
      <c r="A21" s="101"/>
      <c r="B21" s="97" t="s">
        <v>88</v>
      </c>
      <c r="C21" s="97" t="s">
        <v>85</v>
      </c>
      <c r="D21" s="98" t="s">
        <v>84</v>
      </c>
      <c r="E21" s="98" t="s">
        <v>39</v>
      </c>
      <c r="F21" s="99" t="s">
        <v>28</v>
      </c>
      <c r="G21" s="99" t="s">
        <v>21</v>
      </c>
      <c r="H21" s="100" t="s">
        <v>89</v>
      </c>
      <c r="I21" s="100" t="s">
        <v>31</v>
      </c>
    </row>
    <row r="22" s="92" customFormat="1" customHeight="1" spans="1:9">
      <c r="A22" s="101"/>
      <c r="B22" s="97" t="s">
        <v>25</v>
      </c>
      <c r="C22" s="97" t="s">
        <v>100</v>
      </c>
      <c r="D22" s="98" t="s">
        <v>86</v>
      </c>
      <c r="E22" s="98" t="s">
        <v>73</v>
      </c>
      <c r="F22" s="99" t="s">
        <v>132</v>
      </c>
      <c r="G22" s="99" t="s">
        <v>113</v>
      </c>
      <c r="H22" s="100" t="s">
        <v>19</v>
      </c>
      <c r="I22" s="100" t="s">
        <v>13</v>
      </c>
    </row>
    <row r="23" s="92" customFormat="1" customHeight="1" spans="1:9">
      <c r="A23" s="101"/>
      <c r="B23" s="97" t="s">
        <v>70</v>
      </c>
      <c r="C23" s="97" t="s">
        <v>117</v>
      </c>
      <c r="D23" s="98" t="s">
        <v>87</v>
      </c>
      <c r="E23" s="98" t="s">
        <v>36</v>
      </c>
      <c r="F23" s="99" t="s">
        <v>119</v>
      </c>
      <c r="G23" s="99" t="s">
        <v>10</v>
      </c>
      <c r="H23" s="100" t="s">
        <v>59</v>
      </c>
      <c r="I23" s="100" t="s">
        <v>53</v>
      </c>
    </row>
    <row r="24" s="92" customFormat="1" customHeight="1" spans="1:9">
      <c r="A24" s="101"/>
      <c r="B24" s="97" t="s">
        <v>126</v>
      </c>
      <c r="C24" s="97" t="s">
        <v>96</v>
      </c>
      <c r="D24" s="98" t="s">
        <v>81</v>
      </c>
      <c r="E24" s="98" t="s">
        <v>68</v>
      </c>
      <c r="F24" s="99" t="s">
        <v>87</v>
      </c>
      <c r="G24" s="99" t="s">
        <v>114</v>
      </c>
      <c r="H24" s="100" t="s">
        <v>130</v>
      </c>
      <c r="I24" s="100" t="s">
        <v>53</v>
      </c>
    </row>
    <row r="25" s="92" customFormat="1" customHeight="1" spans="1:9">
      <c r="A25" s="102"/>
      <c r="B25" s="110"/>
      <c r="C25" s="111"/>
      <c r="D25" s="105" t="s">
        <v>135</v>
      </c>
      <c r="E25" s="106"/>
      <c r="F25" s="107"/>
      <c r="G25" s="107"/>
      <c r="H25" s="107"/>
      <c r="I25" s="108"/>
    </row>
    <row r="26" customHeight="1" spans="1:9">
      <c r="A26" s="95" t="s">
        <v>510</v>
      </c>
      <c r="B26" s="96"/>
      <c r="C26" s="97"/>
      <c r="D26" s="98"/>
      <c r="E26" s="98"/>
      <c r="F26" s="99"/>
      <c r="G26" s="99"/>
      <c r="H26" s="100" t="s">
        <v>87</v>
      </c>
      <c r="I26" s="100"/>
    </row>
    <row r="27" customHeight="1" spans="1:9">
      <c r="A27" s="101"/>
      <c r="B27" s="109" t="s">
        <v>15</v>
      </c>
      <c r="C27" s="97" t="s">
        <v>38</v>
      </c>
      <c r="D27" s="98" t="s">
        <v>27</v>
      </c>
      <c r="E27" s="98" t="s">
        <v>43</v>
      </c>
      <c r="F27" s="99" t="s">
        <v>123</v>
      </c>
      <c r="G27" s="99" t="s">
        <v>91</v>
      </c>
      <c r="H27" s="100" t="s">
        <v>134</v>
      </c>
      <c r="I27" s="100" t="s">
        <v>58</v>
      </c>
    </row>
    <row r="28" customHeight="1" spans="1:9">
      <c r="A28" s="101"/>
      <c r="B28" s="97" t="s">
        <v>45</v>
      </c>
      <c r="C28" s="97" t="s">
        <v>7</v>
      </c>
      <c r="D28" s="98" t="s">
        <v>78</v>
      </c>
      <c r="E28" s="98" t="s">
        <v>30</v>
      </c>
      <c r="F28" s="99" t="s">
        <v>86</v>
      </c>
      <c r="G28" s="99" t="s">
        <v>88</v>
      </c>
      <c r="H28" s="100" t="s">
        <v>69</v>
      </c>
      <c r="I28" s="100" t="s">
        <v>50</v>
      </c>
    </row>
    <row r="29" customHeight="1" spans="1:9">
      <c r="A29" s="101"/>
      <c r="B29" s="97" t="s">
        <v>89</v>
      </c>
      <c r="C29" s="97" t="s">
        <v>63</v>
      </c>
      <c r="D29" s="98" t="s">
        <v>132</v>
      </c>
      <c r="E29" s="98" t="s">
        <v>85</v>
      </c>
      <c r="F29" s="99" t="s">
        <v>33</v>
      </c>
      <c r="G29" s="99" t="s">
        <v>39</v>
      </c>
      <c r="H29" s="100" t="s">
        <v>28</v>
      </c>
      <c r="I29" s="100" t="s">
        <v>31</v>
      </c>
    </row>
    <row r="30" customHeight="1" spans="1:9">
      <c r="A30" s="101"/>
      <c r="B30" s="97" t="s">
        <v>53</v>
      </c>
      <c r="C30" s="97" t="s">
        <v>21</v>
      </c>
      <c r="D30" s="98" t="s">
        <v>100</v>
      </c>
      <c r="E30" s="98" t="s">
        <v>84</v>
      </c>
      <c r="F30" s="99" t="s">
        <v>73</v>
      </c>
      <c r="G30" s="99" t="s">
        <v>19</v>
      </c>
      <c r="H30" s="100" t="s">
        <v>124</v>
      </c>
      <c r="I30" s="100" t="s">
        <v>25</v>
      </c>
    </row>
    <row r="31" customHeight="1" spans="1:9">
      <c r="A31" s="101"/>
      <c r="B31" s="97" t="s">
        <v>126</v>
      </c>
      <c r="C31" s="97" t="s">
        <v>59</v>
      </c>
      <c r="D31" s="98" t="s">
        <v>10</v>
      </c>
      <c r="E31" s="98" t="s">
        <v>70</v>
      </c>
      <c r="F31" s="99" t="s">
        <v>81</v>
      </c>
      <c r="G31" s="99" t="s">
        <v>36</v>
      </c>
      <c r="H31" s="100" t="s">
        <v>47</v>
      </c>
      <c r="I31" s="100" t="s">
        <v>113</v>
      </c>
    </row>
    <row r="32" customHeight="1" spans="1:9">
      <c r="A32" s="101"/>
      <c r="B32" s="97" t="s">
        <v>117</v>
      </c>
      <c r="C32" s="97" t="s">
        <v>114</v>
      </c>
      <c r="D32" s="98" t="s">
        <v>130</v>
      </c>
      <c r="E32" s="98" t="s">
        <v>106</v>
      </c>
      <c r="F32" s="99" t="s">
        <v>13</v>
      </c>
      <c r="G32" s="99" t="s">
        <v>96</v>
      </c>
      <c r="H32" s="100" t="s">
        <v>68</v>
      </c>
      <c r="I32" s="100" t="s">
        <v>119</v>
      </c>
    </row>
    <row r="33" customHeight="1" spans="1:9">
      <c r="A33" s="102"/>
      <c r="B33" s="110"/>
      <c r="C33" s="111"/>
      <c r="D33" s="105" t="s">
        <v>135</v>
      </c>
      <c r="E33" s="106"/>
      <c r="F33" s="107"/>
      <c r="G33" s="107"/>
      <c r="H33" s="107"/>
      <c r="I33" s="108"/>
    </row>
    <row r="34" customHeight="1" spans="1:9">
      <c r="A34" s="95" t="s">
        <v>511</v>
      </c>
      <c r="B34" s="96"/>
      <c r="C34" s="97"/>
      <c r="D34" s="98"/>
      <c r="E34" s="98"/>
      <c r="F34" s="99" t="s">
        <v>87</v>
      </c>
      <c r="G34" s="99" t="s">
        <v>63</v>
      </c>
      <c r="H34" s="100"/>
      <c r="I34" s="100"/>
    </row>
    <row r="35" customHeight="1" spans="1:9">
      <c r="A35" s="101"/>
      <c r="B35" s="109" t="s">
        <v>86</v>
      </c>
      <c r="C35" s="97" t="s">
        <v>134</v>
      </c>
      <c r="D35" s="98" t="s">
        <v>50</v>
      </c>
      <c r="E35" s="98" t="s">
        <v>27</v>
      </c>
      <c r="F35" s="99" t="s">
        <v>43</v>
      </c>
      <c r="G35" s="99" t="s">
        <v>15</v>
      </c>
      <c r="H35" s="100" t="s">
        <v>123</v>
      </c>
      <c r="I35" s="100" t="s">
        <v>69</v>
      </c>
    </row>
    <row r="36" customHeight="1" spans="1:9">
      <c r="A36" s="101"/>
      <c r="B36" s="97" t="s">
        <v>124</v>
      </c>
      <c r="C36" s="97" t="s">
        <v>132</v>
      </c>
      <c r="D36" s="98" t="s">
        <v>88</v>
      </c>
      <c r="E36" s="98" t="s">
        <v>58</v>
      </c>
      <c r="F36" s="99" t="s">
        <v>91</v>
      </c>
      <c r="G36" s="99" t="s">
        <v>38</v>
      </c>
      <c r="H36" s="100" t="s">
        <v>45</v>
      </c>
      <c r="I36" s="100" t="s">
        <v>78</v>
      </c>
    </row>
    <row r="37" customHeight="1" spans="1:9">
      <c r="A37" s="101"/>
      <c r="B37" s="97" t="s">
        <v>33</v>
      </c>
      <c r="C37" s="97" t="s">
        <v>30</v>
      </c>
      <c r="D37" s="98" t="s">
        <v>89</v>
      </c>
      <c r="E37" s="98" t="s">
        <v>85</v>
      </c>
      <c r="F37" s="99" t="s">
        <v>7</v>
      </c>
      <c r="G37" s="99" t="s">
        <v>31</v>
      </c>
      <c r="H37" s="100" t="s">
        <v>100</v>
      </c>
      <c r="I37" s="100" t="s">
        <v>39</v>
      </c>
    </row>
    <row r="38" customHeight="1" spans="1:9">
      <c r="A38" s="101"/>
      <c r="B38" s="97" t="s">
        <v>73</v>
      </c>
      <c r="C38" s="97" t="s">
        <v>21</v>
      </c>
      <c r="D38" s="98" t="s">
        <v>28</v>
      </c>
      <c r="E38" s="98" t="s">
        <v>47</v>
      </c>
      <c r="F38" s="99" t="s">
        <v>53</v>
      </c>
      <c r="G38" s="99" t="s">
        <v>84</v>
      </c>
      <c r="H38" s="100" t="s">
        <v>113</v>
      </c>
      <c r="I38" s="100" t="s">
        <v>10</v>
      </c>
    </row>
    <row r="39" customHeight="1" spans="1:9">
      <c r="A39" s="101"/>
      <c r="B39" s="97" t="s">
        <v>114</v>
      </c>
      <c r="C39" s="97" t="s">
        <v>126</v>
      </c>
      <c r="D39" s="98" t="s">
        <v>70</v>
      </c>
      <c r="E39" s="98" t="s">
        <v>19</v>
      </c>
      <c r="F39" s="99" t="s">
        <v>119</v>
      </c>
      <c r="G39" s="99" t="s">
        <v>13</v>
      </c>
      <c r="H39" s="100" t="s">
        <v>25</v>
      </c>
      <c r="I39" s="100" t="s">
        <v>59</v>
      </c>
    </row>
    <row r="40" customHeight="1" spans="1:9">
      <c r="A40" s="101"/>
      <c r="B40" s="97" t="s">
        <v>106</v>
      </c>
      <c r="C40" s="97" t="s">
        <v>117</v>
      </c>
      <c r="D40" s="98" t="s">
        <v>96</v>
      </c>
      <c r="E40" s="98" t="s">
        <v>130</v>
      </c>
      <c r="F40" s="99" t="s">
        <v>135</v>
      </c>
      <c r="G40" s="99" t="s">
        <v>68</v>
      </c>
      <c r="H40" s="100" t="s">
        <v>36</v>
      </c>
      <c r="I40" s="100" t="s">
        <v>81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topLeftCell="A25" workbookViewId="0">
      <selection activeCell="C53" sqref="C53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512</v>
      </c>
      <c r="B1" s="83" t="s">
        <v>513</v>
      </c>
      <c r="C1" s="84" t="s">
        <v>229</v>
      </c>
    </row>
    <row r="2" spans="1:3">
      <c r="A2" s="85" t="s">
        <v>1</v>
      </c>
      <c r="B2" s="80" t="s">
        <v>514</v>
      </c>
      <c r="C2" s="81" t="s">
        <v>515</v>
      </c>
    </row>
    <row r="3" spans="1:3">
      <c r="A3" s="85"/>
      <c r="B3" s="80" t="s">
        <v>516</v>
      </c>
      <c r="C3" s="81" t="s">
        <v>517</v>
      </c>
    </row>
    <row r="4" spans="1:3">
      <c r="A4" s="85"/>
      <c r="B4" s="80" t="s">
        <v>518</v>
      </c>
      <c r="C4" s="81" t="s">
        <v>519</v>
      </c>
    </row>
    <row r="5" spans="1:3">
      <c r="A5" s="85"/>
      <c r="B5" s="80" t="s">
        <v>520</v>
      </c>
      <c r="C5" s="81" t="s">
        <v>521</v>
      </c>
    </row>
    <row r="6" spans="1:3">
      <c r="A6" s="85"/>
      <c r="B6" s="80" t="s">
        <v>522</v>
      </c>
      <c r="C6" s="81" t="s">
        <v>523</v>
      </c>
    </row>
    <row r="7" spans="1:3">
      <c r="A7" s="85"/>
      <c r="B7" s="80" t="s">
        <v>524</v>
      </c>
      <c r="C7" s="81" t="s">
        <v>525</v>
      </c>
    </row>
    <row r="8" spans="1:3">
      <c r="A8" s="85"/>
      <c r="B8" s="80" t="s">
        <v>526</v>
      </c>
      <c r="C8" s="81" t="s">
        <v>527</v>
      </c>
    </row>
    <row r="9" spans="1:3">
      <c r="A9" s="85"/>
      <c r="B9" s="80" t="s">
        <v>528</v>
      </c>
      <c r="C9" s="81" t="s">
        <v>529</v>
      </c>
    </row>
    <row r="10" spans="1:3">
      <c r="A10" s="85"/>
      <c r="B10" s="80" t="s">
        <v>530</v>
      </c>
      <c r="C10" s="81" t="s">
        <v>531</v>
      </c>
    </row>
    <row r="11" spans="1:3">
      <c r="A11" s="85"/>
      <c r="B11" s="80" t="s">
        <v>532</v>
      </c>
      <c r="C11" s="81" t="s">
        <v>533</v>
      </c>
    </row>
    <row r="12" spans="1:3">
      <c r="A12" s="85"/>
      <c r="B12" s="80" t="s">
        <v>534</v>
      </c>
      <c r="C12" s="81" t="s">
        <v>535</v>
      </c>
    </row>
    <row r="13" spans="1:3">
      <c r="A13" s="85"/>
      <c r="B13" s="80" t="s">
        <v>536</v>
      </c>
      <c r="C13" s="81" t="s">
        <v>537</v>
      </c>
    </row>
    <row r="14" spans="1:3">
      <c r="A14" s="85"/>
      <c r="B14" s="80" t="s">
        <v>538</v>
      </c>
      <c r="C14" s="81" t="s">
        <v>539</v>
      </c>
    </row>
    <row r="15" spans="1:3">
      <c r="A15" s="85"/>
      <c r="B15" s="80" t="s">
        <v>540</v>
      </c>
      <c r="C15" s="81" t="s">
        <v>541</v>
      </c>
    </row>
    <row r="16" spans="1:3">
      <c r="A16" s="85"/>
      <c r="B16" s="80" t="s">
        <v>542</v>
      </c>
      <c r="C16" s="81" t="s">
        <v>543</v>
      </c>
    </row>
    <row r="17" spans="1:3">
      <c r="A17" s="85"/>
      <c r="B17" s="80" t="s">
        <v>544</v>
      </c>
      <c r="C17" s="81" t="s">
        <v>545</v>
      </c>
    </row>
    <row r="18" spans="1:3">
      <c r="A18" s="85"/>
      <c r="B18" s="80" t="s">
        <v>546</v>
      </c>
      <c r="C18" s="81" t="s">
        <v>547</v>
      </c>
    </row>
    <row r="19" spans="1:3">
      <c r="A19" s="85"/>
      <c r="B19" s="80" t="s">
        <v>548</v>
      </c>
      <c r="C19" s="81" t="s">
        <v>549</v>
      </c>
    </row>
    <row r="20" spans="1:3">
      <c r="A20" s="85"/>
      <c r="B20" s="80" t="s">
        <v>550</v>
      </c>
      <c r="C20" s="81" t="s">
        <v>551</v>
      </c>
    </row>
    <row r="21" spans="1:3">
      <c r="A21" s="85"/>
      <c r="B21" s="80" t="s">
        <v>550</v>
      </c>
      <c r="C21" s="81" t="s">
        <v>552</v>
      </c>
    </row>
    <row r="22" spans="1:3">
      <c r="A22" s="85"/>
      <c r="B22" s="80" t="s">
        <v>553</v>
      </c>
      <c r="C22" s="81" t="s">
        <v>554</v>
      </c>
    </row>
    <row r="23" spans="1:3">
      <c r="A23" s="85"/>
      <c r="B23" s="80" t="s">
        <v>555</v>
      </c>
      <c r="C23" s="81" t="s">
        <v>556</v>
      </c>
    </row>
    <row r="24" spans="1:3">
      <c r="A24" s="85"/>
      <c r="B24" s="80" t="s">
        <v>557</v>
      </c>
      <c r="C24" s="81" t="s">
        <v>558</v>
      </c>
    </row>
    <row r="25" spans="1:3">
      <c r="A25" s="86" t="s">
        <v>2</v>
      </c>
      <c r="B25" s="80" t="s">
        <v>559</v>
      </c>
      <c r="C25" s="81" t="s">
        <v>560</v>
      </c>
    </row>
    <row r="26" spans="1:3">
      <c r="A26" s="86"/>
      <c r="B26" s="80" t="s">
        <v>561</v>
      </c>
      <c r="C26" s="81" t="s">
        <v>562</v>
      </c>
    </row>
    <row r="27" spans="1:3">
      <c r="A27" s="86"/>
      <c r="B27" s="80" t="s">
        <v>563</v>
      </c>
      <c r="C27" s="81" t="s">
        <v>564</v>
      </c>
    </row>
    <row r="28" spans="1:3">
      <c r="A28" s="86"/>
      <c r="B28" s="80" t="s">
        <v>565</v>
      </c>
      <c r="C28" s="81" t="s">
        <v>566</v>
      </c>
    </row>
    <row r="29" spans="1:3">
      <c r="A29" s="86"/>
      <c r="B29" s="80" t="s">
        <v>567</v>
      </c>
      <c r="C29" s="81" t="s">
        <v>568</v>
      </c>
    </row>
    <row r="30" spans="1:3">
      <c r="A30" s="86"/>
      <c r="B30" s="80" t="s">
        <v>569</v>
      </c>
      <c r="C30" s="81" t="s">
        <v>570</v>
      </c>
    </row>
    <row r="31" spans="1:3">
      <c r="A31" s="86"/>
      <c r="B31" s="80" t="s">
        <v>571</v>
      </c>
      <c r="C31" s="81" t="s">
        <v>572</v>
      </c>
    </row>
    <row r="32" spans="1:3">
      <c r="A32" s="86"/>
      <c r="B32" s="80" t="s">
        <v>573</v>
      </c>
      <c r="C32" s="81" t="s">
        <v>574</v>
      </c>
    </row>
    <row r="33" spans="1:3">
      <c r="A33" s="86"/>
      <c r="B33" s="80" t="s">
        <v>575</v>
      </c>
      <c r="C33" s="81" t="s">
        <v>576</v>
      </c>
    </row>
    <row r="34" spans="1:3">
      <c r="A34" s="86"/>
      <c r="B34" s="80" t="s">
        <v>577</v>
      </c>
      <c r="C34" s="81" t="s">
        <v>578</v>
      </c>
    </row>
    <row r="35" spans="1:3">
      <c r="A35" s="86"/>
      <c r="B35" s="80" t="s">
        <v>579</v>
      </c>
      <c r="C35" s="81" t="s">
        <v>580</v>
      </c>
    </row>
    <row r="36" spans="1:3">
      <c r="A36" s="86"/>
      <c r="B36" s="80" t="s">
        <v>581</v>
      </c>
      <c r="C36" s="81" t="s">
        <v>582</v>
      </c>
    </row>
    <row r="37" spans="1:3">
      <c r="A37" s="87"/>
      <c r="B37" s="80" t="s">
        <v>583</v>
      </c>
      <c r="C37" s="81" t="s">
        <v>584</v>
      </c>
    </row>
    <row r="38" spans="1:3">
      <c r="A38" s="88" t="s">
        <v>3</v>
      </c>
      <c r="B38" s="80" t="s">
        <v>585</v>
      </c>
      <c r="C38" s="81" t="s">
        <v>586</v>
      </c>
    </row>
    <row r="39" spans="1:3">
      <c r="A39" s="89"/>
      <c r="B39" s="80" t="s">
        <v>587</v>
      </c>
      <c r="C39" s="81" t="s">
        <v>588</v>
      </c>
    </row>
    <row r="40" spans="1:3">
      <c r="A40" s="89"/>
      <c r="B40" s="80" t="s">
        <v>589</v>
      </c>
      <c r="C40" s="81" t="s">
        <v>590</v>
      </c>
    </row>
    <row r="41" spans="1:3">
      <c r="A41" s="89"/>
      <c r="B41" s="80" t="s">
        <v>591</v>
      </c>
      <c r="C41" s="81" t="s">
        <v>523</v>
      </c>
    </row>
    <row r="42" spans="1:3">
      <c r="A42" s="89"/>
      <c r="B42" s="80" t="s">
        <v>592</v>
      </c>
      <c r="C42" s="81" t="s">
        <v>593</v>
      </c>
    </row>
    <row r="43" spans="1:3">
      <c r="A43" s="89"/>
      <c r="B43" s="80" t="s">
        <v>594</v>
      </c>
      <c r="C43" s="81" t="s">
        <v>595</v>
      </c>
    </row>
    <row r="44" spans="1:3">
      <c r="A44" s="89"/>
      <c r="B44" s="80" t="s">
        <v>596</v>
      </c>
      <c r="C44" s="81" t="s">
        <v>597</v>
      </c>
    </row>
    <row r="45" spans="1:3">
      <c r="A45" s="89"/>
      <c r="B45" s="80" t="s">
        <v>598</v>
      </c>
      <c r="C45" s="81" t="s">
        <v>599</v>
      </c>
    </row>
    <row r="46" spans="1:3">
      <c r="A46" s="89"/>
      <c r="B46" s="80" t="s">
        <v>600</v>
      </c>
      <c r="C46" s="81" t="s">
        <v>601</v>
      </c>
    </row>
    <row r="47" spans="1:3">
      <c r="A47" s="89"/>
      <c r="B47" s="80" t="s">
        <v>602</v>
      </c>
      <c r="C47" s="81" t="s">
        <v>603</v>
      </c>
    </row>
    <row r="48" spans="1:3">
      <c r="A48" s="89"/>
      <c r="B48" s="80" t="s">
        <v>604</v>
      </c>
      <c r="C48" s="81" t="s">
        <v>605</v>
      </c>
    </row>
    <row r="49" spans="1:3">
      <c r="A49" s="89"/>
      <c r="B49" s="80" t="s">
        <v>606</v>
      </c>
      <c r="C49" s="81" t="s">
        <v>607</v>
      </c>
    </row>
    <row r="50" spans="1:3">
      <c r="A50" s="90"/>
      <c r="B50" s="80" t="s">
        <v>608</v>
      </c>
      <c r="C50" s="81" t="s">
        <v>609</v>
      </c>
    </row>
    <row r="51" customFormat="1" spans="1:3">
      <c r="A51" s="79"/>
      <c r="B51" s="80" t="s">
        <v>610</v>
      </c>
      <c r="C51" s="81"/>
    </row>
    <row r="52" customFormat="1" spans="1:3">
      <c r="A52" s="79"/>
      <c r="B52" s="80" t="s">
        <v>610</v>
      </c>
      <c r="C52" s="81"/>
    </row>
    <row r="53" customFormat="1" spans="1:3">
      <c r="A53" s="79"/>
      <c r="B53" s="80" t="s">
        <v>610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2" workbookViewId="0">
      <selection activeCell="D12" sqref="D12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440</v>
      </c>
      <c r="B1" s="68" t="s">
        <v>0</v>
      </c>
      <c r="C1" s="69" t="s">
        <v>611</v>
      </c>
      <c r="D1" s="70" t="s">
        <v>612</v>
      </c>
    </row>
    <row r="2" spans="1:4">
      <c r="A2" s="71">
        <v>1</v>
      </c>
      <c r="B2" s="72" t="s">
        <v>7</v>
      </c>
      <c r="C2" s="73">
        <v>20111216</v>
      </c>
      <c r="D2" s="66" t="s">
        <v>613</v>
      </c>
    </row>
    <row r="3" spans="1:4">
      <c r="A3" s="71">
        <v>2</v>
      </c>
      <c r="B3" s="72" t="s">
        <v>10</v>
      </c>
      <c r="C3" s="74">
        <v>20111227</v>
      </c>
      <c r="D3" s="66" t="s">
        <v>614</v>
      </c>
    </row>
    <row r="4" spans="1:4">
      <c r="A4" s="71">
        <v>3</v>
      </c>
      <c r="B4" s="72" t="s">
        <v>13</v>
      </c>
      <c r="C4" s="74">
        <v>20120518</v>
      </c>
      <c r="D4" s="66" t="s">
        <v>615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19</v>
      </c>
      <c r="C6" s="74">
        <v>20120504</v>
      </c>
      <c r="D6" s="66" t="s">
        <v>459</v>
      </c>
    </row>
    <row r="7" spans="1:4">
      <c r="A7" s="71">
        <v>6</v>
      </c>
      <c r="B7" s="72" t="s">
        <v>21</v>
      </c>
      <c r="C7" s="74">
        <v>20120809</v>
      </c>
      <c r="D7" s="66" t="s">
        <v>616</v>
      </c>
    </row>
    <row r="8" spans="1:4">
      <c r="A8" s="71">
        <v>7</v>
      </c>
      <c r="B8" s="72" t="s">
        <v>25</v>
      </c>
      <c r="C8" s="74">
        <v>20120227</v>
      </c>
      <c r="D8" s="66" t="s">
        <v>617</v>
      </c>
    </row>
    <row r="9" spans="1:4">
      <c r="A9" s="71">
        <v>8</v>
      </c>
      <c r="B9" s="72" t="s">
        <v>27</v>
      </c>
      <c r="C9" s="74">
        <v>20120127</v>
      </c>
      <c r="D9" s="66" t="s">
        <v>618</v>
      </c>
    </row>
    <row r="10" spans="1:4">
      <c r="A10" s="71">
        <v>9</v>
      </c>
      <c r="B10" s="72" t="s">
        <v>28</v>
      </c>
      <c r="C10" s="74">
        <v>20111202</v>
      </c>
      <c r="D10" s="66" t="s">
        <v>619</v>
      </c>
    </row>
    <row r="11" customFormat="1" spans="1:4">
      <c r="A11" s="71">
        <v>10</v>
      </c>
      <c r="B11" s="72" t="s">
        <v>30</v>
      </c>
      <c r="C11" s="74">
        <v>20120623</v>
      </c>
      <c r="D11" s="66"/>
    </row>
    <row r="12" spans="1:4">
      <c r="A12" s="71">
        <v>11</v>
      </c>
      <c r="B12" s="72" t="s">
        <v>31</v>
      </c>
      <c r="C12" s="74">
        <v>20111024</v>
      </c>
      <c r="D12" s="66" t="s">
        <v>620</v>
      </c>
    </row>
    <row r="13" spans="1:4">
      <c r="A13" s="71">
        <v>12</v>
      </c>
      <c r="B13" s="72" t="s">
        <v>33</v>
      </c>
      <c r="C13" s="74">
        <v>20110908</v>
      </c>
      <c r="D13" s="66" t="s">
        <v>621</v>
      </c>
    </row>
    <row r="14" spans="1:4">
      <c r="A14" s="71">
        <v>13</v>
      </c>
      <c r="B14" s="72" t="s">
        <v>36</v>
      </c>
      <c r="C14" s="74">
        <v>20120228</v>
      </c>
      <c r="D14" s="66" t="s">
        <v>622</v>
      </c>
    </row>
    <row r="15" customFormat="1" spans="1:4">
      <c r="A15" s="71">
        <v>14</v>
      </c>
      <c r="B15" s="72" t="s">
        <v>38</v>
      </c>
      <c r="C15" s="74">
        <v>20110904</v>
      </c>
      <c r="D15" s="66"/>
    </row>
    <row r="16" spans="1:4">
      <c r="A16" s="71">
        <v>15</v>
      </c>
      <c r="B16" s="72" t="s">
        <v>39</v>
      </c>
      <c r="C16" s="73">
        <v>20111201</v>
      </c>
      <c r="D16" s="66" t="s">
        <v>623</v>
      </c>
    </row>
    <row r="17" spans="1:4">
      <c r="A17" s="71">
        <v>16</v>
      </c>
      <c r="B17" s="72" t="s">
        <v>43</v>
      </c>
      <c r="C17" s="74">
        <v>20120722</v>
      </c>
      <c r="D17" s="66" t="s">
        <v>624</v>
      </c>
    </row>
    <row r="18" customFormat="1" spans="1:4">
      <c r="A18" s="71">
        <v>17</v>
      </c>
      <c r="B18" s="72" t="s">
        <v>45</v>
      </c>
      <c r="C18" s="74">
        <v>20111215</v>
      </c>
      <c r="D18" s="66"/>
    </row>
    <row r="19" customFormat="1" spans="1:4">
      <c r="A19" s="71">
        <v>18</v>
      </c>
      <c r="B19" s="72" t="s">
        <v>47</v>
      </c>
      <c r="C19" s="74">
        <v>20120509</v>
      </c>
      <c r="D19" s="66"/>
    </row>
    <row r="20" spans="1:4">
      <c r="A20" s="71">
        <v>19</v>
      </c>
      <c r="B20" s="72" t="s">
        <v>50</v>
      </c>
      <c r="C20" s="74">
        <v>20120530</v>
      </c>
      <c r="D20" s="66" t="s">
        <v>625</v>
      </c>
    </row>
    <row r="21" spans="1:4">
      <c r="A21" s="71">
        <v>20</v>
      </c>
      <c r="B21" s="72" t="s">
        <v>53</v>
      </c>
      <c r="C21" s="74">
        <v>20120827</v>
      </c>
      <c r="D21" s="66" t="s">
        <v>626</v>
      </c>
    </row>
    <row r="22" customFormat="1" spans="1:4">
      <c r="A22" s="71">
        <v>21</v>
      </c>
      <c r="B22" s="72" t="s">
        <v>58</v>
      </c>
      <c r="C22" s="74">
        <v>20120816</v>
      </c>
      <c r="D22" s="66"/>
    </row>
    <row r="23" spans="1:4">
      <c r="A23" s="71">
        <v>22</v>
      </c>
      <c r="B23" s="72" t="s">
        <v>59</v>
      </c>
      <c r="C23" s="74">
        <v>20120518</v>
      </c>
      <c r="D23" s="66" t="s">
        <v>627</v>
      </c>
    </row>
    <row r="24" spans="1:4">
      <c r="A24" s="71">
        <v>23</v>
      </c>
      <c r="B24" s="72" t="s">
        <v>63</v>
      </c>
      <c r="C24" s="74">
        <v>20120413</v>
      </c>
      <c r="D24" s="66" t="s">
        <v>628</v>
      </c>
    </row>
    <row r="25" spans="1:4">
      <c r="A25" s="71">
        <v>24</v>
      </c>
      <c r="B25" s="72" t="s">
        <v>68</v>
      </c>
      <c r="C25" s="74">
        <v>20120629</v>
      </c>
      <c r="D25" s="66" t="s">
        <v>629</v>
      </c>
    </row>
    <row r="26" spans="1:4">
      <c r="A26" s="71">
        <v>25</v>
      </c>
      <c r="B26" s="72" t="s">
        <v>69</v>
      </c>
      <c r="C26" s="74">
        <v>20111105</v>
      </c>
      <c r="D26" s="66" t="s">
        <v>630</v>
      </c>
    </row>
    <row r="27" spans="1:4">
      <c r="A27" s="71">
        <v>26</v>
      </c>
      <c r="B27" s="72" t="s">
        <v>70</v>
      </c>
      <c r="C27" s="74">
        <v>20120112</v>
      </c>
      <c r="D27" s="66" t="s">
        <v>631</v>
      </c>
    </row>
    <row r="28" spans="1:4">
      <c r="A28" s="71">
        <v>27</v>
      </c>
      <c r="B28" s="72" t="s">
        <v>73</v>
      </c>
      <c r="C28" s="74">
        <v>20111119</v>
      </c>
      <c r="D28" s="66" t="s">
        <v>632</v>
      </c>
    </row>
    <row r="29" customFormat="1" spans="1:4">
      <c r="A29" s="71">
        <v>28</v>
      </c>
      <c r="B29" s="72" t="s">
        <v>78</v>
      </c>
      <c r="C29" s="74">
        <v>20120110</v>
      </c>
      <c r="D29" s="66" t="s">
        <v>633</v>
      </c>
    </row>
    <row r="30" spans="1:4">
      <c r="A30" s="71">
        <v>29</v>
      </c>
      <c r="B30" s="72" t="s">
        <v>81</v>
      </c>
      <c r="C30" s="74">
        <v>20120331</v>
      </c>
      <c r="D30" s="66" t="s">
        <v>634</v>
      </c>
    </row>
    <row r="31" spans="1:4">
      <c r="A31" s="71">
        <v>30</v>
      </c>
      <c r="B31" s="72" t="s">
        <v>84</v>
      </c>
      <c r="C31" s="74">
        <v>20111109</v>
      </c>
      <c r="D31" s="66" t="s">
        <v>635</v>
      </c>
    </row>
    <row r="32" spans="1:4">
      <c r="A32" s="71">
        <v>31</v>
      </c>
      <c r="B32" s="72" t="s">
        <v>85</v>
      </c>
      <c r="C32" s="74">
        <v>20120824</v>
      </c>
      <c r="D32" s="66" t="s">
        <v>636</v>
      </c>
    </row>
    <row r="33" customFormat="1" spans="1:5">
      <c r="A33" s="71">
        <v>32</v>
      </c>
      <c r="B33" s="72" t="s">
        <v>86</v>
      </c>
      <c r="C33" s="74">
        <v>20120425</v>
      </c>
      <c r="D33" s="66"/>
    </row>
    <row r="34" spans="1:5">
      <c r="A34" s="71">
        <v>33</v>
      </c>
      <c r="B34" s="72" t="s">
        <v>87</v>
      </c>
      <c r="C34" s="74">
        <v>20120624</v>
      </c>
      <c r="D34" s="66" t="s">
        <v>637</v>
      </c>
    </row>
    <row r="35" customFormat="1" spans="1:5">
      <c r="A35" s="71">
        <v>34</v>
      </c>
      <c r="B35" s="72" t="s">
        <v>88</v>
      </c>
      <c r="C35" s="74">
        <v>20120507</v>
      </c>
      <c r="D35" s="66"/>
    </row>
    <row r="36" spans="1:5">
      <c r="A36" s="71">
        <v>35</v>
      </c>
      <c r="B36" s="72" t="s">
        <v>89</v>
      </c>
      <c r="C36" s="74">
        <v>20120603</v>
      </c>
      <c r="D36" s="66" t="s">
        <v>638</v>
      </c>
    </row>
    <row r="37" spans="1:5">
      <c r="A37" s="71">
        <v>36</v>
      </c>
      <c r="B37" s="72" t="s">
        <v>91</v>
      </c>
      <c r="C37" s="73">
        <v>20120326</v>
      </c>
      <c r="D37" s="66" t="s">
        <v>639</v>
      </c>
    </row>
    <row r="38" spans="1:5">
      <c r="A38" s="75">
        <v>37</v>
      </c>
      <c r="B38" s="75" t="s">
        <v>94</v>
      </c>
      <c r="C38" s="76">
        <v>20111106</v>
      </c>
      <c r="D38" s="77" t="s">
        <v>640</v>
      </c>
      <c r="E38" t="s">
        <v>641</v>
      </c>
    </row>
    <row r="39" spans="1:5">
      <c r="A39" s="71">
        <v>38</v>
      </c>
      <c r="B39" s="72" t="s">
        <v>96</v>
      </c>
      <c r="C39" s="74">
        <v>20120811</v>
      </c>
      <c r="D39" s="78" t="s">
        <v>642</v>
      </c>
    </row>
    <row r="40" spans="1:5">
      <c r="A40" s="71">
        <v>39</v>
      </c>
      <c r="B40" s="72" t="s">
        <v>100</v>
      </c>
      <c r="C40" s="74">
        <v>20111217</v>
      </c>
      <c r="D40" s="78" t="s">
        <v>643</v>
      </c>
    </row>
    <row r="41" spans="1:5">
      <c r="A41" s="71">
        <v>40</v>
      </c>
      <c r="B41" s="72" t="s">
        <v>106</v>
      </c>
      <c r="C41" s="74">
        <v>20111013</v>
      </c>
      <c r="D41" s="66" t="s">
        <v>644</v>
      </c>
      <c r="E41" t="s">
        <v>641</v>
      </c>
    </row>
    <row r="42" customFormat="1" spans="1:5">
      <c r="A42" s="71">
        <v>41</v>
      </c>
      <c r="B42" s="72" t="s">
        <v>113</v>
      </c>
      <c r="C42" s="74">
        <v>20111027</v>
      </c>
      <c r="D42" s="66"/>
    </row>
    <row r="43" spans="1:5">
      <c r="A43" s="71">
        <v>42</v>
      </c>
      <c r="B43" s="72" t="s">
        <v>114</v>
      </c>
      <c r="C43" s="74">
        <v>20120207</v>
      </c>
      <c r="D43" s="66" t="s">
        <v>645</v>
      </c>
    </row>
    <row r="44" customFormat="1" spans="1:5">
      <c r="A44" s="71">
        <v>43</v>
      </c>
      <c r="B44" s="72" t="s">
        <v>117</v>
      </c>
      <c r="C44" s="73">
        <v>20120508</v>
      </c>
      <c r="D44" s="66"/>
    </row>
    <row r="45" spans="1:5">
      <c r="A45" s="71">
        <v>44</v>
      </c>
      <c r="B45" s="72" t="s">
        <v>119</v>
      </c>
      <c r="C45" s="74">
        <v>20110929</v>
      </c>
      <c r="D45" s="66" t="s">
        <v>646</v>
      </c>
    </row>
    <row r="46" customFormat="1" spans="1:5">
      <c r="A46" s="71">
        <v>45</v>
      </c>
      <c r="B46" s="72" t="s">
        <v>123</v>
      </c>
      <c r="C46" s="74">
        <v>20111205</v>
      </c>
      <c r="D46" s="66"/>
    </row>
    <row r="47" spans="1:5">
      <c r="A47" s="71">
        <v>46</v>
      </c>
      <c r="B47" s="72" t="s">
        <v>124</v>
      </c>
      <c r="C47" s="74">
        <v>20120108</v>
      </c>
      <c r="D47" s="66" t="s">
        <v>647</v>
      </c>
      <c r="E47" t="s">
        <v>641</v>
      </c>
    </row>
    <row r="48" spans="1:5">
      <c r="A48" s="71">
        <v>47</v>
      </c>
      <c r="B48" s="72" t="s">
        <v>126</v>
      </c>
      <c r="C48" s="74">
        <v>20120311</v>
      </c>
      <c r="D48" s="66" t="s">
        <v>648</v>
      </c>
    </row>
    <row r="49" customFormat="1" spans="1:4">
      <c r="A49" s="71">
        <v>48</v>
      </c>
      <c r="B49" s="72" t="s">
        <v>130</v>
      </c>
      <c r="C49" s="74">
        <v>20110902</v>
      </c>
      <c r="D49" s="66"/>
    </row>
    <row r="50" spans="1:4">
      <c r="A50" s="71">
        <v>49</v>
      </c>
      <c r="B50" s="72" t="s">
        <v>132</v>
      </c>
      <c r="C50" s="74">
        <v>20120723</v>
      </c>
      <c r="D50" s="66" t="s">
        <v>649</v>
      </c>
    </row>
    <row r="51" customFormat="1" spans="1:4">
      <c r="A51" s="71">
        <v>50</v>
      </c>
      <c r="B51" s="72" t="s">
        <v>134</v>
      </c>
      <c r="C51" s="74">
        <v>20120101</v>
      </c>
      <c r="D51" s="66"/>
    </row>
    <row r="52" spans="1:4">
      <c r="A52" s="71">
        <v>51</v>
      </c>
      <c r="B52" s="72" t="s">
        <v>135</v>
      </c>
      <c r="C52" s="74">
        <v>20111220</v>
      </c>
      <c r="D52" s="66" t="s">
        <v>650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651</v>
      </c>
      <c r="B1" s="35" t="s">
        <v>652</v>
      </c>
      <c r="C1" s="36" t="s">
        <v>653</v>
      </c>
      <c r="D1" s="37"/>
      <c r="E1" s="38" t="s">
        <v>654</v>
      </c>
    </row>
    <row r="2" s="28" customFormat="1" ht="409" customHeight="1" spans="1:5">
      <c r="A2" s="39" t="s">
        <v>464</v>
      </c>
      <c r="B2" s="40" t="s">
        <v>287</v>
      </c>
      <c r="C2" s="41" t="s">
        <v>655</v>
      </c>
      <c r="D2" s="32" t="s">
        <v>656</v>
      </c>
      <c r="E2" s="33" t="s">
        <v>657</v>
      </c>
    </row>
    <row r="3" s="28" customFormat="1" ht="56" spans="1:5">
      <c r="A3" s="42"/>
      <c r="B3" s="43"/>
      <c r="C3" s="44"/>
      <c r="D3" s="32" t="s">
        <v>658</v>
      </c>
      <c r="E3" s="33" t="s">
        <v>659</v>
      </c>
    </row>
    <row r="4" s="28" customFormat="1" spans="1:5">
      <c r="A4" s="42"/>
      <c r="B4" s="43"/>
      <c r="C4" s="44"/>
      <c r="D4" s="32" t="s">
        <v>660</v>
      </c>
      <c r="E4" s="33" t="s">
        <v>661</v>
      </c>
    </row>
    <row r="5" s="28" customFormat="1" ht="56" spans="1:5">
      <c r="A5" s="42"/>
      <c r="B5" s="43"/>
      <c r="C5" s="44"/>
      <c r="D5" s="32" t="s">
        <v>662</v>
      </c>
      <c r="E5" s="33" t="s">
        <v>663</v>
      </c>
    </row>
    <row r="6" s="28" customFormat="1" ht="238" spans="1:5">
      <c r="A6" s="42"/>
      <c r="B6" s="43"/>
      <c r="C6" s="44"/>
      <c r="D6" s="32" t="s">
        <v>664</v>
      </c>
      <c r="E6" s="33" t="s">
        <v>665</v>
      </c>
    </row>
    <row r="7" s="28" customFormat="1" ht="238" spans="1:5">
      <c r="A7" s="42"/>
      <c r="B7" s="43"/>
      <c r="C7" s="41" t="s">
        <v>666</v>
      </c>
      <c r="D7" s="32" t="s">
        <v>667</v>
      </c>
      <c r="E7" s="33" t="s">
        <v>668</v>
      </c>
    </row>
    <row r="8" s="28" customFormat="1" ht="56" spans="1:5">
      <c r="A8" s="42"/>
      <c r="B8" s="43"/>
      <c r="C8" s="44"/>
      <c r="D8" s="32" t="s">
        <v>669</v>
      </c>
      <c r="E8" s="33" t="s">
        <v>670</v>
      </c>
    </row>
    <row r="9" s="28" customFormat="1" ht="84" spans="1:5">
      <c r="A9" s="42"/>
      <c r="B9" s="43"/>
      <c r="C9" s="44"/>
      <c r="D9" s="32" t="s">
        <v>671</v>
      </c>
      <c r="E9" s="33" t="s">
        <v>672</v>
      </c>
    </row>
    <row r="10" s="28" customFormat="1" ht="28" spans="1:5">
      <c r="A10" s="42"/>
      <c r="B10" s="43"/>
      <c r="C10" s="44"/>
      <c r="D10" s="32" t="s">
        <v>673</v>
      </c>
      <c r="E10" s="33" t="s">
        <v>674</v>
      </c>
    </row>
    <row r="11" s="28" customFormat="1" spans="1:5">
      <c r="A11" s="42"/>
      <c r="B11" s="43"/>
      <c r="C11" s="45"/>
      <c r="D11" s="32" t="s">
        <v>675</v>
      </c>
      <c r="E11" s="33" t="s">
        <v>676</v>
      </c>
    </row>
    <row r="12" s="28" customFormat="1" ht="154" spans="1:5">
      <c r="A12" s="42"/>
      <c r="B12" s="43"/>
      <c r="C12" s="31"/>
      <c r="D12" s="32" t="s">
        <v>677</v>
      </c>
      <c r="E12" s="33" t="s">
        <v>678</v>
      </c>
    </row>
    <row r="13" s="28" customFormat="1" ht="56" spans="1:5">
      <c r="A13" s="42"/>
      <c r="B13" s="43"/>
      <c r="C13" s="46" t="s">
        <v>679</v>
      </c>
      <c r="D13" s="37"/>
      <c r="E13" s="33" t="s">
        <v>680</v>
      </c>
    </row>
    <row r="14" s="28" customFormat="1" ht="84" spans="1:5">
      <c r="A14" s="42"/>
      <c r="B14" s="43"/>
      <c r="C14" s="46" t="s">
        <v>681</v>
      </c>
      <c r="D14" s="37"/>
      <c r="E14" s="33" t="s">
        <v>682</v>
      </c>
    </row>
    <row r="15" s="28" customFormat="1" ht="28" spans="1:5">
      <c r="A15" s="42"/>
      <c r="B15" s="43"/>
      <c r="C15" s="46" t="s">
        <v>683</v>
      </c>
      <c r="D15" s="37"/>
      <c r="E15" s="33" t="s">
        <v>684</v>
      </c>
    </row>
    <row r="16" s="28" customFormat="1" spans="1:5">
      <c r="A16" s="42"/>
      <c r="B16" s="43"/>
      <c r="C16" s="46" t="s">
        <v>685</v>
      </c>
      <c r="D16" s="37"/>
      <c r="E16" s="33"/>
    </row>
    <row r="17" s="28" customFormat="1" spans="1:5">
      <c r="A17" s="42"/>
      <c r="B17" s="43"/>
      <c r="C17" s="46" t="s">
        <v>686</v>
      </c>
      <c r="D17" s="37"/>
      <c r="E17" s="33" t="s">
        <v>687</v>
      </c>
    </row>
    <row r="18" s="28" customFormat="1" spans="1:5">
      <c r="A18" s="42"/>
      <c r="B18" s="43"/>
      <c r="C18" s="41" t="s">
        <v>688</v>
      </c>
      <c r="D18" s="32" t="s">
        <v>689</v>
      </c>
      <c r="E18" s="33" t="s">
        <v>690</v>
      </c>
    </row>
    <row r="19" s="28" customFormat="1" spans="1:5">
      <c r="A19" s="42"/>
      <c r="B19" s="43"/>
      <c r="C19" s="45"/>
      <c r="D19" s="32" t="s">
        <v>691</v>
      </c>
      <c r="E19" s="33" t="s">
        <v>692</v>
      </c>
    </row>
    <row r="20" s="28" customFormat="1" spans="1:5">
      <c r="A20" s="42"/>
      <c r="B20" s="43"/>
      <c r="C20" s="46" t="s">
        <v>693</v>
      </c>
      <c r="D20" s="37"/>
      <c r="E20" s="33"/>
    </row>
    <row r="21" s="28" customFormat="1" spans="1:5">
      <c r="A21" s="42"/>
      <c r="B21" s="43"/>
      <c r="C21" s="46" t="s">
        <v>694</v>
      </c>
      <c r="D21" s="37"/>
      <c r="E21" s="33" t="s">
        <v>695</v>
      </c>
    </row>
    <row r="22" s="28" customFormat="1" ht="28" spans="1:5">
      <c r="A22" s="42"/>
      <c r="B22" s="43"/>
      <c r="C22" s="46" t="s">
        <v>696</v>
      </c>
      <c r="D22" s="47"/>
      <c r="E22" s="33" t="s">
        <v>697</v>
      </c>
    </row>
    <row r="23" s="28" customFormat="1" spans="1:5">
      <c r="A23" s="42"/>
      <c r="B23" s="43"/>
      <c r="C23" s="31" t="s">
        <v>377</v>
      </c>
      <c r="D23" s="31"/>
      <c r="E23" s="33" t="s">
        <v>698</v>
      </c>
    </row>
    <row r="24" s="28" customFormat="1" spans="1:5">
      <c r="A24" s="42"/>
      <c r="B24" s="43"/>
      <c r="C24" s="31" t="s">
        <v>699</v>
      </c>
      <c r="D24" s="31"/>
      <c r="E24" s="33" t="s">
        <v>700</v>
      </c>
    </row>
    <row r="25" s="28" customFormat="1" ht="28" spans="1:5">
      <c r="A25" s="39" t="s">
        <v>462</v>
      </c>
      <c r="B25" s="40" t="s">
        <v>463</v>
      </c>
      <c r="C25" s="44" t="s">
        <v>655</v>
      </c>
      <c r="D25" s="48" t="s">
        <v>701</v>
      </c>
      <c r="E25" s="33" t="s">
        <v>702</v>
      </c>
    </row>
    <row r="26" s="28" customFormat="1" spans="1:5">
      <c r="A26" s="42"/>
      <c r="B26" s="43"/>
      <c r="C26" s="44"/>
      <c r="D26" s="32" t="s">
        <v>703</v>
      </c>
      <c r="E26" s="33" t="s">
        <v>704</v>
      </c>
    </row>
    <row r="27" s="28" customFormat="1" ht="28" spans="1:5">
      <c r="A27" s="42"/>
      <c r="B27" s="43"/>
      <c r="C27" s="44"/>
      <c r="D27" s="32" t="s">
        <v>705</v>
      </c>
      <c r="E27" s="33" t="s">
        <v>706</v>
      </c>
    </row>
    <row r="28" s="28" customFormat="1" ht="42" spans="1:5">
      <c r="A28" s="42"/>
      <c r="B28" s="43"/>
      <c r="C28" s="44"/>
      <c r="D28" s="32" t="s">
        <v>707</v>
      </c>
      <c r="E28" s="33" t="s">
        <v>708</v>
      </c>
    </row>
    <row r="29" s="28" customFormat="1" ht="42" spans="1:5">
      <c r="A29" s="39" t="s">
        <v>458</v>
      </c>
      <c r="B29" s="40" t="s">
        <v>459</v>
      </c>
      <c r="C29" s="41" t="s">
        <v>655</v>
      </c>
      <c r="D29" s="32" t="s">
        <v>656</v>
      </c>
      <c r="E29" s="33" t="s">
        <v>709</v>
      </c>
    </row>
    <row r="30" s="28" customFormat="1" ht="70" spans="1:5">
      <c r="A30" s="42"/>
      <c r="B30" s="43"/>
      <c r="C30" s="44"/>
      <c r="D30" s="32" t="s">
        <v>710</v>
      </c>
      <c r="E30" s="33" t="s">
        <v>711</v>
      </c>
    </row>
    <row r="31" s="28" customFormat="1" spans="1:5">
      <c r="A31" s="42"/>
      <c r="B31" s="43"/>
      <c r="C31" s="44"/>
      <c r="D31" s="32" t="s">
        <v>701</v>
      </c>
      <c r="E31" s="33" t="s">
        <v>712</v>
      </c>
    </row>
    <row r="32" s="28" customFormat="1" ht="28" spans="1:5">
      <c r="A32" s="42"/>
      <c r="B32" s="43"/>
      <c r="C32" s="45"/>
      <c r="D32" s="32" t="s">
        <v>713</v>
      </c>
      <c r="E32" s="33" t="s">
        <v>714</v>
      </c>
    </row>
    <row r="33" s="28" customFormat="1" ht="42" spans="1:5">
      <c r="A33" s="42"/>
      <c r="B33" s="49"/>
      <c r="C33" s="46" t="s">
        <v>666</v>
      </c>
      <c r="D33" s="47"/>
      <c r="E33" s="33" t="s">
        <v>715</v>
      </c>
    </row>
    <row r="34" s="28" customFormat="1" ht="42" spans="1:5">
      <c r="A34" s="42"/>
      <c r="B34" s="50" t="s">
        <v>716</v>
      </c>
      <c r="C34" s="36" t="s">
        <v>666</v>
      </c>
      <c r="D34" s="51"/>
      <c r="E34" s="52" t="s">
        <v>717</v>
      </c>
    </row>
    <row r="35" s="28" customFormat="1" ht="42" spans="1:5">
      <c r="A35" s="53"/>
      <c r="B35" s="54"/>
      <c r="C35" s="36" t="s">
        <v>655</v>
      </c>
      <c r="D35" s="51"/>
      <c r="E35" s="52" t="s">
        <v>718</v>
      </c>
    </row>
    <row r="36" s="28" customFormat="1" spans="1:5">
      <c r="A36" s="39" t="s">
        <v>465</v>
      </c>
      <c r="B36" s="55" t="s">
        <v>719</v>
      </c>
      <c r="C36" s="56"/>
      <c r="D36" s="57"/>
      <c r="E36" s="52" t="s">
        <v>156</v>
      </c>
    </row>
    <row r="37" s="28" customFormat="1" spans="1:5">
      <c r="A37" s="53"/>
      <c r="B37" s="58" t="s">
        <v>720</v>
      </c>
      <c r="C37" s="59"/>
      <c r="D37" s="60"/>
      <c r="E37" s="33" t="s">
        <v>721</v>
      </c>
    </row>
    <row r="38" s="28" customFormat="1" spans="1:5">
      <c r="A38" s="29" t="s">
        <v>467</v>
      </c>
      <c r="B38" s="58" t="s">
        <v>722</v>
      </c>
      <c r="C38" s="59"/>
      <c r="D38" s="60"/>
      <c r="E38" s="33" t="s">
        <v>723</v>
      </c>
    </row>
    <row r="39" s="28" customFormat="1" spans="1:5">
      <c r="A39" s="39" t="s">
        <v>469</v>
      </c>
      <c r="B39" s="40" t="s">
        <v>724</v>
      </c>
      <c r="C39" s="41" t="s">
        <v>655</v>
      </c>
      <c r="D39" s="32" t="s">
        <v>725</v>
      </c>
      <c r="E39" s="33" t="s">
        <v>726</v>
      </c>
    </row>
    <row r="40" s="28" customFormat="1" spans="1:5">
      <c r="A40" s="42"/>
      <c r="B40" s="43"/>
      <c r="C40" s="45"/>
      <c r="D40" s="32" t="s">
        <v>727</v>
      </c>
      <c r="E40" s="33" t="s">
        <v>728</v>
      </c>
    </row>
    <row r="41" s="28" customFormat="1" spans="1:5">
      <c r="A41" s="42"/>
      <c r="B41" s="43"/>
      <c r="C41" s="46" t="s">
        <v>729</v>
      </c>
      <c r="D41" s="47"/>
      <c r="E41" s="33" t="s">
        <v>730</v>
      </c>
    </row>
    <row r="42" s="28" customFormat="1" spans="1:5">
      <c r="A42" s="53"/>
      <c r="B42" s="49"/>
      <c r="C42" s="46" t="s">
        <v>666</v>
      </c>
      <c r="D42" s="47"/>
      <c r="E42" s="33" t="s">
        <v>731</v>
      </c>
    </row>
    <row r="43" s="28" customFormat="1" spans="1:5">
      <c r="A43" s="39" t="s">
        <v>472</v>
      </c>
      <c r="B43" s="50" t="s">
        <v>722</v>
      </c>
      <c r="C43" s="61" t="s">
        <v>732</v>
      </c>
      <c r="D43" s="62"/>
      <c r="E43" s="52" t="s">
        <v>733</v>
      </c>
    </row>
    <row r="44" s="28" customFormat="1" ht="28" spans="1:5">
      <c r="A44" s="42"/>
      <c r="B44" s="54"/>
      <c r="C44" s="61" t="s">
        <v>707</v>
      </c>
      <c r="D44" s="62"/>
      <c r="E44" s="52" t="s">
        <v>734</v>
      </c>
    </row>
    <row r="45" s="28" customFormat="1" spans="1:5">
      <c r="A45" s="53"/>
      <c r="B45" s="58" t="s">
        <v>735</v>
      </c>
      <c r="C45" s="59"/>
      <c r="D45" s="60"/>
      <c r="E45" s="33" t="s">
        <v>176</v>
      </c>
    </row>
    <row r="46" s="28" customFormat="1" spans="1:5">
      <c r="A46" s="39" t="s">
        <v>484</v>
      </c>
      <c r="B46" s="40" t="s">
        <v>736</v>
      </c>
      <c r="C46" s="41" t="s">
        <v>655</v>
      </c>
      <c r="D46" s="32" t="s">
        <v>737</v>
      </c>
      <c r="E46" s="33"/>
    </row>
    <row r="47" s="28" customFormat="1" spans="1:5">
      <c r="A47" s="42"/>
      <c r="B47" s="43"/>
      <c r="C47" s="44"/>
      <c r="D47" s="32" t="s">
        <v>738</v>
      </c>
      <c r="E47" s="33"/>
    </row>
    <row r="48" s="28" customFormat="1" spans="1:5">
      <c r="A48" s="53"/>
      <c r="B48" s="49"/>
      <c r="C48" s="45"/>
      <c r="D48" s="32" t="s">
        <v>707</v>
      </c>
      <c r="E48" s="33" t="s">
        <v>739</v>
      </c>
    </row>
    <row r="49" s="28" customFormat="1" spans="1:5">
      <c r="A49" s="29" t="s">
        <v>479</v>
      </c>
      <c r="B49" s="58" t="s">
        <v>480</v>
      </c>
      <c r="C49" s="59"/>
      <c r="D49" s="60"/>
      <c r="E49" s="33" t="s">
        <v>740</v>
      </c>
    </row>
    <row r="50" s="28" customFormat="1" spans="1:5">
      <c r="A50" s="39" t="s">
        <v>481</v>
      </c>
      <c r="B50" s="58" t="s">
        <v>722</v>
      </c>
      <c r="C50" s="59"/>
      <c r="D50" s="60"/>
      <c r="E50" s="33" t="s">
        <v>741</v>
      </c>
    </row>
    <row r="51" s="28" customFormat="1" spans="1:5">
      <c r="A51" s="53"/>
      <c r="B51" s="58" t="s">
        <v>722</v>
      </c>
      <c r="C51" s="59"/>
      <c r="D51" s="60"/>
      <c r="E51" s="33" t="s">
        <v>189</v>
      </c>
    </row>
    <row r="52" s="28" customFormat="1" spans="1:5">
      <c r="A52" s="29" t="s">
        <v>483</v>
      </c>
      <c r="B52" s="58" t="s">
        <v>722</v>
      </c>
      <c r="C52" s="59"/>
      <c r="D52" s="60"/>
      <c r="E52" s="33"/>
    </row>
    <row r="53" s="28" customFormat="1" spans="1:5">
      <c r="A53" s="39" t="s">
        <v>742</v>
      </c>
      <c r="B53" s="58" t="s">
        <v>722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743</v>
      </c>
    </row>
    <row r="55" s="28" customFormat="1" spans="1:5">
      <c r="A55" s="29" t="s">
        <v>475</v>
      </c>
      <c r="B55" s="30"/>
      <c r="C55" s="31"/>
      <c r="D55" s="32"/>
      <c r="E55" s="33" t="s">
        <v>744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745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746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747</v>
      </c>
      <c r="D5" s="10"/>
      <c r="E5" s="11"/>
      <c r="F5" s="12"/>
      <c r="G5" s="13"/>
    </row>
    <row r="6" s="6" customFormat="1" spans="1:7">
      <c r="A6" s="14" t="s">
        <v>19</v>
      </c>
      <c r="B6" s="8"/>
      <c r="C6" s="22" t="s">
        <v>748</v>
      </c>
      <c r="D6" s="10"/>
      <c r="E6" s="11"/>
      <c r="F6" s="12"/>
      <c r="G6" s="13"/>
    </row>
    <row r="7" s="6" customFormat="1" ht="42" spans="1:7">
      <c r="A7" s="14" t="s">
        <v>21</v>
      </c>
      <c r="B7" s="8"/>
      <c r="C7" s="9" t="s">
        <v>749</v>
      </c>
      <c r="D7" s="10"/>
      <c r="E7" s="11"/>
      <c r="F7" s="12"/>
      <c r="G7" s="13"/>
    </row>
    <row r="8" s="6" customFormat="1" spans="1:7">
      <c r="A8" s="14" t="s">
        <v>25</v>
      </c>
      <c r="B8" s="8"/>
      <c r="C8" s="9"/>
      <c r="D8" s="10"/>
      <c r="E8" s="11"/>
      <c r="F8" s="12"/>
      <c r="G8" s="13"/>
    </row>
    <row r="9" s="6" customFormat="1" spans="1:7">
      <c r="A9" s="14" t="s">
        <v>27</v>
      </c>
      <c r="B9" s="8"/>
      <c r="C9" s="9"/>
      <c r="D9" s="10"/>
      <c r="E9" s="11"/>
      <c r="F9" s="12"/>
      <c r="G9" s="13"/>
    </row>
    <row r="10" s="6" customFormat="1" ht="28" spans="1:7">
      <c r="A10" s="14" t="s">
        <v>28</v>
      </c>
      <c r="B10" s="23" t="s">
        <v>750</v>
      </c>
      <c r="C10" s="9"/>
      <c r="D10" s="10"/>
      <c r="E10" s="11"/>
      <c r="F10" s="12"/>
      <c r="G10" s="13"/>
    </row>
    <row r="11" s="6" customFormat="1" spans="1:7">
      <c r="A11" s="14" t="s">
        <v>30</v>
      </c>
      <c r="B11" s="8"/>
      <c r="C11" s="9"/>
      <c r="D11" s="10"/>
      <c r="E11" s="11"/>
      <c r="F11" s="12"/>
      <c r="G11" s="13"/>
    </row>
    <row r="12" s="6" customFormat="1" spans="1:7">
      <c r="A12" s="14" t="s">
        <v>31</v>
      </c>
      <c r="B12" s="8"/>
      <c r="C12" s="9"/>
      <c r="D12" s="10"/>
      <c r="E12" s="11"/>
      <c r="F12" s="12"/>
      <c r="G12" s="13"/>
    </row>
    <row r="13" s="6" customFormat="1" spans="1:7">
      <c r="A13" s="14" t="s">
        <v>33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36</v>
      </c>
      <c r="B14" s="23" t="s">
        <v>751</v>
      </c>
      <c r="C14" s="9"/>
      <c r="D14" s="10"/>
      <c r="E14" s="11"/>
      <c r="F14" s="12"/>
      <c r="G14" s="13"/>
    </row>
    <row r="15" s="6" customFormat="1" spans="1:7">
      <c r="A15" s="14" t="s">
        <v>38</v>
      </c>
      <c r="B15" s="8"/>
      <c r="C15" s="9"/>
      <c r="D15" s="10"/>
      <c r="E15" s="11"/>
      <c r="F15" s="12"/>
      <c r="G15" s="13"/>
    </row>
    <row r="16" s="6" customFormat="1" spans="1:7">
      <c r="A16" s="14" t="s">
        <v>39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43</v>
      </c>
      <c r="B17" s="8"/>
      <c r="C17" s="22" t="s">
        <v>752</v>
      </c>
      <c r="D17" s="10"/>
      <c r="E17" s="11"/>
      <c r="F17" s="12"/>
      <c r="G17" s="13"/>
    </row>
    <row r="18" s="6" customFormat="1" spans="1:7">
      <c r="A18" s="14" t="s">
        <v>45</v>
      </c>
      <c r="B18" s="8"/>
      <c r="C18" s="9"/>
      <c r="D18" s="10"/>
      <c r="E18" s="11"/>
      <c r="F18" s="12"/>
      <c r="G18" s="13"/>
    </row>
    <row r="19" s="6" customFormat="1" spans="1:7">
      <c r="A19" s="14" t="s">
        <v>47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50</v>
      </c>
      <c r="B20" s="23" t="s">
        <v>753</v>
      </c>
      <c r="C20" s="9" t="s">
        <v>754</v>
      </c>
      <c r="D20" s="10"/>
      <c r="E20" s="11"/>
      <c r="F20" s="12"/>
      <c r="G20" s="13"/>
    </row>
    <row r="21" s="6" customFormat="1" ht="280" spans="1:7">
      <c r="A21" s="14" t="s">
        <v>53</v>
      </c>
      <c r="B21" s="8" t="s">
        <v>755</v>
      </c>
      <c r="C21" s="9" t="s">
        <v>756</v>
      </c>
      <c r="D21" s="10"/>
      <c r="E21" s="11"/>
      <c r="F21" s="12"/>
      <c r="G21" s="13"/>
    </row>
    <row r="22" s="6" customFormat="1" spans="1:7">
      <c r="A22" s="14" t="s">
        <v>58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59</v>
      </c>
      <c r="B23" s="23" t="s">
        <v>757</v>
      </c>
      <c r="C23" s="9"/>
      <c r="D23" s="10"/>
      <c r="E23" s="11"/>
      <c r="F23" s="12"/>
      <c r="G23" s="13"/>
    </row>
    <row r="24" s="6" customFormat="1" ht="70" spans="1:7">
      <c r="A24" s="14" t="s">
        <v>63</v>
      </c>
      <c r="B24" s="23" t="s">
        <v>758</v>
      </c>
      <c r="C24" s="22" t="s">
        <v>759</v>
      </c>
      <c r="D24" s="10"/>
      <c r="E24" s="11"/>
      <c r="F24" s="12"/>
      <c r="G24" s="13"/>
    </row>
    <row r="25" s="6" customFormat="1" spans="1:7">
      <c r="A25" s="14" t="s">
        <v>68</v>
      </c>
      <c r="B25" s="8"/>
      <c r="C25" s="9"/>
      <c r="D25" s="10"/>
      <c r="E25" s="11"/>
      <c r="F25" s="12"/>
      <c r="G25" s="13"/>
    </row>
    <row r="26" s="6" customFormat="1" spans="1:7">
      <c r="A26" s="14" t="s">
        <v>69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70</v>
      </c>
      <c r="B27" s="8" t="s">
        <v>760</v>
      </c>
      <c r="C27" s="22" t="s">
        <v>761</v>
      </c>
      <c r="D27" s="10"/>
      <c r="E27" s="11"/>
      <c r="F27" s="12"/>
      <c r="G27" s="13"/>
    </row>
    <row r="28" s="6" customFormat="1" ht="409" customHeight="1" spans="1:7">
      <c r="A28" s="14" t="s">
        <v>73</v>
      </c>
      <c r="B28" s="8" t="s">
        <v>762</v>
      </c>
      <c r="C28" s="22" t="s">
        <v>763</v>
      </c>
      <c r="D28" s="10"/>
      <c r="E28" s="11"/>
      <c r="F28" s="12"/>
      <c r="G28" s="13"/>
    </row>
    <row r="29" s="6" customFormat="1" spans="1:7">
      <c r="A29" s="14" t="s">
        <v>78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81</v>
      </c>
      <c r="B30" s="8"/>
      <c r="C30" s="22" t="s">
        <v>764</v>
      </c>
      <c r="D30" s="10"/>
      <c r="E30" s="11"/>
      <c r="F30" s="12"/>
      <c r="G30" s="13"/>
    </row>
    <row r="31" s="6" customFormat="1" spans="1:7">
      <c r="A31" s="14" t="s">
        <v>84</v>
      </c>
      <c r="B31" s="8"/>
      <c r="C31" s="9"/>
      <c r="D31" s="10"/>
      <c r="E31" s="11"/>
      <c r="F31" s="12"/>
      <c r="G31" s="13"/>
    </row>
    <row r="32" s="6" customFormat="1" spans="1:7">
      <c r="A32" s="14" t="s">
        <v>85</v>
      </c>
      <c r="B32" s="8"/>
      <c r="C32" s="9"/>
      <c r="D32" s="10"/>
      <c r="E32" s="11"/>
      <c r="F32" s="12"/>
      <c r="G32" s="13"/>
    </row>
    <row r="33" s="6" customFormat="1" spans="1:7">
      <c r="A33" s="14" t="s">
        <v>86</v>
      </c>
      <c r="B33" s="8"/>
      <c r="C33" s="9"/>
      <c r="D33" s="10"/>
      <c r="E33" s="11"/>
      <c r="F33" s="12"/>
      <c r="G33" s="13"/>
    </row>
    <row r="34" s="6" customFormat="1" spans="1:7">
      <c r="A34" s="14" t="s">
        <v>87</v>
      </c>
      <c r="B34" s="8"/>
      <c r="C34" s="9"/>
      <c r="D34" s="10"/>
      <c r="E34" s="11"/>
      <c r="F34" s="12"/>
      <c r="G34" s="13"/>
    </row>
    <row r="35" s="6" customFormat="1" spans="1:7">
      <c r="A35" s="14" t="s">
        <v>88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89</v>
      </c>
      <c r="B36" s="23" t="s">
        <v>765</v>
      </c>
      <c r="C36" s="9"/>
      <c r="D36" s="10"/>
      <c r="E36" s="11"/>
      <c r="F36" s="12"/>
      <c r="G36" s="13"/>
    </row>
    <row r="37" s="6" customFormat="1" ht="126" spans="1:7">
      <c r="A37" s="14" t="s">
        <v>91</v>
      </c>
      <c r="B37" s="8"/>
      <c r="C37" s="22" t="s">
        <v>766</v>
      </c>
      <c r="D37" s="10"/>
      <c r="E37" s="11"/>
      <c r="F37" s="12"/>
      <c r="G37" s="13"/>
    </row>
    <row r="38" s="6" customFormat="1" ht="28" spans="1:7">
      <c r="A38" s="14" t="s">
        <v>94</v>
      </c>
      <c r="B38" s="24" t="s">
        <v>767</v>
      </c>
      <c r="C38" s="25"/>
      <c r="D38" s="26"/>
      <c r="E38" s="26"/>
      <c r="F38" s="26"/>
      <c r="G38" s="26"/>
    </row>
    <row r="39" s="6" customFormat="1" ht="42" spans="1:7">
      <c r="A39" s="14" t="s">
        <v>96</v>
      </c>
      <c r="B39" s="8"/>
      <c r="C39" s="22" t="s">
        <v>768</v>
      </c>
      <c r="D39" s="10"/>
      <c r="E39" s="11"/>
      <c r="F39" s="12"/>
      <c r="G39" s="13"/>
    </row>
    <row r="40" s="6" customFormat="1" spans="1:7">
      <c r="A40" s="14" t="s">
        <v>100</v>
      </c>
      <c r="B40" s="23" t="s">
        <v>769</v>
      </c>
      <c r="C40" s="22" t="s">
        <v>770</v>
      </c>
      <c r="D40" s="10"/>
      <c r="E40" s="11"/>
      <c r="F40" s="12"/>
      <c r="G40" s="13"/>
    </row>
    <row r="41" s="6" customFormat="1" ht="126" spans="1:7">
      <c r="A41" s="14" t="s">
        <v>106</v>
      </c>
      <c r="B41" s="8"/>
      <c r="C41" s="22" t="s">
        <v>771</v>
      </c>
      <c r="D41" s="10"/>
      <c r="E41" s="11"/>
      <c r="F41" s="12"/>
      <c r="G41" s="13"/>
    </row>
    <row r="42" s="6" customFormat="1" spans="1:7">
      <c r="A42" s="14" t="s">
        <v>113</v>
      </c>
      <c r="B42" s="8"/>
      <c r="C42" s="9"/>
      <c r="D42" s="10"/>
      <c r="E42" s="11"/>
      <c r="F42" s="12"/>
      <c r="G42" s="13"/>
    </row>
    <row r="43" s="6" customFormat="1" spans="1:7">
      <c r="A43" s="14" t="s">
        <v>114</v>
      </c>
      <c r="B43" s="23" t="s">
        <v>772</v>
      </c>
      <c r="C43" s="9"/>
      <c r="D43" s="10"/>
      <c r="E43" s="11"/>
      <c r="F43" s="12"/>
      <c r="G43" s="13"/>
    </row>
    <row r="44" s="6" customFormat="1" spans="1:7">
      <c r="A44" s="14" t="s">
        <v>117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119</v>
      </c>
      <c r="B45" s="8" t="s">
        <v>773</v>
      </c>
      <c r="C45" s="9"/>
      <c r="D45" s="10"/>
      <c r="E45" s="11"/>
      <c r="F45" s="12"/>
      <c r="G45" s="13"/>
    </row>
    <row r="46" s="6" customFormat="1" spans="1:7">
      <c r="A46" s="14" t="s">
        <v>123</v>
      </c>
      <c r="B46" s="8"/>
      <c r="C46" s="9"/>
      <c r="D46" s="10"/>
      <c r="E46" s="11"/>
      <c r="F46" s="12"/>
      <c r="G46" s="13"/>
    </row>
    <row r="47" s="6" customFormat="1" spans="1:7">
      <c r="A47" s="14" t="s">
        <v>124</v>
      </c>
      <c r="B47" s="8"/>
      <c r="C47" s="9"/>
      <c r="D47" s="10"/>
      <c r="E47" s="11"/>
      <c r="F47" s="12"/>
      <c r="G47" s="13"/>
    </row>
    <row r="48" s="6" customFormat="1" spans="1:7">
      <c r="A48" s="14" t="s">
        <v>126</v>
      </c>
      <c r="B48" s="8"/>
      <c r="C48" s="22" t="s">
        <v>774</v>
      </c>
      <c r="D48" s="10"/>
      <c r="E48" s="11"/>
      <c r="F48" s="12"/>
      <c r="G48" s="13"/>
    </row>
    <row r="49" s="6" customFormat="1" spans="1:7">
      <c r="A49" s="14" t="s">
        <v>130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132</v>
      </c>
      <c r="B50" s="8"/>
      <c r="C50" s="22" t="s">
        <v>775</v>
      </c>
      <c r="D50" s="10"/>
      <c r="E50" s="11"/>
      <c r="F50" s="12"/>
      <c r="G50" s="13"/>
    </row>
    <row r="51" s="6" customFormat="1" spans="1:7">
      <c r="A51" s="14" t="s">
        <v>134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135</v>
      </c>
      <c r="B52" s="8" t="s">
        <v>776</v>
      </c>
      <c r="C52" s="22" t="s">
        <v>777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778</v>
      </c>
      <c r="C1" s="3" t="s">
        <v>779</v>
      </c>
      <c r="E1" s="3" t="s">
        <v>596</v>
      </c>
      <c r="F1" s="3" t="s">
        <v>780</v>
      </c>
    </row>
    <row r="2" spans="2:6">
      <c r="B2" s="4" t="s">
        <v>781</v>
      </c>
      <c r="C2" s="4">
        <v>13</v>
      </c>
      <c r="E2" s="4" t="s">
        <v>782</v>
      </c>
      <c r="F2" s="4">
        <v>6</v>
      </c>
    </row>
    <row r="3" spans="2:6">
      <c r="B3" s="4" t="s">
        <v>783</v>
      </c>
      <c r="C3" s="4">
        <v>13</v>
      </c>
      <c r="E3" s="4" t="s">
        <v>784</v>
      </c>
      <c r="F3" s="4">
        <v>13</v>
      </c>
    </row>
    <row r="4" spans="2:6">
      <c r="B4" s="4" t="s">
        <v>785</v>
      </c>
      <c r="C4" s="4">
        <v>12</v>
      </c>
      <c r="E4" s="4" t="s">
        <v>652</v>
      </c>
      <c r="F4" s="4">
        <v>4</v>
      </c>
    </row>
    <row r="5" spans="2:6">
      <c r="B5" s="4" t="s">
        <v>786</v>
      </c>
      <c r="C5" s="4">
        <v>2</v>
      </c>
      <c r="E5" s="4" t="s">
        <v>787</v>
      </c>
      <c r="F5" s="4">
        <v>6</v>
      </c>
    </row>
    <row r="6" spans="2:6">
      <c r="B6" s="4" t="s">
        <v>788</v>
      </c>
      <c r="C6" s="4">
        <v>2</v>
      </c>
      <c r="E6" s="4" t="s">
        <v>789</v>
      </c>
      <c r="F6" s="4">
        <v>4</v>
      </c>
    </row>
    <row r="7" spans="2:6">
      <c r="B7" s="4" t="s">
        <v>790</v>
      </c>
      <c r="C7" s="4">
        <v>1</v>
      </c>
      <c r="E7" s="4" t="s">
        <v>791</v>
      </c>
      <c r="F7" s="4">
        <v>1</v>
      </c>
    </row>
    <row r="8" spans="2:6">
      <c r="B8" s="4" t="s">
        <v>792</v>
      </c>
      <c r="C8" s="4">
        <v>4</v>
      </c>
      <c r="E8" s="4" t="s">
        <v>793</v>
      </c>
      <c r="F8" s="4">
        <v>3</v>
      </c>
    </row>
    <row r="9" spans="2:6">
      <c r="E9" s="4" t="s">
        <v>794</v>
      </c>
      <c r="F9" s="4">
        <v>1</v>
      </c>
    </row>
    <row r="10" spans="2:6">
      <c r="E10" s="4" t="s">
        <v>795</v>
      </c>
      <c r="F10" s="4">
        <v>5</v>
      </c>
    </row>
    <row r="11" spans="2:6">
      <c r="E11" s="4" t="s">
        <v>796</v>
      </c>
      <c r="F11" s="4">
        <v>1</v>
      </c>
    </row>
    <row r="12" spans="2:6">
      <c r="E12" s="4" t="s">
        <v>792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2026-05-21T12:18:44Z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