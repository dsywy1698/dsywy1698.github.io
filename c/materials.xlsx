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<sst xmlns="http://schemas.openxmlformats.org/spreadsheetml/2006/main" count="1080" uniqueCount="684">
  <si>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</si>
  <si>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</si>
  <si>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</si>
  <si>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</si>
  <si>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</si>
  <si>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</si>
  <si>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</si>
  <si>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</si>
  <si>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</si>
  <si>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</si>
  <si>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</si>
  <si>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</si>
  <si>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</si>
  <si>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</si>
  <si>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</si>
  <si>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</si>
  <si>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</si>
  <si>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</si>
  <si>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</si>
  <si>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</si>
  <si>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</si>
  <si>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</si>
  <si>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</si>
  <si>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</si>
  <si>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</si>
  <si>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</si>
  <si>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</si>
  <si>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</si>
  <si>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</si>
  <si>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</si>
  <si>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</si>
  <si>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</si>
  <si>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</si>
  <si>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</si>
  <si>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</si>
  <si>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</si>
  <si>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</si>
  <si>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</si>
  <si>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</si>
  <si>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</si>
  <si>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</si>
  <si>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</si>
  <si>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</si>
  <si>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</si>
  <si>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</si>
  <si>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</si>
  <si>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</si>
  <si>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</si>
  <si>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</si>
  <si>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</si>
  <si>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</si>
  <si>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</si>
  <si>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</si>
  <si>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</si>
  <si>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</si>
  <si>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</si>
  <si>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</si>
  <si>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</si>
  <si>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</si>
  <si>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</si>
  <si>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</si>
  <si>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</si>
  <si>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</si>
  <si>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</si>
  <si>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</si>
  <si>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</si>
  <si>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</si>
  <si>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</si>
  <si>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</si>
  <si>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</si>
  <si>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</si>
  <si>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</si>
  <si>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</si>
  <si>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</si>
  <si>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</si>
  <si>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</si>
  <si>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</si>
  <si>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</si>
  <si>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</si>
  <si>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</si>
  <si>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</si>
  <si>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</si>
  <si>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</si>
  <si>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</si>
  <si>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</si>
  <si>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</si>
  <si>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</si>
  <si>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</si>
  <si>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</si>
  <si>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</si>
  <si>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</si>
  <si>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</si>
  <si>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</si>
  <si>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</si>
  <si>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</si>
  <si>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</si>
  <si>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</si>
  <si>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</si>
  <si>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</si>
  <si>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</si>
  <si>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</si>
  <si>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</si>
  <si>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</si>
  <si>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</si>
  <si>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</si>
  <si>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</si>
  <si>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</si>
  <si>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</si>
  <si>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</si>
  <si>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</si>
  <si>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</si>
  <si>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</si>
  <si>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</si>
  <si>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</si>
  <si>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</si>
  <si>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</si>
  <si>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</si>
  <si>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</si>
  <si>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</si>
  <si>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</si>
  <si>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</si>
  <si>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</si>
  <si>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</si>
  <si>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</si>
  <si>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</si>
  <si>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</si>
  <si>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</si>
  <si>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</si>
  <si>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</si>
  <si>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</si>
  <si>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</si>
  <si>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</si>
  <si>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</si>
  <si>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</si>
  <si>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</si>
  <si>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</si>
  <si>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</si>
  <si>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</si>
  <si>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</si>
  <si>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</si>
  <si>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</si>
  <si>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</si>
  <si>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</si>
  <si>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</si>
  <si>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</si>
  <si>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</si>
  <si>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</si>
  <si>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</si>
  <si>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</si>
  <si>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</si>
  <si>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</si>
  <si>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</si>
  <si>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</si>
  <si>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</si>
  <si>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</si>
  <si>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</si>
  <si>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</si>
  <si>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</si>
  <si>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</si>
  <si>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</si>
  <si>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</si>
  <si>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</si>
  <si>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</si>
  <si>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</si>
  <si>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</si>
  <si>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</si>
  <si>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</si>
  <si>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</si>
  <si>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</si>
  <si>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</si>
  <si>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</si>
  <si>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</si>
  <si>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</si>
  <si>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</si>
  <si>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</si>
  <si>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</si>
  <si>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</si>
  <si>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</si>
  <si>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</si>
  <si>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</si>
  <si>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</si>
  <si>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</si>
  <si>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</si>
  <si>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</si>
  <si>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</si>
  <si>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</si>
  <si>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</si>
  <si>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</si>
  <si>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</si>
  <si>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</si>
  <si>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</si>
  <si>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</si>
  <si>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</si>
  <si>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</si>
  <si>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</si>
  <si>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</si>
  <si>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</si>
  <si>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</si>
  <si>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</si>
  <si>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</si>
  <si>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</si>
  <si>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</si>
  <si>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</si>
  <si>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</si>
  <si>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</si>
  <si>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</si>
  <si>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</si>
  <si>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</si>
  <si>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</si>
  <si>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</si>
  <si>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</si>
  <si>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</si>
  <si>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</si>
  <si>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</si>
  <si>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</si>
  <si>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</si>
  <si>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</si>
  <si>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</si>
  <si>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</si>
  <si>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</si>
  <si>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</si>
  <si>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</si>
  <si>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</si>
  <si>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</si>
  <si>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</si>
  <si>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</si>
  <si>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</si>
  <si>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</si>
  <si>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</si>
  <si>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</si>
  <si>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</si>
  <si>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</si>
  <si>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</si>
  <si>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</si>
  <si>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</si>
  <si>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</si>
  <si>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</si>
  <si>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</si>
  <si>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</si>
  <si>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</si>
  <si>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</si>
  <si>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</si>
  <si>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</si>
  <si>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</si>
  <si>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</si>
  <si>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</si>
  <si>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</si>
  <si>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</si>
  <si>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</si>
  <si>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</si>
  <si>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</si>
  <si>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</si>
  <si>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</si>
  <si>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</si>
  <si>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</si>
  <si>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</si>
  <si>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</si>
  <si>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</si>
  <si>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</si>
  <si>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</si>
  <si>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</si>
  <si>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</si>
  <si>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</si>
  <si>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</si>
  <si>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</si>
  <si>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</si>
  <si>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</si>
  <si>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</si>
  <si>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</si>
  <si>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</si>
  <si>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</si>
  <si>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</si>
  <si>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</si>
  <si>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</si>
  <si>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</si>
  <si>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</si>
  <si>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</si>
  <si>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</si>
  <si>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</si>
  <si>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</si>
  <si>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</si>
  <si>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</si>
  <si>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</si>
  <si>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</si>
  <si>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</si>
  <si>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</si>
  <si>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</si>
  <si>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</si>
  <si>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</si>
  <si>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</si>
  <si>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</si>
  <si>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</si>
  <si>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</si>
  <si>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</si>
  <si>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</si>
  <si>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</si>
  <si>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</si>
  <si>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</si>
  <si>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</si>
  <si>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</si>
  <si>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</si>
  <si>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</si>
  <si>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</si>
  <si>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</si>
  <si>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</si>
  <si>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</si>
  <si>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</si>
  <si>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</si>
  <si>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</si>
  <si>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</si>
  <si>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</si>
  <si>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</si>
  <si>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</si>
  <si>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</si>
  <si>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</si>
  <si>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</si>
  <si>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</si>
  <si>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</si>
  <si>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</si>
  <si>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</si>
  <si>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</si>
  <si>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</si>
  <si>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</si>
  <si>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</si>
  <si>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</si>
  <si>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</si>
  <si>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</si>
  <si>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</si>
  <si>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</si>
  <si>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</si>
  <si>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</si>
  <si>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</si>
  <si>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</si>
  <si>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</si>
  <si>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</si>
  <si>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</si>
  <si>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</si>
  <si>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</si>
  <si>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</si>
  <si>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</si>
  <si>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</si>
  <si>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</si>
  <si>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</si>
  <si>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</si>
  <si>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</si>
  <si>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</si>
  <si>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</si>
  <si>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数学课请人记录</t>
    </r>
    <r>
      <rPr>
        <sz val="11"/>
        <rFont val="黑体"/>
        <charset val="134"/>
      </rPr>
      <t xml:space="preserve">
</t>
    </r>
    <r>
      <rPr>
        <sz val="10"/>
        <rFont val="黑体"/>
        <charset val="134"/>
      </rPr>
      <t>起立回答问题、主动起立回答问题、上台写题目均为有效数据。
一天内的多节数学课数据合并记录。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</si>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</sst>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E28" sqref="E28"/>
    </sheetView>
  </sheetViews>
  <sheetFormatPr defaultColWidth="8.72727272727273" defaultRowHeight="14"/>
  <cols>
    <col min="1" max="1" width="7.59090909090909" style="230" customWidth="1"/>
    <col min="2" max="7" width="25.8727272727273" style="231" customWidth="1"/>
    <col min="8" max="10" width="16.6818181818182" style="232" customWidth="1"/>
    <col min="11" max="16384" width="8.72727272727273" style="233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1" t="s">
        <v>8</v>
      </c>
      <c r="C2" s="231" t="s">
        <v>9</v>
      </c>
    </row>
    <row r="3" ht="52" spans="1:10">
      <c r="A3" s="237" t="s">
        <v>10</v>
      </c>
      <c r="C3" s="231" t="s">
        <v>11</v>
      </c>
      <c r="D3" s="231" t="s">
        <v>12</v>
      </c>
    </row>
    <row r="4" ht="26" spans="1:10">
      <c r="A4" s="237" t="s">
        <v>13</v>
      </c>
      <c r="D4" s="231" t="s">
        <v>14</v>
      </c>
    </row>
    <row r="5" spans="1:10">
      <c r="A5" s="237" t="s">
        <v>15</v>
      </c>
      <c r="C5" s="231" t="s">
        <v>16</v>
      </c>
      <c r="D5" s="231" t="s">
        <v>17</v>
      </c>
    </row>
    <row r="6" spans="1:10">
      <c r="A6" s="237" t="s">
        <v>18</v>
      </c>
      <c r="C6" s="231" t="s">
        <v>19</v>
      </c>
    </row>
    <row r="7" ht="221" spans="1:10">
      <c r="A7" s="237" t="s">
        <v>20</v>
      </c>
      <c r="B7" s="231" t="s">
        <v>21</v>
      </c>
      <c r="C7" s="231" t="s">
        <v>22</v>
      </c>
      <c r="D7" s="231" t="s">
        <v>23</v>
      </c>
    </row>
    <row r="8" ht="26" spans="1:10">
      <c r="A8" s="237" t="s">
        <v>24</v>
      </c>
      <c r="D8" s="231" t="s">
        <v>25</v>
      </c>
    </row>
    <row r="9" spans="1:10">
      <c r="A9" s="237" t="s">
        <v>26</v>
      </c>
    </row>
    <row r="10" spans="1:10">
      <c r="A10" s="237" t="s">
        <v>27</v>
      </c>
      <c r="B10" s="231" t="s">
        <v>28</v>
      </c>
    </row>
    <row r="11" spans="1:10">
      <c r="A11" s="237" t="s">
        <v>29</v>
      </c>
    </row>
    <row r="12" spans="1:10">
      <c r="A12" s="237" t="s">
        <v>30</v>
      </c>
    </row>
    <row r="13" ht="39" spans="1:10">
      <c r="A13" s="237" t="s">
        <v>31</v>
      </c>
      <c r="D13" s="231" t="s">
        <v>32</v>
      </c>
    </row>
    <row r="14" spans="1:10">
      <c r="A14" s="237" t="s">
        <v>33</v>
      </c>
      <c r="B14" s="231" t="s">
        <v>34</v>
      </c>
    </row>
    <row r="15" spans="1:10">
      <c r="A15" s="237" t="s">
        <v>35</v>
      </c>
    </row>
    <row r="16" spans="1:10">
      <c r="A16" s="237" t="s">
        <v>36</v>
      </c>
      <c r="C16" s="231" t="s">
        <v>37</v>
      </c>
    </row>
    <row r="17" ht="26" spans="1:5">
      <c r="A17" s="237" t="s">
        <v>38</v>
      </c>
      <c r="C17" s="231" t="s">
        <v>39</v>
      </c>
    </row>
    <row r="18" spans="1:5">
      <c r="A18" s="237" t="s">
        <v>40</v>
      </c>
      <c r="D18" s="231" t="s">
        <v>41</v>
      </c>
    </row>
    <row r="19" ht="26" spans="1:5">
      <c r="A19" s="237" t="s">
        <v>42</v>
      </c>
      <c r="D19" s="231" t="s">
        <v>43</v>
      </c>
    </row>
    <row r="20" ht="26" spans="1:5">
      <c r="A20" s="237" t="s">
        <v>44</v>
      </c>
      <c r="B20" s="231" t="s">
        <v>45</v>
      </c>
      <c r="C20" s="231" t="s">
        <v>46</v>
      </c>
    </row>
    <row r="21" ht="52" spans="1:5">
      <c r="A21" s="237" t="s">
        <v>47</v>
      </c>
      <c r="B21" s="231" t="s">
        <v>48</v>
      </c>
      <c r="C21" s="231" t="s">
        <v>49</v>
      </c>
      <c r="D21" s="231" t="s">
        <v>50</v>
      </c>
    </row>
    <row r="22" spans="1:5">
      <c r="A22" s="237" t="s">
        <v>51</v>
      </c>
    </row>
    <row r="23" ht="26" spans="1:5">
      <c r="A23" s="237" t="s">
        <v>52</v>
      </c>
      <c r="B23" s="231" t="s">
        <v>53</v>
      </c>
    </row>
    <row r="24" ht="52" spans="1:5">
      <c r="A24" s="237" t="s">
        <v>54</v>
      </c>
      <c r="B24" s="231" t="s">
        <v>55</v>
      </c>
      <c r="C24" s="231" t="s">
        <v>56</v>
      </c>
      <c r="D24" s="231" t="s">
        <v>57</v>
      </c>
    </row>
    <row r="25" spans="1:5">
      <c r="A25" s="237" t="s">
        <v>58</v>
      </c>
    </row>
    <row r="26" spans="1:5">
      <c r="A26" s="237" t="s">
        <v>59</v>
      </c>
    </row>
    <row r="27" spans="1:5">
      <c r="A27" s="237" t="s">
        <v>60</v>
      </c>
      <c r="B27" s="231" t="s">
        <v>61</v>
      </c>
      <c r="C27" s="231" t="s">
        <v>62</v>
      </c>
    </row>
    <row r="28" ht="91" spans="1:5">
      <c r="A28" s="237" t="s">
        <v>63</v>
      </c>
      <c r="B28" s="231" t="s">
        <v>64</v>
      </c>
      <c r="C28" s="231" t="s">
        <v>65</v>
      </c>
      <c r="D28" s="231" t="s">
        <v>66</v>
      </c>
      <c r="E28" s="231" t="s">
        <v>67</v>
      </c>
    </row>
    <row r="29" spans="1:5">
      <c r="A29" s="237" t="s">
        <v>68</v>
      </c>
    </row>
    <row r="30" spans="1:5">
      <c r="A30" s="237" t="s">
        <v>69</v>
      </c>
      <c r="B30" s="231" t="s">
        <v>70</v>
      </c>
      <c r="C30" s="231" t="s">
        <v>71</v>
      </c>
    </row>
    <row r="31" spans="1:5">
      <c r="A31" s="237" t="s">
        <v>72</v>
      </c>
    </row>
    <row r="32" spans="1:5">
      <c r="A32" s="237" t="s">
        <v>73</v>
      </c>
    </row>
    <row r="33" spans="1:10">
      <c r="A33" s="237" t="s">
        <v>74</v>
      </c>
    </row>
    <row r="34" spans="1:10">
      <c r="A34" s="237" t="s">
        <v>75</v>
      </c>
    </row>
    <row r="35" spans="1:10">
      <c r="A35" s="237" t="s">
        <v>76</v>
      </c>
    </row>
    <row r="36" spans="1:10">
      <c r="A36" s="237" t="s">
        <v>77</v>
      </c>
      <c r="B36" s="231" t="s">
        <v>78</v>
      </c>
    </row>
    <row r="37" ht="26" spans="1:10">
      <c r="A37" s="237" t="s">
        <v>79</v>
      </c>
      <c r="C37" s="231" t="s">
        <v>80</v>
      </c>
      <c r="D37" s="231" t="s">
        <v>81</v>
      </c>
    </row>
    <row r="38" spans="1:10">
      <c r="A38" s="237" t="s">
        <v>82</v>
      </c>
      <c r="B38" s="231" t="s">
        <v>83</v>
      </c>
      <c r="C38" s="238"/>
      <c r="D38" s="238"/>
      <c r="E38" s="238"/>
      <c r="F38" s="238"/>
      <c r="G38" s="238"/>
    </row>
    <row r="39" ht="26" spans="1:10">
      <c r="A39" s="237" t="s">
        <v>84</v>
      </c>
      <c r="C39" s="231" t="s">
        <v>85</v>
      </c>
      <c r="D39" s="231" t="s">
        <v>86</v>
      </c>
    </row>
    <row r="40" spans="1:10">
      <c r="A40" s="237" t="s">
        <v>87</v>
      </c>
      <c r="B40" s="231" t="s">
        <v>88</v>
      </c>
      <c r="C40" s="231" t="s">
        <v>89</v>
      </c>
      <c r="D40" s="231" t="s">
        <v>90</v>
      </c>
    </row>
    <row r="41" ht="208" spans="1:10">
      <c r="A41" s="237" t="s">
        <v>91</v>
      </c>
      <c r="C41" s="231" t="s">
        <v>92</v>
      </c>
      <c r="D41" s="231" t="s">
        <v>93</v>
      </c>
      <c r="E41" s="231" t="s">
        <v>94</v>
      </c>
      <c r="H41" s="232" t="s">
        <v>95</v>
      </c>
      <c r="I41" s="232" t="s">
        <v>96</v>
      </c>
      <c r="J41" s="232" t="s">
        <v>97</v>
      </c>
    </row>
    <row r="42" spans="1:10">
      <c r="A42" s="237" t="s">
        <v>98</v>
      </c>
    </row>
    <row r="43" ht="28" spans="1:10">
      <c r="A43" s="237" t="s">
        <v>99</v>
      </c>
      <c r="B43" s="231" t="s">
        <v>100</v>
      </c>
      <c r="H43" s="232" t="s">
        <v>101</v>
      </c>
    </row>
    <row r="44" ht="26" spans="1:10">
      <c r="A44" s="237" t="s">
        <v>102</v>
      </c>
      <c r="B44" s="231" t="s">
        <v>103</v>
      </c>
    </row>
    <row r="45" ht="26" spans="1:10">
      <c r="A45" s="237" t="s">
        <v>104</v>
      </c>
      <c r="C45" s="231" t="s">
        <v>105</v>
      </c>
      <c r="D45" s="231" t="s">
        <v>106</v>
      </c>
    </row>
    <row r="46" spans="1:10">
      <c r="A46" s="237" t="s">
        <v>107</v>
      </c>
    </row>
    <row r="47" spans="1:10">
      <c r="A47" s="237" t="s">
        <v>108</v>
      </c>
      <c r="D47" s="231" t="s">
        <v>109</v>
      </c>
    </row>
    <row r="48" spans="1:10">
      <c r="A48" s="237" t="s">
        <v>110</v>
      </c>
      <c r="C48" s="231" t="s">
        <v>111</v>
      </c>
      <c r="D48" s="231" t="s">
        <v>112</v>
      </c>
    </row>
    <row r="49" spans="1:7">
      <c r="A49" s="237" t="s">
        <v>113</v>
      </c>
    </row>
    <row r="50" ht="78" spans="1:7">
      <c r="A50" s="237" t="s">
        <v>114</v>
      </c>
      <c r="C50" s="231" t="s">
        <v>115</v>
      </c>
    </row>
    <row r="51" spans="1:7">
      <c r="A51" s="237" t="s">
        <v>116</v>
      </c>
    </row>
    <row r="52" ht="26" spans="1:7">
      <c r="A52" s="237" t="s">
        <v>117</v>
      </c>
      <c r="B52" s="231" t="s">
        <v>118</v>
      </c>
      <c r="C52" s="231" t="s">
        <v>119</v>
      </c>
      <c r="E52" s="231" t="s">
        <v>120</v>
      </c>
    </row>
    <row r="53" ht="26" spans="1:7">
      <c r="A53" s="230" t="s">
        <v>121</v>
      </c>
      <c r="B53" s="231" t="s">
        <v>122</v>
      </c>
      <c r="D53" s="238"/>
      <c r="E53" s="238"/>
      <c r="F53" s="238"/>
      <c r="G53" s="238"/>
    </row>
    <row r="54" spans="1:7">
      <c r="A54" s="230" t="s">
        <v>123</v>
      </c>
      <c r="B54" s="231" t="s">
        <v>124</v>
      </c>
      <c r="C54" s="231" t="s">
        <v>125</v>
      </c>
      <c r="D54" s="238"/>
      <c r="E54" s="238"/>
      <c r="F54" s="238"/>
      <c r="G54" s="238"/>
    </row>
    <row r="55" ht="65" spans="1:7">
      <c r="A55" s="230" t="s">
        <v>126</v>
      </c>
      <c r="B55" s="238"/>
      <c r="C55" s="238"/>
      <c r="D55" s="231" t="s">
        <v>127</v>
      </c>
    </row>
    <row r="56" ht="65" spans="1:7">
      <c r="A56" s="230" t="s">
        <v>128</v>
      </c>
      <c r="B56" s="78" t="s">
        <v>129</v>
      </c>
      <c r="C56" s="78"/>
      <c r="D56" s="231" t="s">
        <v>130</v>
      </c>
    </row>
    <row r="57" ht="117" spans="1:7">
      <c r="A57" s="230" t="s">
        <v>131</v>
      </c>
      <c r="B57" s="78" t="s">
        <v>132</v>
      </c>
      <c r="C57" s="78" t="s">
        <v>133</v>
      </c>
      <c r="D57" s="231" t="s">
        <v>134</v>
      </c>
    </row>
    <row r="58" spans="1:7">
      <c r="A58" s="230" t="s">
        <v>135</v>
      </c>
      <c r="B58" s="231" t="s">
        <v>136</v>
      </c>
      <c r="C58" s="238"/>
      <c r="D58" s="238"/>
      <c r="E58" s="238"/>
      <c r="F58" s="238"/>
      <c r="G58" s="238"/>
    </row>
    <row r="59" spans="1:7">
      <c r="A59" s="230" t="s">
        <v>137</v>
      </c>
      <c r="B59" s="238"/>
      <c r="C59" s="231" t="s">
        <v>138</v>
      </c>
      <c r="D59" s="238"/>
      <c r="E59" s="238"/>
      <c r="F59" s="238"/>
      <c r="G59" s="238"/>
    </row>
    <row r="60" ht="65" spans="1:7">
      <c r="A60" s="230" t="s">
        <v>139</v>
      </c>
      <c r="B60" s="238" t="s">
        <v>140</v>
      </c>
      <c r="C60" s="238"/>
      <c r="D60" s="231" t="s">
        <v>141</v>
      </c>
    </row>
    <row r="61" spans="1:7">
      <c r="A61" s="230" t="s">
        <v>142</v>
      </c>
      <c r="B61" s="78" t="s">
        <v>143</v>
      </c>
      <c r="C61" s="78"/>
      <c r="D61" s="238"/>
      <c r="E61" s="238"/>
      <c r="F61" s="238"/>
      <c r="G61" s="238"/>
    </row>
    <row r="62" ht="52" spans="1:7">
      <c r="A62" s="230" t="s">
        <v>144</v>
      </c>
      <c r="B62" s="238"/>
      <c r="C62" s="238"/>
      <c r="D62" s="231" t="s">
        <v>145</v>
      </c>
      <c r="E62" s="231" t="s">
        <v>146</v>
      </c>
    </row>
    <row r="63" ht="26" spans="1:7">
      <c r="A63" s="230" t="s">
        <v>147</v>
      </c>
      <c r="B63" s="78" t="s">
        <v>148</v>
      </c>
      <c r="C63" s="78" t="s">
        <v>149</v>
      </c>
      <c r="D63" s="238"/>
      <c r="E63" s="238"/>
      <c r="F63" s="238"/>
      <c r="G63" s="238"/>
    </row>
    <row r="64" ht="26" spans="1:7">
      <c r="A64" s="230" t="s">
        <v>150</v>
      </c>
      <c r="B64" s="238"/>
      <c r="C64" s="238"/>
      <c r="D64" s="231" t="s">
        <v>151</v>
      </c>
    </row>
    <row r="65" ht="26" spans="1:7">
      <c r="A65" s="230" t="s">
        <v>152</v>
      </c>
      <c r="B65" s="239" t="s">
        <v>153</v>
      </c>
      <c r="C65" s="238"/>
      <c r="D65" s="238"/>
      <c r="E65" s="238"/>
      <c r="F65" s="238"/>
      <c r="G65" s="238"/>
    </row>
    <row r="66" spans="1:7">
      <c r="A66" s="230" t="s">
        <v>154</v>
      </c>
      <c r="B66" s="238"/>
      <c r="C66" s="231" t="s">
        <v>155</v>
      </c>
      <c r="D66" s="238"/>
      <c r="E66" s="238"/>
      <c r="F66" s="238"/>
      <c r="G66" s="238"/>
    </row>
    <row r="67" spans="1:7">
      <c r="A67" s="230" t="s">
        <v>156</v>
      </c>
      <c r="B67" s="238"/>
      <c r="C67" s="238"/>
    </row>
    <row r="68" ht="78" spans="1:7">
      <c r="A68" s="230" t="s">
        <v>157</v>
      </c>
      <c r="B68" s="238"/>
      <c r="C68" s="238"/>
      <c r="D68" s="231" t="s">
        <v>158</v>
      </c>
    </row>
    <row r="69" spans="1:7">
      <c r="A69" s="230" t="s">
        <v>159</v>
      </c>
      <c r="B69" s="78" t="s">
        <v>160</v>
      </c>
      <c r="C69" s="78"/>
    </row>
    <row r="70" ht="26" spans="1:7">
      <c r="A70" s="230" t="s">
        <v>161</v>
      </c>
      <c r="B70" s="78" t="s">
        <v>162</v>
      </c>
      <c r="C70" s="78"/>
      <c r="D70" s="238"/>
      <c r="E70" s="238"/>
      <c r="F70" s="238"/>
      <c r="G70" s="238"/>
    </row>
    <row r="71" spans="1:7">
      <c r="A71" s="230" t="s">
        <v>163</v>
      </c>
      <c r="B71" s="238"/>
      <c r="C71" s="238"/>
    </row>
    <row r="72" spans="1:7">
      <c r="A72" s="230" t="s">
        <v>164</v>
      </c>
      <c r="B72" s="231" t="s">
        <v>165</v>
      </c>
      <c r="C72" s="231" t="s">
        <v>166</v>
      </c>
      <c r="D72" s="238"/>
      <c r="E72" s="238"/>
      <c r="F72" s="238"/>
      <c r="G72" s="238"/>
    </row>
    <row r="73" spans="1:7">
      <c r="A73" s="230" t="s">
        <v>167</v>
      </c>
      <c r="B73" s="238"/>
      <c r="C73" s="231" t="s">
        <v>168</v>
      </c>
      <c r="D73" s="238"/>
      <c r="E73" s="238"/>
      <c r="F73" s="238"/>
      <c r="G73" s="238"/>
    </row>
    <row r="74" spans="1:7">
      <c r="A74" s="230" t="s">
        <v>169</v>
      </c>
    </row>
    <row r="75" spans="1:7">
      <c r="A75" s="230" t="s">
        <v>170</v>
      </c>
      <c r="D75" s="238"/>
      <c r="E75" s="238"/>
      <c r="F75" s="238"/>
      <c r="G75" s="238"/>
    </row>
    <row r="76" spans="1:7">
      <c r="A76" s="230" t="s">
        <v>171</v>
      </c>
      <c r="B76" s="238"/>
      <c r="C76" s="238"/>
      <c r="D76" s="231" t="s">
        <v>172</v>
      </c>
    </row>
    <row r="77" spans="1:7">
      <c r="A77" s="230" t="s">
        <v>173</v>
      </c>
      <c r="B77" s="78"/>
      <c r="C77" s="78"/>
    </row>
    <row r="78" ht="26" spans="1:7">
      <c r="A78" s="240" t="s">
        <v>174</v>
      </c>
      <c r="B78" s="231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4" customWidth="1"/>
    <col min="2" max="2" width="32.6181818181818" style="66" customWidth="1"/>
    <col min="3" max="7" width="16.4909090909091" style="66" customWidth="1"/>
    <col min="8" max="16384" width="8.72727272727273" style="225"/>
  </cols>
  <sheetData>
    <row r="1" spans="1:7">
      <c r="A1" s="226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3" customFormat="1" ht="39" spans="1:7">
      <c r="A2" s="227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8" t="s">
        <v>178</v>
      </c>
      <c r="C3" s="66" t="s">
        <v>179</v>
      </c>
    </row>
    <row r="4" spans="1:7">
      <c r="A4" s="228" t="s">
        <v>180</v>
      </c>
      <c r="B4" s="66" t="s">
        <v>181</v>
      </c>
      <c r="D4" s="66" t="s">
        <v>182</v>
      </c>
    </row>
    <row r="5" spans="1:7">
      <c r="A5" s="228" t="s">
        <v>183</v>
      </c>
      <c r="C5" s="66" t="s">
        <v>184</v>
      </c>
      <c r="D5" s="66" t="s">
        <v>185</v>
      </c>
    </row>
    <row r="6" spans="1:7">
      <c r="A6" s="228" t="s">
        <v>186</v>
      </c>
      <c r="B6" s="66" t="s">
        <v>187</v>
      </c>
      <c r="D6" s="66" t="s">
        <v>188</v>
      </c>
    </row>
    <row r="7" spans="1:7">
      <c r="A7" s="228" t="s">
        <v>189</v>
      </c>
      <c r="B7" s="66" t="s">
        <v>190</v>
      </c>
    </row>
    <row r="8" spans="1:7">
      <c r="A8" s="228"/>
      <c r="D8" s="66" t="s">
        <v>191</v>
      </c>
    </row>
    <row r="9" spans="1:7">
      <c r="A9" s="228"/>
    </row>
    <row r="10" spans="1:7">
      <c r="A10" s="228"/>
      <c r="B10" s="66" t="s">
        <v>192</v>
      </c>
    </row>
    <row r="11" spans="1:7">
      <c r="A11" s="228"/>
    </row>
    <row r="12" spans="1:7">
      <c r="A12" s="228"/>
      <c r="B12" s="66" t="s">
        <v>193</v>
      </c>
    </row>
    <row r="13" spans="1:7">
      <c r="A13" s="228"/>
      <c r="B13" s="66" t="s">
        <v>194</v>
      </c>
    </row>
    <row r="14" spans="1:7">
      <c r="A14" s="228"/>
      <c r="B14" s="66" t="s">
        <v>195</v>
      </c>
    </row>
    <row r="15" spans="1:7">
      <c r="A15" s="228"/>
      <c r="B15" s="66" t="s">
        <v>196</v>
      </c>
    </row>
    <row r="16" spans="1:7">
      <c r="A16" s="228"/>
      <c r="B16" s="66" t="s">
        <v>197</v>
      </c>
    </row>
    <row r="17" spans="1:2">
      <c r="A17" s="228"/>
      <c r="B17" s="66" t="s">
        <v>198</v>
      </c>
    </row>
    <row r="18" spans="1:2">
      <c r="A18" s="228"/>
      <c r="B18" s="66" t="s">
        <v>199</v>
      </c>
    </row>
    <row r="19" ht="26" spans="1:2">
      <c r="A19" s="228"/>
      <c r="B19" s="78" t="s">
        <v>200</v>
      </c>
    </row>
    <row r="20" spans="1:2">
      <c r="A20" s="228"/>
      <c r="B20" s="66" t="s">
        <v>201</v>
      </c>
    </row>
    <row r="21" spans="1:2">
      <c r="A21" s="228"/>
    </row>
    <row r="22" spans="1:2">
      <c r="A22" s="228"/>
    </row>
    <row r="23" spans="1:2">
      <c r="A23" s="228"/>
    </row>
    <row r="24" spans="1:2">
      <c r="A24" s="228"/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78"/>
      <c r="C38" s="78"/>
      <c r="D38" s="78"/>
      <c r="E38" s="78"/>
      <c r="F38" s="78"/>
      <c r="G38" s="78"/>
    </row>
    <row r="39" spans="1:7">
      <c r="A39" s="228"/>
      <c r="B39" s="78"/>
      <c r="C39" s="78"/>
      <c r="D39" s="78"/>
      <c r="E39" s="78"/>
      <c r="F39" s="78"/>
      <c r="G39" s="78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6"/>
  <sheetViews>
    <sheetView workbookViewId="0">
      <pane ySplit="1" topLeftCell="A50" activePane="bottomLeft" state="frozen"/>
      <selection/>
      <selection pane="bottomLeft" activeCell="E55" sqref="E55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202</v>
      </c>
      <c r="B1" s="215" t="s">
        <v>203</v>
      </c>
      <c r="C1" s="215" t="s">
        <v>204</v>
      </c>
    </row>
    <row r="2" spans="1:3">
      <c r="A2" s="216" t="s">
        <v>205</v>
      </c>
      <c r="B2" s="216" t="s">
        <v>206</v>
      </c>
      <c r="C2" s="216" t="s">
        <v>207</v>
      </c>
    </row>
    <row r="3" spans="1:3">
      <c r="A3" s="216" t="s">
        <v>208</v>
      </c>
      <c r="B3" s="216" t="s">
        <v>209</v>
      </c>
      <c r="C3" s="216" t="s">
        <v>210</v>
      </c>
    </row>
    <row r="4" spans="1:3">
      <c r="A4" s="216" t="s">
        <v>211</v>
      </c>
      <c r="B4" s="216" t="s">
        <v>209</v>
      </c>
      <c r="C4" s="216" t="s">
        <v>212</v>
      </c>
    </row>
    <row r="5" ht="56" spans="1:3">
      <c r="A5" s="217" t="s">
        <v>213</v>
      </c>
      <c r="B5" s="216" t="s">
        <v>214</v>
      </c>
      <c r="C5" s="216" t="s">
        <v>215</v>
      </c>
    </row>
    <row r="6" ht="28" spans="1:3">
      <c r="A6" s="218"/>
      <c r="B6" s="216" t="s">
        <v>216</v>
      </c>
      <c r="C6" s="216" t="s">
        <v>217</v>
      </c>
    </row>
    <row r="7" spans="1:3">
      <c r="A7" s="219" t="s">
        <v>91</v>
      </c>
      <c r="B7" s="216" t="s">
        <v>218</v>
      </c>
      <c r="C7" s="216" t="s">
        <v>219</v>
      </c>
    </row>
    <row r="8" ht="140" spans="1:3">
      <c r="A8" s="219"/>
      <c r="B8" s="216" t="s">
        <v>220</v>
      </c>
      <c r="C8" s="216" t="s">
        <v>221</v>
      </c>
    </row>
    <row r="9" spans="1:3">
      <c r="A9" s="219"/>
      <c r="B9" s="216" t="s">
        <v>222</v>
      </c>
      <c r="C9" s="216" t="s">
        <v>223</v>
      </c>
    </row>
    <row r="10" spans="1:3">
      <c r="A10" s="219"/>
      <c r="B10" s="216" t="s">
        <v>224</v>
      </c>
      <c r="C10" s="216" t="s">
        <v>225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226</v>
      </c>
      <c r="B15" s="216" t="s">
        <v>227</v>
      </c>
      <c r="C15" s="216" t="s">
        <v>228</v>
      </c>
    </row>
    <row r="16" spans="1:3">
      <c r="A16" s="216" t="s">
        <v>229</v>
      </c>
      <c r="B16" s="216" t="s">
        <v>230</v>
      </c>
      <c r="C16" s="216" t="s">
        <v>231</v>
      </c>
    </row>
    <row r="17" spans="1:3">
      <c r="A17" s="216" t="s">
        <v>232</v>
      </c>
      <c r="B17" s="216" t="s">
        <v>233</v>
      </c>
      <c r="C17" s="221">
        <v>0.440972222222222</v>
      </c>
    </row>
    <row r="18" spans="1:3">
      <c r="A18" s="222" t="s">
        <v>63</v>
      </c>
      <c r="B18" s="216" t="s">
        <v>234</v>
      </c>
      <c r="C18" s="216" t="s">
        <v>235</v>
      </c>
    </row>
    <row r="19" spans="1:3">
      <c r="A19" s="219"/>
      <c r="B19" s="216" t="s">
        <v>236</v>
      </c>
      <c r="C19" s="216" t="s">
        <v>237</v>
      </c>
    </row>
    <row r="20" ht="56" spans="1:3">
      <c r="A20" s="219"/>
      <c r="B20" s="216" t="s">
        <v>238</v>
      </c>
      <c r="C20" s="216" t="s">
        <v>239</v>
      </c>
    </row>
    <row r="21" spans="1:3">
      <c r="A21" s="219"/>
      <c r="B21" s="216" t="s">
        <v>240</v>
      </c>
      <c r="C21" s="216" t="s">
        <v>241</v>
      </c>
    </row>
    <row r="22" ht="28" spans="1:3">
      <c r="A22" s="219"/>
      <c r="B22" s="216" t="s">
        <v>242</v>
      </c>
      <c r="C22" s="216" t="s">
        <v>243</v>
      </c>
    </row>
    <row r="23" spans="1:3">
      <c r="A23" s="219"/>
      <c r="B23" s="216" t="s">
        <v>244</v>
      </c>
      <c r="C23" s="216" t="s">
        <v>245</v>
      </c>
    </row>
    <row r="24" spans="1:3">
      <c r="A24" s="219"/>
      <c r="B24" s="216" t="s">
        <v>246</v>
      </c>
      <c r="C24" s="216" t="s">
        <v>247</v>
      </c>
    </row>
    <row r="25" spans="1:3">
      <c r="A25" s="219"/>
      <c r="B25" s="216" t="s">
        <v>248</v>
      </c>
      <c r="C25" s="216" t="s">
        <v>249</v>
      </c>
    </row>
    <row r="26" spans="1:3">
      <c r="A26" s="219"/>
      <c r="B26" s="216" t="s">
        <v>246</v>
      </c>
      <c r="C26" s="216" t="s">
        <v>250</v>
      </c>
    </row>
    <row r="27" spans="1:3">
      <c r="A27" s="219"/>
      <c r="B27" s="216"/>
      <c r="C27" s="216"/>
    </row>
    <row r="28" spans="1:3">
      <c r="A28" s="219"/>
      <c r="B28" s="216"/>
      <c r="C28" s="216"/>
    </row>
    <row r="29" spans="1:3">
      <c r="A29" s="219"/>
      <c r="B29" s="216"/>
      <c r="C29" s="216"/>
    </row>
    <row r="30" spans="1:3">
      <c r="A30" s="219"/>
      <c r="B30" s="216"/>
      <c r="C30" s="216"/>
    </row>
    <row r="31" spans="1:3">
      <c r="A31" s="219"/>
      <c r="B31" s="216"/>
      <c r="C31" s="216"/>
    </row>
    <row r="32" spans="1:3">
      <c r="A32" s="219"/>
      <c r="B32" s="216"/>
      <c r="C32" s="216"/>
    </row>
    <row r="33" spans="1:3">
      <c r="A33" s="219"/>
      <c r="B33" s="216"/>
      <c r="C33" s="216"/>
    </row>
    <row r="34" spans="1:3">
      <c r="A34" s="217" t="s">
        <v>251</v>
      </c>
      <c r="B34" s="216" t="s">
        <v>236</v>
      </c>
      <c r="C34" s="216" t="s">
        <v>252</v>
      </c>
    </row>
    <row r="35" spans="1:3">
      <c r="A35" s="218"/>
      <c r="B35" s="216" t="s">
        <v>253</v>
      </c>
      <c r="C35" s="216" t="s">
        <v>254</v>
      </c>
    </row>
    <row r="36" ht="28" spans="1:3">
      <c r="A36" s="222" t="s">
        <v>255</v>
      </c>
      <c r="B36" s="216" t="s">
        <v>256</v>
      </c>
      <c r="C36" s="216" t="s">
        <v>257</v>
      </c>
    </row>
    <row r="37" spans="1:3">
      <c r="A37" s="219"/>
      <c r="B37" s="216" t="s">
        <v>220</v>
      </c>
      <c r="C37" s="216" t="s">
        <v>258</v>
      </c>
    </row>
    <row r="38" spans="1:3">
      <c r="A38" s="219"/>
      <c r="B38" s="216" t="s">
        <v>259</v>
      </c>
      <c r="C38" s="216" t="s">
        <v>260</v>
      </c>
    </row>
    <row r="39" spans="1:3">
      <c r="A39" s="219"/>
      <c r="B39" s="216"/>
      <c r="C39" s="216"/>
    </row>
    <row r="40" spans="1:3">
      <c r="A40" s="217" t="s">
        <v>261</v>
      </c>
      <c r="B40" s="216" t="s">
        <v>262</v>
      </c>
      <c r="C40" s="216" t="s">
        <v>263</v>
      </c>
    </row>
    <row r="41" spans="1:3">
      <c r="A41" s="218"/>
      <c r="B41" s="216" t="s">
        <v>218</v>
      </c>
      <c r="C41" s="216" t="s">
        <v>264</v>
      </c>
    </row>
    <row r="42" ht="28" spans="1:3">
      <c r="A42" s="222" t="s">
        <v>47</v>
      </c>
      <c r="B42" s="216" t="s">
        <v>218</v>
      </c>
      <c r="C42" s="216" t="s">
        <v>265</v>
      </c>
    </row>
    <row r="43" spans="1:3">
      <c r="A43" s="219"/>
      <c r="B43" s="214" t="s">
        <v>266</v>
      </c>
      <c r="C43" s="214" t="s">
        <v>267</v>
      </c>
    </row>
    <row r="44" spans="1:3">
      <c r="A44" s="219"/>
      <c r="B44" s="214" t="s">
        <v>240</v>
      </c>
      <c r="C44" s="214" t="s">
        <v>268</v>
      </c>
    </row>
    <row r="45" spans="1:3">
      <c r="A45" s="219"/>
      <c r="B45" s="214" t="s">
        <v>246</v>
      </c>
      <c r="C45" s="214" t="s">
        <v>269</v>
      </c>
    </row>
    <row r="46" ht="28" spans="1:3">
      <c r="A46" s="219"/>
      <c r="B46" s="214" t="s">
        <v>246</v>
      </c>
      <c r="C46" s="214" t="s">
        <v>270</v>
      </c>
    </row>
    <row r="47" spans="1:3">
      <c r="A47" s="219"/>
    </row>
    <row r="48" ht="98" spans="1:3">
      <c r="A48" s="222" t="s">
        <v>271</v>
      </c>
      <c r="B48" s="214" t="s">
        <v>218</v>
      </c>
      <c r="C48" s="214" t="s">
        <v>272</v>
      </c>
    </row>
    <row r="49" ht="84" spans="1:3">
      <c r="A49" s="219"/>
      <c r="B49" s="214" t="s">
        <v>273</v>
      </c>
      <c r="C49" s="214" t="s">
        <v>274</v>
      </c>
    </row>
    <row r="50" ht="28" spans="1:3">
      <c r="A50" s="220"/>
      <c r="B50" s="214" t="s">
        <v>275</v>
      </c>
      <c r="C50" s="214" t="s">
        <v>276</v>
      </c>
    </row>
    <row r="51" spans="1:3">
      <c r="A51" s="214" t="s">
        <v>38</v>
      </c>
      <c r="B51" s="214" t="s">
        <v>277</v>
      </c>
      <c r="C51" s="214" t="s">
        <v>278</v>
      </c>
    </row>
    <row r="52" spans="1:3">
      <c r="A52" s="222" t="s">
        <v>279</v>
      </c>
      <c r="B52" s="214" t="s">
        <v>220</v>
      </c>
      <c r="C52" s="214" t="s">
        <v>280</v>
      </c>
    </row>
    <row r="53" spans="1:3">
      <c r="A53" s="220"/>
      <c r="B53" s="214" t="s">
        <v>273</v>
      </c>
      <c r="C53" s="214" t="s">
        <v>281</v>
      </c>
    </row>
    <row r="54" spans="1:3">
      <c r="A54" s="214" t="s">
        <v>54</v>
      </c>
      <c r="B54" s="214" t="s">
        <v>222</v>
      </c>
      <c r="C54" s="214" t="s">
        <v>282</v>
      </c>
    </row>
    <row r="55" spans="1:3">
      <c r="A55" s="222" t="s">
        <v>283</v>
      </c>
      <c r="B55" s="214" t="s">
        <v>284</v>
      </c>
      <c r="C55" s="214" t="s">
        <v>285</v>
      </c>
    </row>
    <row r="56" spans="1:3">
      <c r="A56" s="220"/>
      <c r="B56" s="214" t="s">
        <v>246</v>
      </c>
      <c r="C56" s="214" t="s">
        <v>286</v>
      </c>
    </row>
    <row r="57" spans="1:3">
      <c r="A57" s="214" t="s">
        <v>287</v>
      </c>
      <c r="B57" s="214" t="s">
        <v>288</v>
      </c>
      <c r="C57" s="214" t="s">
        <v>289</v>
      </c>
    </row>
    <row r="58" spans="1:3">
      <c r="A58" s="214" t="s">
        <v>10</v>
      </c>
      <c r="B58" s="214" t="s">
        <v>273</v>
      </c>
      <c r="C58" s="214" t="s">
        <v>290</v>
      </c>
    </row>
    <row r="59" spans="1:3">
      <c r="A59" s="214" t="s">
        <v>291</v>
      </c>
      <c r="B59" s="214" t="s">
        <v>292</v>
      </c>
      <c r="C59" s="214" t="s">
        <v>293</v>
      </c>
    </row>
    <row r="60" spans="1:3">
      <c r="A60" s="214" t="s">
        <v>294</v>
      </c>
      <c r="B60" s="214" t="s">
        <v>295</v>
      </c>
      <c r="C60" s="214" t="s">
        <v>296</v>
      </c>
    </row>
    <row r="61" spans="1:3">
      <c r="A61" s="214" t="s">
        <v>297</v>
      </c>
      <c r="B61" s="214" t="s">
        <v>295</v>
      </c>
      <c r="C61" s="214" t="s">
        <v>298</v>
      </c>
    </row>
    <row r="62" spans="1:3">
      <c r="A62" s="214" t="s">
        <v>299</v>
      </c>
      <c r="B62" s="214" t="s">
        <v>242</v>
      </c>
      <c r="C62" s="214" t="s">
        <v>300</v>
      </c>
    </row>
    <row r="63" ht="28" spans="1:3">
      <c r="A63" s="214" t="s">
        <v>301</v>
      </c>
      <c r="B63" s="214" t="s">
        <v>275</v>
      </c>
      <c r="C63" s="214" t="s">
        <v>302</v>
      </c>
    </row>
    <row r="64" ht="28" spans="1:3">
      <c r="A64" s="214" t="s">
        <v>303</v>
      </c>
      <c r="B64" s="214" t="s">
        <v>275</v>
      </c>
      <c r="C64" s="214" t="s">
        <v>304</v>
      </c>
    </row>
    <row r="65" ht="140" spans="1:3">
      <c r="A65" s="214" t="s">
        <v>305</v>
      </c>
      <c r="B65" s="214" t="s">
        <v>306</v>
      </c>
      <c r="C65" s="214" t="s">
        <v>307</v>
      </c>
    </row>
    <row r="66" spans="1:3">
      <c r="A66" s="214" t="s">
        <v>10</v>
      </c>
      <c r="B66" s="214" t="s">
        <v>244</v>
      </c>
      <c r="C66" s="214" t="s">
        <v>308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5"/>
  <sheetViews>
    <sheetView tabSelected="1" zoomScale="190" zoomScaleNormal="190" workbookViewId="0">
      <pane ySplit="1" topLeftCell="A2" activePane="bottomLeft" state="frozen"/>
      <selection/>
      <selection pane="bottomLeft" activeCell="G14" sqref="G14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309</v>
      </c>
      <c r="B1" s="204"/>
      <c r="C1" s="204"/>
      <c r="D1" s="205"/>
      <c r="E1" s="206"/>
      <c r="F1" s="200" t="s">
        <v>310</v>
      </c>
    </row>
    <row r="2" s="201" customFormat="1" spans="1:7">
      <c r="A2" s="207" t="s">
        <v>203</v>
      </c>
      <c r="B2" s="208"/>
      <c r="C2" s="201" t="s">
        <v>311</v>
      </c>
      <c r="D2" s="201" t="s">
        <v>312</v>
      </c>
      <c r="E2" s="142"/>
      <c r="F2" s="201" t="s">
        <v>203</v>
      </c>
      <c r="G2" s="201" t="s">
        <v>313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314</v>
      </c>
      <c r="G3" s="119" t="s">
        <v>315</v>
      </c>
    </row>
    <row r="4" spans="1:7">
      <c r="A4" s="210"/>
      <c r="B4" s="119">
        <v>15</v>
      </c>
      <c r="C4" s="119">
        <v>163</v>
      </c>
      <c r="D4" s="119"/>
      <c r="F4" s="119" t="s">
        <v>316</v>
      </c>
      <c r="G4" s="119" t="s">
        <v>317</v>
      </c>
    </row>
    <row r="5" spans="1:7">
      <c r="A5" s="210"/>
      <c r="B5" s="119">
        <v>17</v>
      </c>
      <c r="C5" s="119">
        <v>158</v>
      </c>
      <c r="D5" s="119"/>
      <c r="F5" s="119" t="s">
        <v>318</v>
      </c>
      <c r="G5" s="119" t="s">
        <v>319</v>
      </c>
    </row>
    <row r="6" spans="1:7">
      <c r="A6" s="210"/>
      <c r="B6" s="119">
        <v>22</v>
      </c>
      <c r="C6" s="119">
        <v>70</v>
      </c>
      <c r="D6" s="119"/>
      <c r="F6" s="211" t="s">
        <v>320</v>
      </c>
      <c r="G6" s="119" t="s">
        <v>321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322</v>
      </c>
    </row>
    <row r="8" spans="1:7">
      <c r="A8" s="210"/>
      <c r="B8" s="119">
        <v>29</v>
      </c>
      <c r="C8" s="119">
        <v>135</v>
      </c>
      <c r="D8" s="119"/>
      <c r="F8" s="119" t="s">
        <v>323</v>
      </c>
      <c r="G8" s="119" t="s">
        <v>324</v>
      </c>
    </row>
    <row r="9" spans="1:7">
      <c r="A9" s="212"/>
      <c r="B9" s="119">
        <v>31</v>
      </c>
      <c r="C9" s="119">
        <v>89</v>
      </c>
      <c r="D9" s="119"/>
      <c r="F9" s="119" t="s">
        <v>325</v>
      </c>
      <c r="G9" s="119" t="s">
        <v>326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327</v>
      </c>
      <c r="G10" s="119" t="s">
        <v>328</v>
      </c>
    </row>
    <row r="11" spans="1:7">
      <c r="A11" s="210"/>
      <c r="B11" s="119">
        <v>7</v>
      </c>
      <c r="C11" s="119">
        <v>119</v>
      </c>
      <c r="D11" s="119"/>
      <c r="F11" s="211" t="s">
        <v>329</v>
      </c>
      <c r="G11" s="119" t="s">
        <v>330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322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324</v>
      </c>
    </row>
    <row r="14" spans="1:7">
      <c r="A14" s="212"/>
      <c r="B14" s="119">
        <v>31</v>
      </c>
      <c r="C14" s="119">
        <v>119</v>
      </c>
      <c r="D14" s="119">
        <v>38</v>
      </c>
      <c r="F14" s="119" t="s">
        <v>331</v>
      </c>
      <c r="G14" s="119" t="s">
        <v>332</v>
      </c>
    </row>
    <row r="15" spans="1:7">
      <c r="A15" s="4" t="s">
        <v>329</v>
      </c>
      <c r="C15" s="4">
        <v>15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7"/>
  <sheetViews>
    <sheetView zoomScale="70" zoomScaleNormal="70" workbookViewId="0">
      <pane xSplit="1" ySplit="2" topLeftCell="B27" activePane="bottomRight" state="frozen"/>
      <selection/>
      <selection pane="topRight"/>
      <selection pane="bottomLeft"/>
      <selection pane="bottomRight" activeCell="BJ62" sqref="BJ62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333</v>
      </c>
      <c r="B1" s="178" t="s">
        <v>334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335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336</v>
      </c>
      <c r="AK1" s="181"/>
      <c r="AL1" s="181"/>
      <c r="AM1" s="180" t="s">
        <v>337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338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339</v>
      </c>
      <c r="BJ2" s="186" t="s">
        <v>340</v>
      </c>
      <c r="BK2" s="186" t="s">
        <v>341</v>
      </c>
      <c r="BL2" s="186" t="s">
        <v>342</v>
      </c>
      <c r="BM2" s="187" t="s">
        <v>343</v>
      </c>
      <c r="BN2" s="187" t="s">
        <v>344</v>
      </c>
      <c r="BO2" s="187" t="s">
        <v>345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 t="shared" ref="BI3:BI53" si="0">SUM(B3:BC3)</f>
        <v>3</v>
      </c>
      <c r="BJ3" s="188" cm="1">
        <f t="array" ref="BJ3">SUMPRODUCT(--(B3:BC3=INT(B3:BC3)),--(B3:BC3&gt;0))</f>
        <v>2</v>
      </c>
      <c r="BK3" s="188" cm="1">
        <f t="array" ref="BK3">MAX(FREQUENCY(IF((B3:BC3=INT(B3:BC3))*(B3:BC3&gt;0),COLUMN(B3:BC3)),IF((B3:BC3&lt;&gt;INT(B3:BC3))+(B3:BC3&lt;=0),COLUMN(B3:BC3))))</f>
        <v>1</v>
      </c>
      <c r="BL3" s="189" cm="1">
        <f t="array" ref="BL3">SUMPRODUCT(--(B3:BA3=INT(B3:BA3)),--(B3:BA3&gt;0))/52*100%</f>
        <v>0.0384615384615385</v>
      </c>
      <c r="BM3" s="190">
        <f t="shared" ref="BM3:BM53" si="1">RANK(BI3,BI$3:BI$53,0)</f>
        <v>31</v>
      </c>
      <c r="BN3" s="190">
        <f t="shared" ref="BN3:BN53" si="2">RANK(BJ3,BJ$3:BJ$53,0)</f>
        <v>32</v>
      </c>
      <c r="BO3" s="190">
        <f t="shared" ref="BO3:BO53" si="3">RANK(BK3,BK$3:BK$53,0)</f>
        <v>23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>
        <v>1</v>
      </c>
      <c r="BC4" s="120"/>
      <c r="BD4" s="120"/>
      <c r="BE4" s="120"/>
      <c r="BF4" s="120"/>
      <c r="BG4" s="120"/>
      <c r="BH4" s="120"/>
      <c r="BI4" s="188">
        <f t="shared" si="0"/>
        <v>24</v>
      </c>
      <c r="BJ4" s="188" cm="1">
        <f t="array" ref="BJ4">SUMPRODUCT(--(B4:BC4=INT(B4:BC4)),--(B4:BC4&gt;0))</f>
        <v>22</v>
      </c>
      <c r="BK4" s="188" cm="1">
        <f t="array" ref="BK4">MAX(FREQUENCY(IF((B4:BC4=INT(B4:BC4))*(B4:BC4&gt;0),COLUMN(B4:BC4)),IF((B4:BC4&lt;&gt;INT(B4:BC4))+(B4:BC4&lt;=0),COLUMN(B4:BC4))))</f>
        <v>6</v>
      </c>
      <c r="BL4" s="189" cm="1">
        <f t="array" ref="BL4">SUMPRODUCT(--(B4:BA4=INT(B4:BA4)),--(B4:BA4&gt;0))/52*100%</f>
        <v>0.403846153846154</v>
      </c>
      <c r="BM4" s="190">
        <f t="shared" si="1"/>
        <v>8</v>
      </c>
      <c r="BN4" s="190">
        <f t="shared" si="2"/>
        <v>5</v>
      </c>
      <c r="BO4" s="190">
        <f t="shared" si="3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88">
        <f t="shared" si="0"/>
        <v>2</v>
      </c>
      <c r="BJ5" s="188" cm="1">
        <f t="array" ref="BJ5">SUMPRODUCT(--(B5:BC5=INT(B5:BC5)),--(B5:BC5&gt;0))</f>
        <v>2</v>
      </c>
      <c r="BK5" s="188" cm="1">
        <f t="array" ref="BK5">MAX(FREQUENCY(IF((B5:BC5=INT(B5:BC5))*(B5:BC5&gt;0),COLUMN(B5:BC5)),IF((B5:BC5&lt;&gt;INT(B5:BC5))+(B5:BC5&lt;=0),COLUMN(B5:BC5))))</f>
        <v>1</v>
      </c>
      <c r="BL5" s="189" cm="1">
        <f t="array" ref="BL5">SUMPRODUCT(--(B5:BA5=INT(B5:BA5)),--(B5:BA5&gt;0))/52*100%</f>
        <v>0.0384615384615385</v>
      </c>
      <c r="BM5" s="190">
        <f t="shared" si="1"/>
        <v>33</v>
      </c>
      <c r="BN5" s="190">
        <f t="shared" si="2"/>
        <v>32</v>
      </c>
      <c r="BO5" s="190">
        <f t="shared" si="3"/>
        <v>23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0"/>
        <v>9</v>
      </c>
      <c r="BJ6" s="188" cm="1">
        <f t="array" ref="BJ6">SUMPRODUCT(--(B6:BC6=INT(B6:BC6)),--(B6:BC6&gt;0))</f>
        <v>9</v>
      </c>
      <c r="BK6" s="188" cm="1">
        <f t="array" ref="BK6">MAX(FREQUENCY(IF((B6:BC6=INT(B6:BC6))*(B6:BC6&gt;0),COLUMN(B6:BC6)),IF((B6:BC6&lt;&gt;INT(B6:BC6))+(B6:BC6&lt;=0),COLUMN(B6:BC6))))</f>
        <v>3</v>
      </c>
      <c r="BL6" s="189" cm="1">
        <f t="array" ref="BL6">SUMPRODUCT(--(B6:BA6=INT(B6:BA6)),--(B6:BA6&gt;0))/52*100%</f>
        <v>0.173076923076923</v>
      </c>
      <c r="BM6" s="190">
        <f t="shared" si="1"/>
        <v>20</v>
      </c>
      <c r="BN6" s="190">
        <f t="shared" si="2"/>
        <v>20</v>
      </c>
      <c r="BO6" s="190">
        <f t="shared" si="3"/>
        <v>12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>
        <v>1</v>
      </c>
      <c r="BC7" s="120">
        <v>1</v>
      </c>
      <c r="BD7" s="120"/>
      <c r="BE7" s="120"/>
      <c r="BF7" s="120"/>
      <c r="BG7" s="120"/>
      <c r="BH7" s="120"/>
      <c r="BI7" s="188">
        <f t="shared" si="0"/>
        <v>7</v>
      </c>
      <c r="BJ7" s="188" cm="1">
        <f t="array" ref="BJ7">SUMPRODUCT(--(B7:BC7=INT(B7:BC7)),--(B7:BC7&gt;0))</f>
        <v>6</v>
      </c>
      <c r="BK7" s="188" cm="1">
        <f t="array" ref="BK7">MAX(FREQUENCY(IF((B7:BC7=INT(B7:BC7))*(B7:BC7&gt;0),COLUMN(B7:BC7)),IF((B7:BC7&lt;&gt;INT(B7:BC7))+(B7:BC7&lt;=0),COLUMN(B7:BC7))))</f>
        <v>2</v>
      </c>
      <c r="BL7" s="189" cm="1">
        <f t="array" ref="BL7">SUMPRODUCT(--(B7:BA7=INT(B7:BA7)),--(B7:BA7&gt;0))/52*100%</f>
        <v>0.0769230769230769</v>
      </c>
      <c r="BM7" s="190">
        <f t="shared" si="1"/>
        <v>23</v>
      </c>
      <c r="BN7" s="190">
        <f t="shared" si="2"/>
        <v>23</v>
      </c>
      <c r="BO7" s="190">
        <f t="shared" si="3"/>
        <v>17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/>
      <c r="BF8" s="120"/>
      <c r="BG8" s="120"/>
      <c r="BH8" s="120"/>
      <c r="BI8" s="188">
        <f t="shared" si="0"/>
        <v>27</v>
      </c>
      <c r="BJ8" s="188" cm="1">
        <f t="array" ref="BJ8">SUMPRODUCT(--(B8:BC8=INT(B8:BC8)),--(B8:BC8&gt;0))</f>
        <v>27</v>
      </c>
      <c r="BK8" s="188" cm="1">
        <f t="array" ref="BK8">MAX(FREQUENCY(IF((B8:BC8=INT(B8:BC8))*(B8:BC8&gt;0),COLUMN(B8:BC8)),IF((B8:BC8&lt;&gt;INT(B8:BC8))+(B8:BC8&lt;=0),COLUMN(B8:BC8))))</f>
        <v>5</v>
      </c>
      <c r="BL8" s="189" cm="1">
        <f t="array" ref="BL8">SUMPRODUCT(--(B8:BA8=INT(B8:BA8)),--(B8:BA8&gt;0))/52*100%</f>
        <v>0.519230769230769</v>
      </c>
      <c r="BM8" s="190">
        <f t="shared" si="1"/>
        <v>4</v>
      </c>
      <c r="BN8" s="190">
        <f t="shared" si="2"/>
        <v>3</v>
      </c>
      <c r="BO8" s="190">
        <f t="shared" si="3"/>
        <v>4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>
        <v>2</v>
      </c>
      <c r="BD9" s="120"/>
      <c r="BE9" s="120"/>
      <c r="BF9" s="120"/>
      <c r="BG9" s="120"/>
      <c r="BH9" s="120"/>
      <c r="BI9" s="188">
        <f t="shared" si="0"/>
        <v>22</v>
      </c>
      <c r="BJ9" s="188" cm="1">
        <f t="array" ref="BJ9">SUMPRODUCT(--(B9:BC9=INT(B9:BC9)),--(B9:BC9&gt;0))</f>
        <v>21</v>
      </c>
      <c r="BK9" s="188" cm="1">
        <f t="array" ref="BK9">MAX(FREQUENCY(IF((B9:BC9=INT(B9:BC9))*(B9:BC9&gt;0),COLUMN(B9:BC9)),IF((B9:BC9&lt;&gt;INT(B9:BC9))+(B9:BC9&lt;=0),COLUMN(B9:BC9))))</f>
        <v>3</v>
      </c>
      <c r="BL9" s="189" cm="1">
        <f t="array" ref="BL9">SUMPRODUCT(--(B9:BA9=INT(B9:BA9)),--(B9:BA9&gt;0))/52*100%</f>
        <v>0.384615384615385</v>
      </c>
      <c r="BM9" s="190">
        <f t="shared" si="1"/>
        <v>10</v>
      </c>
      <c r="BN9" s="190">
        <f t="shared" si="2"/>
        <v>7</v>
      </c>
      <c r="BO9" s="190">
        <f t="shared" si="3"/>
        <v>12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88">
        <f t="shared" si="0"/>
        <v>1</v>
      </c>
      <c r="BJ10" s="188" cm="1">
        <f t="array" ref="BJ10">SUMPRODUCT(--(B10:BC10=INT(B10:BC10)),--(B10:BC10&gt;0))</f>
        <v>1</v>
      </c>
      <c r="BK10" s="188" cm="1">
        <f t="array" ref="BK10">MAX(FREQUENCY(IF((B10:BC10=INT(B10:BC10))*(B10:BC10&gt;0),COLUMN(B10:BC10)),IF((B10:BC10&lt;&gt;INT(B10:BC10))+(B10:BC10&lt;=0),COLUMN(B10:BC10))))</f>
        <v>1</v>
      </c>
      <c r="BL10" s="189" cm="1">
        <f t="array" ref="BL10">SUMPRODUCT(--(B10:BA10=INT(B10:BA10)),--(B10:BA10&gt;0))/52*100%</f>
        <v>0.0192307692307692</v>
      </c>
      <c r="BM10" s="190">
        <f t="shared" si="1"/>
        <v>36</v>
      </c>
      <c r="BN10" s="190">
        <f t="shared" si="2"/>
        <v>36</v>
      </c>
      <c r="BO10" s="190">
        <f t="shared" si="3"/>
        <v>23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>
        <v>2</v>
      </c>
      <c r="BD11" s="120"/>
      <c r="BE11" s="120"/>
      <c r="BF11" s="120"/>
      <c r="BG11" s="120"/>
      <c r="BH11" s="120"/>
      <c r="BI11" s="188">
        <f t="shared" si="0"/>
        <v>15</v>
      </c>
      <c r="BJ11" s="188" cm="1">
        <f t="array" ref="BJ11">SUMPRODUCT(--(B11:BC11=INT(B11:BC11)),--(B11:BC11&gt;0))</f>
        <v>13</v>
      </c>
      <c r="BK11" s="188" cm="1">
        <f t="array" ref="BK11">MAX(FREQUENCY(IF((B11:BC11=INT(B11:BC11))*(B11:BC11&gt;0),COLUMN(B11:BC11)),IF((B11:BC11&lt;&gt;INT(B11:BC11))+(B11:BC11&lt;=0),COLUMN(B11:BC11))))</f>
        <v>2</v>
      </c>
      <c r="BL11" s="189" cm="1">
        <f t="array" ref="BL11">SUMPRODUCT(--(B11:BA11=INT(B11:BA11)),--(B11:BA11&gt;0))/52*100%</f>
        <v>0.230769230769231</v>
      </c>
      <c r="BM11" s="190">
        <f t="shared" si="1"/>
        <v>14</v>
      </c>
      <c r="BN11" s="190">
        <f t="shared" si="2"/>
        <v>15</v>
      </c>
      <c r="BO11" s="190">
        <f t="shared" si="3"/>
        <v>17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0"/>
        <v>2</v>
      </c>
      <c r="BJ12" s="188" cm="1">
        <f t="array" ref="BJ12">SUMPRODUCT(--(B12:BC12=INT(B12:BC12)),--(B12:BC12&gt;0))</f>
        <v>2</v>
      </c>
      <c r="BK12" s="188" cm="1">
        <f t="array" ref="BK12">MAX(FREQUENCY(IF((B12:BC12=INT(B12:BC12))*(B12:BC12&gt;0),COLUMN(B12:BC12)),IF((B12:BC12&lt;&gt;INT(B12:BC12))+(B12:BC12&lt;=0),COLUMN(B12:BC12))))</f>
        <v>1</v>
      </c>
      <c r="BL12" s="189" cm="1">
        <f t="array" ref="BL12">SUMPRODUCT(--(B12:BA12=INT(B12:BA12)),--(B12:BA12&gt;0))/52*100%</f>
        <v>0.0384615384615385</v>
      </c>
      <c r="BM12" s="190">
        <f t="shared" si="1"/>
        <v>33</v>
      </c>
      <c r="BN12" s="190">
        <f t="shared" si="2"/>
        <v>32</v>
      </c>
      <c r="BO12" s="190">
        <f t="shared" si="3"/>
        <v>23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>
        <v>2</v>
      </c>
      <c r="BD13" s="120"/>
      <c r="BE13" s="120"/>
      <c r="BF13" s="120"/>
      <c r="BG13" s="120"/>
      <c r="BH13" s="120"/>
      <c r="BI13" s="188">
        <f t="shared" si="0"/>
        <v>15</v>
      </c>
      <c r="BJ13" s="188" cm="1">
        <f t="array" ref="BJ13">SUMPRODUCT(--(B13:BC13=INT(B13:BC13)),--(B13:BC13&gt;0))</f>
        <v>14</v>
      </c>
      <c r="BK13" s="188" cm="1">
        <f t="array" ref="BK13">MAX(FREQUENCY(IF((B13:BC13=INT(B13:BC13))*(B13:BC13&gt;0),COLUMN(B13:BC13)),IF((B13:BC13&lt;&gt;INT(B13:BC13))+(B13:BC13&lt;=0),COLUMN(B13:BC13))))</f>
        <v>1</v>
      </c>
      <c r="BL13" s="189" cm="1">
        <f t="array" ref="BL13">SUMPRODUCT(--(B13:BA13=INT(B13:BA13)),--(B13:BA13&gt;0))/52*100%</f>
        <v>0.25</v>
      </c>
      <c r="BM13" s="190">
        <f t="shared" si="1"/>
        <v>14</v>
      </c>
      <c r="BN13" s="190">
        <f t="shared" si="2"/>
        <v>14</v>
      </c>
      <c r="BO13" s="190">
        <f t="shared" si="3"/>
        <v>23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0"/>
        <v>5</v>
      </c>
      <c r="BJ14" s="188" cm="1">
        <f t="array" ref="BJ14">SUMPRODUCT(--(B14:BC14=INT(B14:BC14)),--(B14:BC14&gt;0))</f>
        <v>5</v>
      </c>
      <c r="BK14" s="188" cm="1">
        <f t="array" ref="BK14">MAX(FREQUENCY(IF((B14:BC14=INT(B14:BC14))*(B14:BC14&gt;0),COLUMN(B14:BC14)),IF((B14:BC14&lt;&gt;INT(B14:BC14))+(B14:BC14&lt;=0),COLUMN(B14:BC14))))</f>
        <v>1</v>
      </c>
      <c r="BL14" s="189" cm="1">
        <f t="array" ref="BL14">SUMPRODUCT(--(B14:BA14=INT(B14:BA14)),--(B14:BA14&gt;0))/52*100%</f>
        <v>0.0961538461538462</v>
      </c>
      <c r="BM14" s="190">
        <f t="shared" si="1"/>
        <v>26</v>
      </c>
      <c r="BN14" s="190">
        <f t="shared" si="2"/>
        <v>25</v>
      </c>
      <c r="BO14" s="190">
        <f t="shared" si="3"/>
        <v>23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>
        <v>2</v>
      </c>
      <c r="BD15" s="120"/>
      <c r="BE15" s="120"/>
      <c r="BF15" s="120"/>
      <c r="BG15" s="120"/>
      <c r="BH15" s="120"/>
      <c r="BI15" s="188">
        <f t="shared" si="0"/>
        <v>25</v>
      </c>
      <c r="BJ15" s="188" cm="1">
        <f t="array" ref="BJ15">SUMPRODUCT(--(B15:BC15=INT(B15:BC15)),--(B15:BC15&gt;0))</f>
        <v>21</v>
      </c>
      <c r="BK15" s="188" cm="1">
        <f t="array" ref="BK15">MAX(FREQUENCY(IF((B15:BC15=INT(B15:BC15))*(B15:BC15&gt;0),COLUMN(B15:BC15)),IF((B15:BC15&lt;&gt;INT(B15:BC15))+(B15:BC15&lt;=0),COLUMN(B15:BC15))))</f>
        <v>4</v>
      </c>
      <c r="BL15" s="189" cm="1">
        <f t="array" ref="BL15">SUMPRODUCT(--(B15:BA15=INT(B15:BA15)),--(B15:BA15&gt;0))/52*100%</f>
        <v>0.384615384615385</v>
      </c>
      <c r="BM15" s="190">
        <f t="shared" si="1"/>
        <v>7</v>
      </c>
      <c r="BN15" s="190">
        <f t="shared" si="2"/>
        <v>7</v>
      </c>
      <c r="BO15" s="190">
        <f t="shared" si="3"/>
        <v>9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/>
      <c r="BG16" s="120"/>
      <c r="BH16" s="120"/>
      <c r="BI16" s="188">
        <f t="shared" si="0"/>
        <v>3</v>
      </c>
      <c r="BJ16" s="188" cm="1">
        <f t="array" ref="BJ16">SUMPRODUCT(--(B16:BC16=INT(B16:BC16)),--(B16:BC16&gt;0))</f>
        <v>3</v>
      </c>
      <c r="BK16" s="188" cm="1">
        <f t="array" ref="BK16">MAX(FREQUENCY(IF((B16:BC16=INT(B16:BC16))*(B16:BC16&gt;0),COLUMN(B16:BC16)),IF((B16:BC16&lt;&gt;INT(B16:BC16))+(B16:BC16&lt;=0),COLUMN(B16:BC16))))</f>
        <v>1</v>
      </c>
      <c r="BL16" s="189" cm="1">
        <f t="array" ref="BL16">SUMPRODUCT(--(B16:BA16=INT(B16:BA16)),--(B16:BA16&gt;0))/52*100%</f>
        <v>0.0576923076923077</v>
      </c>
      <c r="BM16" s="190">
        <f t="shared" si="1"/>
        <v>31</v>
      </c>
      <c r="BN16" s="190">
        <f t="shared" si="2"/>
        <v>30</v>
      </c>
      <c r="BO16" s="190">
        <f t="shared" si="3"/>
        <v>23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88">
        <f t="shared" si="0"/>
        <v>4</v>
      </c>
      <c r="BJ17" s="188" cm="1">
        <f t="array" ref="BJ17">SUMPRODUCT(--(B17:BC17=INT(B17:BC17)),--(B17:BC17&gt;0))</f>
        <v>4</v>
      </c>
      <c r="BK17" s="188" cm="1">
        <f t="array" ref="BK17">MAX(FREQUENCY(IF((B17:BC17=INT(B17:BC17))*(B17:BC17&gt;0),COLUMN(B17:BC17)),IF((B17:BC17&lt;&gt;INT(B17:BC17))+(B17:BC17&lt;=0),COLUMN(B17:BC17))))</f>
        <v>1</v>
      </c>
      <c r="BL17" s="189" cm="1">
        <f t="array" ref="BL17">SUMPRODUCT(--(B17:BA17=INT(B17:BA17)),--(B17:BA17&gt;0))/52*100%</f>
        <v>0.0769230769230769</v>
      </c>
      <c r="BM17" s="190">
        <f t="shared" si="1"/>
        <v>28</v>
      </c>
      <c r="BN17" s="190">
        <f t="shared" si="2"/>
        <v>28</v>
      </c>
      <c r="BO17" s="190">
        <f t="shared" si="3"/>
        <v>23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0"/>
        <v>1</v>
      </c>
      <c r="BJ18" s="188" cm="1">
        <f t="array" ref="BJ18">SUMPRODUCT(--(B18:BC18=INT(B18:BC18)),--(B18:BC18&gt;0))</f>
        <v>1</v>
      </c>
      <c r="BK18" s="188" cm="1">
        <f t="array" ref="BK18">MAX(FREQUENCY(IF((B18:BC18=INT(B18:BC18))*(B18:BC18&gt;0),COLUMN(B18:BC18)),IF((B18:BC18&lt;&gt;INT(B18:BC18))+(B18:BC18&lt;=0),COLUMN(B18:BC18))))</f>
        <v>1</v>
      </c>
      <c r="BL18" s="189" cm="1">
        <f t="array" ref="BL18">SUMPRODUCT(--(B18:BA18=INT(B18:BA18)),--(B18:BA18&gt;0))/52*100%</f>
        <v>0.0192307692307692</v>
      </c>
      <c r="BM18" s="190">
        <f t="shared" si="1"/>
        <v>36</v>
      </c>
      <c r="BN18" s="190">
        <f t="shared" si="2"/>
        <v>36</v>
      </c>
      <c r="BO18" s="190">
        <f t="shared" si="3"/>
        <v>23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/>
      <c r="BF19" s="120"/>
      <c r="BG19" s="120"/>
      <c r="BH19" s="120"/>
      <c r="BI19" s="188">
        <f t="shared" si="0"/>
        <v>9</v>
      </c>
      <c r="BJ19" s="188" cm="1">
        <f t="array" ref="BJ19">SUMPRODUCT(--(B19:BC19=INT(B19:BC19)),--(B19:BC19&gt;0))</f>
        <v>8</v>
      </c>
      <c r="BK19" s="188" cm="1">
        <f t="array" ref="BK19">MAX(FREQUENCY(IF((B19:BC19=INT(B19:BC19))*(B19:BC19&gt;0),COLUMN(B19:BC19)),IF((B19:BC19&lt;&gt;INT(B19:BC19))+(B19:BC19&lt;=0),COLUMN(B19:BC19))))</f>
        <v>2</v>
      </c>
      <c r="BL19" s="189" cm="1">
        <f t="array" ref="BL19">SUMPRODUCT(--(B19:BA19=INT(B19:BA19)),--(B19:BA19&gt;0))/52*100%</f>
        <v>0.153846153846154</v>
      </c>
      <c r="BM19" s="190">
        <f t="shared" si="1"/>
        <v>20</v>
      </c>
      <c r="BN19" s="190">
        <f t="shared" si="2"/>
        <v>21</v>
      </c>
      <c r="BO19" s="190">
        <f t="shared" si="3"/>
        <v>17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0"/>
        <v>1</v>
      </c>
      <c r="BJ20" s="188" cm="1">
        <f t="array" ref="BJ20">SUMPRODUCT(--(B20:BC20=INT(B20:BC20)),--(B20:BC20&gt;0))</f>
        <v>1</v>
      </c>
      <c r="BK20" s="188" cm="1">
        <f t="array" ref="BK20">MAX(FREQUENCY(IF((B20:BC20=INT(B20:BC20))*(B20:BC20&gt;0),COLUMN(B20:BC20)),IF((B20:BC20&lt;&gt;INT(B20:BC20))+(B20:BC20&lt;=0),COLUMN(B20:BC20))))</f>
        <v>1</v>
      </c>
      <c r="BL20" s="189" cm="1">
        <f t="array" ref="BL20">SUMPRODUCT(--(B20:BA20=INT(B20:BA20)),--(B20:BA20&gt;0))/52*100%</f>
        <v>0.0192307692307692</v>
      </c>
      <c r="BM20" s="190">
        <f t="shared" si="1"/>
        <v>36</v>
      </c>
      <c r="BN20" s="190">
        <f t="shared" si="2"/>
        <v>36</v>
      </c>
      <c r="BO20" s="190">
        <f t="shared" si="3"/>
        <v>23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>
        <v>1</v>
      </c>
      <c r="BC21" s="120"/>
      <c r="BD21" s="120"/>
      <c r="BE21" s="120"/>
      <c r="BF21" s="120"/>
      <c r="BG21" s="120"/>
      <c r="BH21" s="120"/>
      <c r="BI21" s="188">
        <f t="shared" si="0"/>
        <v>6</v>
      </c>
      <c r="BJ21" s="188" cm="1">
        <f t="array" ref="BJ21">SUMPRODUCT(--(B21:BC21=INT(B21:BC21)),--(B21:BC21&gt;0))</f>
        <v>5</v>
      </c>
      <c r="BK21" s="188" cm="1">
        <f t="array" ref="BK21">MAX(FREQUENCY(IF((B21:BC21=INT(B21:BC21))*(B21:BC21&gt;0),COLUMN(B21:BC21)),IF((B21:BC21&lt;&gt;INT(B21:BC21))+(B21:BC21&lt;=0),COLUMN(B21:BC21))))</f>
        <v>1</v>
      </c>
      <c r="BL21" s="189" cm="1">
        <f t="array" ref="BL21">SUMPRODUCT(--(B21:BA21=INT(B21:BA21)),--(B21:BA21&gt;0))/52*100%</f>
        <v>0.0769230769230769</v>
      </c>
      <c r="BM21" s="190">
        <f t="shared" si="1"/>
        <v>24</v>
      </c>
      <c r="BN21" s="190">
        <f t="shared" si="2"/>
        <v>25</v>
      </c>
      <c r="BO21" s="190">
        <f t="shared" si="3"/>
        <v>23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>
        <v>2</v>
      </c>
      <c r="BD22" s="120"/>
      <c r="BE22" s="120"/>
      <c r="BF22" s="120"/>
      <c r="BG22" s="120"/>
      <c r="BH22" s="120"/>
      <c r="BI22" s="188">
        <f t="shared" si="0"/>
        <v>23</v>
      </c>
      <c r="BJ22" s="188" cm="1">
        <f t="array" ref="BJ22">SUMPRODUCT(--(B22:BC22=INT(B22:BC22)),--(B22:BC22&gt;0))</f>
        <v>19</v>
      </c>
      <c r="BK22" s="188" cm="1">
        <f t="array" ref="BK22">MAX(FREQUENCY(IF((B22:BC22=INT(B22:BC22))*(B22:BC22&gt;0),COLUMN(B22:BC22)),IF((B22:BC22&lt;&gt;INT(B22:BC22))+(B22:BC22&lt;=0),COLUMN(B22:BC22))))</f>
        <v>5</v>
      </c>
      <c r="BL22" s="189" cm="1">
        <f t="array" ref="BL22">SUMPRODUCT(--(B22:BA22=INT(B22:BA22)),--(B22:BA22&gt;0))/52*100%</f>
        <v>0.346153846153846</v>
      </c>
      <c r="BM22" s="190">
        <f t="shared" si="1"/>
        <v>9</v>
      </c>
      <c r="BN22" s="190">
        <f t="shared" si="2"/>
        <v>10</v>
      </c>
      <c r="BO22" s="190">
        <f t="shared" si="3"/>
        <v>4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0"/>
        <v>1</v>
      </c>
      <c r="BJ23" s="188" cm="1">
        <f t="array" ref="BJ23">SUMPRODUCT(--(B23:BC23=INT(B23:BC23)),--(B23:BC23&gt;0))</f>
        <v>1</v>
      </c>
      <c r="BK23" s="188" cm="1">
        <f t="array" ref="BK23">MAX(FREQUENCY(IF((B23:BC23=INT(B23:BC23))*(B23:BC23&gt;0),COLUMN(B23:BC23)),IF((B23:BC23&lt;&gt;INT(B23:BC23))+(B23:BC23&lt;=0),COLUMN(B23:BC23))))</f>
        <v>1</v>
      </c>
      <c r="BL23" s="189" cm="1">
        <f t="array" ref="BL23">SUMPRODUCT(--(B23:BA23=INT(B23:BA23)),--(B23:BA23&gt;0))/52*100%</f>
        <v>0.0192307692307692</v>
      </c>
      <c r="BM23" s="190">
        <f t="shared" si="1"/>
        <v>36</v>
      </c>
      <c r="BN23" s="190">
        <f t="shared" si="2"/>
        <v>36</v>
      </c>
      <c r="BO23" s="190">
        <f t="shared" si="3"/>
        <v>23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>
        <v>1</v>
      </c>
      <c r="BC24" s="120"/>
      <c r="BD24" s="120"/>
      <c r="BE24" s="120"/>
      <c r="BF24" s="120"/>
      <c r="BG24" s="120"/>
      <c r="BH24" s="120"/>
      <c r="BI24" s="188">
        <f t="shared" si="0"/>
        <v>12</v>
      </c>
      <c r="BJ24" s="188" cm="1">
        <f t="array" ref="BJ24">SUMPRODUCT(--(B24:BC24=INT(B24:BC24)),--(B24:BC24&gt;0))</f>
        <v>12</v>
      </c>
      <c r="BK24" s="188" cm="1">
        <f t="array" ref="BK24">MAX(FREQUENCY(IF((B24:BC24=INT(B24:BC24))*(B24:BC24&gt;0),COLUMN(B24:BC24)),IF((B24:BC24&lt;&gt;INT(B24:BC24))+(B24:BC24&lt;=0),COLUMN(B24:BC24))))</f>
        <v>3</v>
      </c>
      <c r="BL24" s="189" cm="1">
        <f t="array" ref="BL24">SUMPRODUCT(--(B24:BA24=INT(B24:BA24)),--(B24:BA24&gt;0))/52*100%</f>
        <v>0.211538461538462</v>
      </c>
      <c r="BM24" s="190">
        <f t="shared" si="1"/>
        <v>17</v>
      </c>
      <c r="BN24" s="190">
        <f t="shared" si="2"/>
        <v>17</v>
      </c>
      <c r="BO24" s="190">
        <f t="shared" si="3"/>
        <v>12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0"/>
        <v>1</v>
      </c>
      <c r="BJ25" s="188" cm="1">
        <f t="array" ref="BJ25">SUMPRODUCT(--(B25:BC25=INT(B25:BC25)),--(B25:BC25&gt;0))</f>
        <v>1</v>
      </c>
      <c r="BK25" s="188" cm="1">
        <f t="array" ref="BK25">MAX(FREQUENCY(IF((B25:BC25=INT(B25:BC25))*(B25:BC25&gt;0),COLUMN(B25:BC25)),IF((B25:BC25&lt;&gt;INT(B25:BC25))+(B25:BC25&lt;=0),COLUMN(B25:BC25))))</f>
        <v>1</v>
      </c>
      <c r="BL25" s="189" cm="1">
        <f t="array" ref="BL25">SUMPRODUCT(--(B25:BA25=INT(B25:BA25)),--(B25:BA25&gt;0))/52*100%</f>
        <v>0.0192307692307692</v>
      </c>
      <c r="BM25" s="190">
        <f t="shared" si="1"/>
        <v>36</v>
      </c>
      <c r="BN25" s="190">
        <f t="shared" si="2"/>
        <v>36</v>
      </c>
      <c r="BO25" s="190">
        <f t="shared" si="3"/>
        <v>23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0"/>
        <v>0</v>
      </c>
      <c r="BJ26" s="188" cm="1">
        <f t="array" ref="BJ26">SUMPRODUCT(--(B26:BC26=INT(B26:BC26)),--(B26:BC26&gt;0))</f>
        <v>0</v>
      </c>
      <c r="BK26" s="188" cm="1">
        <f t="array" ref="BK26">MAX(FREQUENCY(IF((B26:BC26=INT(B26:BC26))*(B26:BC26&gt;0),COLUMN(B26:BC26)),IF((B26:BC26&lt;&gt;INT(B26:BC26))+(B26:BC26&lt;=0),COLUMN(B26:BC26))))</f>
        <v>0</v>
      </c>
      <c r="BL26" s="189" cm="1">
        <f t="array" ref="BL26">SUMPRODUCT(--(B26:BA26=INT(B26:BA26)),--(B26:BA26&gt;0))/52*100%</f>
        <v>0</v>
      </c>
      <c r="BM26" s="190">
        <f t="shared" si="1"/>
        <v>43</v>
      </c>
      <c r="BN26" s="190">
        <f t="shared" si="2"/>
        <v>43</v>
      </c>
      <c r="BO26" s="190">
        <f t="shared" si="3"/>
        <v>43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0"/>
        <v>0</v>
      </c>
      <c r="BJ27" s="188" cm="1">
        <f t="array" ref="BJ27">SUMPRODUCT(--(B27:BC27=INT(B27:BC27)),--(B27:BC27&gt;0))</f>
        <v>0</v>
      </c>
      <c r="BK27" s="188" cm="1">
        <f t="array" ref="BK27">MAX(FREQUENCY(IF((B27:BC27=INT(B27:BC27))*(B27:BC27&gt;0),COLUMN(B27:BC27)),IF((B27:BC27&lt;&gt;INT(B27:BC27))+(B27:BC27&lt;=0),COLUMN(B27:BC27))))</f>
        <v>0</v>
      </c>
      <c r="BL27" s="189" cm="1">
        <f t="array" ref="BL27">SUMPRODUCT(--(B27:BA27=INT(B27:BA27)),--(B27:BA27&gt;0))/52*100%</f>
        <v>0</v>
      </c>
      <c r="BM27" s="190">
        <f t="shared" si="1"/>
        <v>43</v>
      </c>
      <c r="BN27" s="190">
        <f t="shared" si="2"/>
        <v>43</v>
      </c>
      <c r="BO27" s="190">
        <f t="shared" si="3"/>
        <v>43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>
        <v>1</v>
      </c>
      <c r="BD28" s="120"/>
      <c r="BE28" s="120"/>
      <c r="BF28" s="120"/>
      <c r="BG28" s="120"/>
      <c r="BH28" s="120"/>
      <c r="BI28" s="188">
        <f t="shared" si="0"/>
        <v>16</v>
      </c>
      <c r="BJ28" s="188" cm="1">
        <f t="array" ref="BJ28">SUMPRODUCT(--(B28:BC28=INT(B28:BC28)),--(B28:BC28&gt;0))</f>
        <v>15</v>
      </c>
      <c r="BK28" s="188" cm="1">
        <f t="array" ref="BK28">MAX(FREQUENCY(IF((B28:BC28=INT(B28:BC28))*(B28:BC28&gt;0),COLUMN(B28:BC28)),IF((B28:BC28&lt;&gt;INT(B28:BC28))+(B28:BC28&lt;=0),COLUMN(B28:BC28))))</f>
        <v>2</v>
      </c>
      <c r="BL28" s="189" cm="1">
        <f t="array" ref="BL28">SUMPRODUCT(--(B28:BA28=INT(B28:BA28)),--(B28:BA28&gt;0))/52*100%</f>
        <v>0.269230769230769</v>
      </c>
      <c r="BM28" s="190">
        <f t="shared" si="1"/>
        <v>12</v>
      </c>
      <c r="BN28" s="190">
        <f t="shared" si="2"/>
        <v>12</v>
      </c>
      <c r="BO28" s="190">
        <f t="shared" si="3"/>
        <v>17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120"/>
      <c r="BG29" s="120"/>
      <c r="BH29" s="120"/>
      <c r="BI29" s="188">
        <f t="shared" si="0"/>
        <v>11</v>
      </c>
      <c r="BJ29" s="188" cm="1">
        <f t="array" ref="BJ29">SUMPRODUCT(--(B29:BC29=INT(B29:BC29)),--(B29:BC29&gt;0))</f>
        <v>11</v>
      </c>
      <c r="BK29" s="188" cm="1">
        <f t="array" ref="BK29">MAX(FREQUENCY(IF((B29:BC29=INT(B29:BC29))*(B29:BC29&gt;0),COLUMN(B29:BC29)),IF((B29:BC29&lt;&gt;INT(B29:BC29))+(B29:BC29&lt;=0),COLUMN(B29:BC29))))</f>
        <v>5</v>
      </c>
      <c r="BL29" s="189" cm="1">
        <f t="array" ref="BL29">SUMPRODUCT(--(B29:BA29=INT(B29:BA29)),--(B29:BA29&gt;0))/52*100%</f>
        <v>0.211538461538462</v>
      </c>
      <c r="BM29" s="190">
        <f t="shared" si="1"/>
        <v>19</v>
      </c>
      <c r="BN29" s="190">
        <f t="shared" si="2"/>
        <v>18</v>
      </c>
      <c r="BO29" s="190">
        <f t="shared" si="3"/>
        <v>4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>
        <v>1</v>
      </c>
      <c r="BC30" s="120"/>
      <c r="BD30" s="120"/>
      <c r="BE30" s="120"/>
      <c r="BF30" s="120"/>
      <c r="BG30" s="120"/>
      <c r="BH30" s="120"/>
      <c r="BI30" s="188">
        <f t="shared" si="0"/>
        <v>9</v>
      </c>
      <c r="BJ30" s="188" cm="1">
        <f t="array" ref="BJ30">SUMPRODUCT(--(B30:BC30=INT(B30:BC30)),--(B30:BC30&gt;0))</f>
        <v>8</v>
      </c>
      <c r="BK30" s="188" cm="1">
        <f t="array" ref="BK30">MAX(FREQUENCY(IF((B30:BC30=INT(B30:BC30))*(B30:BC30&gt;0),COLUMN(B30:BC30)),IF((B30:BC30&lt;&gt;INT(B30:BC30))+(B30:BC30&lt;=0),COLUMN(B30:BC30))))</f>
        <v>4</v>
      </c>
      <c r="BL30" s="189" cm="1">
        <f t="array" ref="BL30">SUMPRODUCT(--(B30:BA30=INT(B30:BA30)),--(B30:BA30&gt;0))/52*100%</f>
        <v>0.134615384615385</v>
      </c>
      <c r="BM30" s="190">
        <f t="shared" si="1"/>
        <v>20</v>
      </c>
      <c r="BN30" s="190">
        <f t="shared" si="2"/>
        <v>21</v>
      </c>
      <c r="BO30" s="190">
        <f t="shared" si="3"/>
        <v>9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>
        <v>1</v>
      </c>
      <c r="BD31" s="120"/>
      <c r="BE31" s="120"/>
      <c r="BF31" s="120"/>
      <c r="BG31" s="120"/>
      <c r="BH31" s="120"/>
      <c r="BI31" s="188">
        <f t="shared" si="0"/>
        <v>14</v>
      </c>
      <c r="BJ31" s="188" cm="1">
        <f t="array" ref="BJ31">SUMPRODUCT(--(B31:BC31=INT(B31:BC31)),--(B31:BC31&gt;0))</f>
        <v>13</v>
      </c>
      <c r="BK31" s="188" cm="1">
        <f t="array" ref="BK31">MAX(FREQUENCY(IF((B31:BC31=INT(B31:BC31))*(B31:BC31&gt;0),COLUMN(B31:BC31)),IF((B31:BC31&lt;&gt;INT(B31:BC31))+(B31:BC31&lt;=0),COLUMN(B31:BC31))))</f>
        <v>2</v>
      </c>
      <c r="BL31" s="189" cm="1">
        <f t="array" ref="BL31">SUMPRODUCT(--(B31:BA31=INT(B31:BA31)),--(B31:BA31&gt;0))/52*100%</f>
        <v>0.230769230769231</v>
      </c>
      <c r="BM31" s="190">
        <f t="shared" si="1"/>
        <v>16</v>
      </c>
      <c r="BN31" s="190">
        <f t="shared" si="2"/>
        <v>15</v>
      </c>
      <c r="BO31" s="190">
        <f t="shared" si="3"/>
        <v>17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>
        <v>1</v>
      </c>
      <c r="BD32" s="120"/>
      <c r="BE32" s="120"/>
      <c r="BF32" s="120"/>
      <c r="BG32" s="120"/>
      <c r="BH32" s="120"/>
      <c r="BI32" s="188">
        <f t="shared" si="0"/>
        <v>16</v>
      </c>
      <c r="BJ32" s="188" cm="1">
        <f t="array" ref="BJ32">SUMPRODUCT(--(B32:BC32=INT(B32:BC32)),--(B32:BC32&gt;0))</f>
        <v>15</v>
      </c>
      <c r="BK32" s="188" cm="1">
        <f t="array" ref="BK32">MAX(FREQUENCY(IF((B32:BC32=INT(B32:BC32))*(B32:BC32&gt;0),COLUMN(B32:BC32)),IF((B32:BC32&lt;&gt;INT(B32:BC32))+(B32:BC32&lt;=0),COLUMN(B32:BC32))))</f>
        <v>3</v>
      </c>
      <c r="BL32" s="189" cm="1">
        <f t="array" ref="BL32">SUMPRODUCT(--(B32:BA32=INT(B32:BA32)),--(B32:BA32&gt;0))/52*100%</f>
        <v>0.269230769230769</v>
      </c>
      <c r="BM32" s="190">
        <f t="shared" si="1"/>
        <v>12</v>
      </c>
      <c r="BN32" s="190">
        <f t="shared" si="2"/>
        <v>12</v>
      </c>
      <c r="BO32" s="190">
        <f t="shared" si="3"/>
        <v>12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>
        <v>1</v>
      </c>
      <c r="BC33" s="120"/>
      <c r="BD33" s="120"/>
      <c r="BE33" s="120"/>
      <c r="BF33" s="120"/>
      <c r="BG33" s="120"/>
      <c r="BH33" s="120"/>
      <c r="BI33" s="188">
        <f t="shared" si="0"/>
        <v>6</v>
      </c>
      <c r="BJ33" s="188" cm="1">
        <f t="array" ref="BJ33">SUMPRODUCT(--(B33:BC33=INT(B33:BC33)),--(B33:BC33&gt;0))</f>
        <v>6</v>
      </c>
      <c r="BK33" s="188" cm="1">
        <f t="array" ref="BK33">MAX(FREQUENCY(IF((B33:BC33=INT(B33:BC33))*(B33:BC33&gt;0),COLUMN(B33:BC33)),IF((B33:BC33&lt;&gt;INT(B33:BC33))+(B33:BC33&lt;=0),COLUMN(B33:BC33))))</f>
        <v>1</v>
      </c>
      <c r="BL33" s="189" cm="1">
        <f t="array" ref="BL33">SUMPRODUCT(--(B33:BA33=INT(B33:BA33)),--(B33:BA33&gt;0))/52*100%</f>
        <v>0.0961538461538462</v>
      </c>
      <c r="BM33" s="190">
        <f t="shared" si="1"/>
        <v>24</v>
      </c>
      <c r="BN33" s="190">
        <f t="shared" si="2"/>
        <v>23</v>
      </c>
      <c r="BO33" s="190">
        <f t="shared" si="3"/>
        <v>23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0"/>
        <v>0</v>
      </c>
      <c r="BJ34" s="188" cm="1">
        <f t="array" ref="BJ34">SUMPRODUCT(--(B34:BC34=INT(B34:BC34)),--(B34:BC34&gt;0))</f>
        <v>0</v>
      </c>
      <c r="BK34" s="188" cm="1">
        <f t="array" ref="BK34">MAX(FREQUENCY(IF((B34:BC34=INT(B34:BC34))*(B34:BC34&gt;0),COLUMN(B34:BC34)),IF((B34:BC34&lt;&gt;INT(B34:BC34))+(B34:BC34&lt;=0),COLUMN(B34:BC34))))</f>
        <v>0</v>
      </c>
      <c r="BL34" s="189" cm="1">
        <f t="array" ref="BL34">SUMPRODUCT(--(B34:BA34=INT(B34:BA34)),--(B34:BA34&gt;0))/52*100%</f>
        <v>0</v>
      </c>
      <c r="BM34" s="190">
        <f t="shared" si="1"/>
        <v>43</v>
      </c>
      <c r="BN34" s="190">
        <f t="shared" si="2"/>
        <v>43</v>
      </c>
      <c r="BO34" s="190">
        <f t="shared" si="3"/>
        <v>43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0"/>
        <v>0</v>
      </c>
      <c r="BJ35" s="188" cm="1">
        <f t="array" ref="BJ35">SUMPRODUCT(--(B35:BC35=INT(B35:BC35)),--(B35:BC35&gt;0))</f>
        <v>0</v>
      </c>
      <c r="BK35" s="188" cm="1">
        <f t="array" ref="BK35">MAX(FREQUENCY(IF((B35:BC35=INT(B35:BC35))*(B35:BC35&gt;0),COLUMN(B35:BC35)),IF((B35:BC35&lt;&gt;INT(B35:BC35))+(B35:BC35&lt;=0),COLUMN(B35:BC35))))</f>
        <v>0</v>
      </c>
      <c r="BL35" s="189" cm="1">
        <f t="array" ref="BL35">SUMPRODUCT(--(B35:BA35=INT(B35:BA35)),--(B35:BA35&gt;0))/52*100%</f>
        <v>0</v>
      </c>
      <c r="BM35" s="190">
        <f t="shared" si="1"/>
        <v>43</v>
      </c>
      <c r="BN35" s="190">
        <f t="shared" si="2"/>
        <v>43</v>
      </c>
      <c r="BO35" s="190">
        <f t="shared" si="3"/>
        <v>43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88">
        <f t="shared" si="0"/>
        <v>1</v>
      </c>
      <c r="BJ36" s="188" cm="1">
        <f t="array" ref="BJ36">SUMPRODUCT(--(B36:BC36=INT(B36:BC36)),--(B36:BC36&gt;0))</f>
        <v>1</v>
      </c>
      <c r="BK36" s="188" cm="1">
        <f t="array" ref="BK36">MAX(FREQUENCY(IF((B36:BC36=INT(B36:BC36))*(B36:BC36&gt;0),COLUMN(B36:BC36)),IF((B36:BC36&lt;&gt;INT(B36:BC36))+(B36:BC36&lt;=0),COLUMN(B36:BC36))))</f>
        <v>1</v>
      </c>
      <c r="BL36" s="189" cm="1">
        <f t="array" ref="BL36">SUMPRODUCT(--(B36:BA36=INT(B36:BA36)),--(B36:BA36&gt;0))/52*100%</f>
        <v>0.0192307692307692</v>
      </c>
      <c r="BM36" s="190">
        <f t="shared" si="1"/>
        <v>36</v>
      </c>
      <c r="BN36" s="190">
        <f t="shared" si="2"/>
        <v>36</v>
      </c>
      <c r="BO36" s="190">
        <f t="shared" si="3"/>
        <v>23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/>
      <c r="BF37" s="120"/>
      <c r="BG37" s="120"/>
      <c r="BH37" s="120"/>
      <c r="BI37" s="188">
        <f t="shared" si="0"/>
        <v>12</v>
      </c>
      <c r="BJ37" s="188" cm="1">
        <f t="array" ref="BJ37">SUMPRODUCT(--(B37:BC37=INT(B37:BC37)),--(B37:BC37&gt;0))</f>
        <v>11</v>
      </c>
      <c r="BK37" s="188" cm="1">
        <f t="array" ref="BK37">MAX(FREQUENCY(IF((B37:BC37=INT(B37:BC37))*(B37:BC37&gt;0),COLUMN(B37:BC37)),IF((B37:BC37&lt;&gt;INT(B37:BC37))+(B37:BC37&lt;=0),COLUMN(B37:BC37))))</f>
        <v>3</v>
      </c>
      <c r="BL37" s="189" cm="1">
        <f t="array" ref="BL37">SUMPRODUCT(--(B37:BA37=INT(B37:BA37)),--(B37:BA37&gt;0))/52*100%</f>
        <v>0.211538461538462</v>
      </c>
      <c r="BM37" s="190">
        <f t="shared" si="1"/>
        <v>17</v>
      </c>
      <c r="BN37" s="190">
        <f t="shared" si="2"/>
        <v>18</v>
      </c>
      <c r="BO37" s="190">
        <f t="shared" si="3"/>
        <v>12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88">
        <f t="shared" si="0"/>
        <v>4</v>
      </c>
      <c r="BJ38" s="188" cm="1">
        <f t="array" ref="BJ38">SUMPRODUCT(--(B38:BC38=INT(B38:BC38)),--(B38:BC38&gt;0))</f>
        <v>3</v>
      </c>
      <c r="BK38" s="188" cm="1">
        <f t="array" ref="BK38">MAX(FREQUENCY(IF((B38:BC38=INT(B38:BC38))*(B38:BC38&gt;0),COLUMN(B38:BC38)),IF((B38:BC38&lt;&gt;INT(B38:BC38))+(B38:BC38&lt;=0),COLUMN(B38:BC38))))</f>
        <v>1</v>
      </c>
      <c r="BL38" s="189" cm="1">
        <f t="array" ref="BL38">SUMPRODUCT(--(B38:BA38=INT(B38:BA38)),--(B38:BA38&gt;0))/52*100%</f>
        <v>0.0576923076923077</v>
      </c>
      <c r="BM38" s="190">
        <f t="shared" si="1"/>
        <v>28</v>
      </c>
      <c r="BN38" s="190">
        <f t="shared" si="2"/>
        <v>30</v>
      </c>
      <c r="BO38" s="190">
        <f t="shared" si="3"/>
        <v>23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0"/>
        <v>0</v>
      </c>
      <c r="BJ39" s="188" cm="1">
        <f t="array" ref="BJ39">SUMPRODUCT(--(B39:BC39=INT(B39:BC39)),--(B39:BC39&gt;0))</f>
        <v>0</v>
      </c>
      <c r="BK39" s="188" cm="1">
        <f t="array" ref="BK39">MAX(FREQUENCY(IF((B39:BC39=INT(B39:BC39))*(B39:BC39&gt;0),COLUMN(B39:BC39)),IF((B39:BC39&lt;&gt;INT(B39:BC39))+(B39:BC39&lt;=0),COLUMN(B39:BC39))))</f>
        <v>0</v>
      </c>
      <c r="BL39" s="189" cm="1">
        <f t="array" ref="BL39">SUMPRODUCT(--(B39:BA39=INT(B39:BA39)),--(B39:BA39&gt;0))/52*100%</f>
        <v>0</v>
      </c>
      <c r="BM39" s="192">
        <f t="shared" si="1"/>
        <v>43</v>
      </c>
      <c r="BN39" s="192">
        <f t="shared" si="2"/>
        <v>43</v>
      </c>
      <c r="BO39" s="192">
        <f t="shared" si="3"/>
        <v>43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>
        <v>1</v>
      </c>
      <c r="BC40" s="120">
        <v>2</v>
      </c>
      <c r="BD40" s="120"/>
      <c r="BE40" s="120"/>
      <c r="BF40" s="120"/>
      <c r="BG40" s="120"/>
      <c r="BH40" s="120"/>
      <c r="BI40" s="188">
        <f t="shared" si="0"/>
        <v>36</v>
      </c>
      <c r="BJ40" s="188" cm="1">
        <f t="array" ref="BJ40">SUMPRODUCT(--(B40:BC40=INT(B40:BC40)),--(B40:BC40&gt;0))</f>
        <v>30</v>
      </c>
      <c r="BK40" s="188" cm="1">
        <f t="array" ref="BK40">MAX(FREQUENCY(IF((B40:BC40=INT(B40:BC40))*(B40:BC40&gt;0),COLUMN(B40:BC40)),IF((B40:BC40&lt;&gt;INT(B40:BC40))+(B40:BC40&lt;=0),COLUMN(B40:BC40))))</f>
        <v>12</v>
      </c>
      <c r="BL40" s="189" cm="1">
        <f t="array" ref="BL40">SUMPRODUCT(--(B40:BA40=INT(B40:BA40)),--(B40:BA40&gt;0))/52*100%</f>
        <v>0.538461538461538</v>
      </c>
      <c r="BM40" s="190">
        <f t="shared" si="1"/>
        <v>2</v>
      </c>
      <c r="BN40" s="190">
        <f t="shared" si="2"/>
        <v>2</v>
      </c>
      <c r="BO40" s="190">
        <f t="shared" si="3"/>
        <v>2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>
        <v>2</v>
      </c>
      <c r="BC41" s="120">
        <v>1</v>
      </c>
      <c r="BD41" s="120"/>
      <c r="BE41" s="120"/>
      <c r="BF41" s="120"/>
      <c r="BG41" s="120"/>
      <c r="BH41" s="120"/>
      <c r="BI41" s="188">
        <f t="shared" si="0"/>
        <v>26</v>
      </c>
      <c r="BJ41" s="188" cm="1">
        <f t="array" ref="BJ41">SUMPRODUCT(--(B41:BC41=INT(B41:BC41)),--(B41:BC41&gt;0))</f>
        <v>20</v>
      </c>
      <c r="BK41" s="188" cm="1">
        <f t="array" ref="BK41">MAX(FREQUENCY(IF((B41:BC41=INT(B41:BC41))*(B41:BC41&gt;0),COLUMN(B41:BC41)),IF((B41:BC41&lt;&gt;INT(B41:BC41))+(B41:BC41&lt;=0),COLUMN(B41:BC41))))</f>
        <v>4</v>
      </c>
      <c r="BL41" s="189" cm="1">
        <f t="array" ref="BL41">SUMPRODUCT(--(B41:BA41=INT(B41:BA41)),--(B41:BA41&gt;0))/52*100%</f>
        <v>0.346153846153846</v>
      </c>
      <c r="BM41" s="190">
        <f t="shared" si="1"/>
        <v>5</v>
      </c>
      <c r="BN41" s="190">
        <f t="shared" si="2"/>
        <v>9</v>
      </c>
      <c r="BO41" s="190">
        <f t="shared" si="3"/>
        <v>9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>
        <v>4</v>
      </c>
      <c r="BD42" s="120"/>
      <c r="BE42" s="120"/>
      <c r="BF42" s="120"/>
      <c r="BG42" s="120"/>
      <c r="BH42" s="120"/>
      <c r="BI42" s="188">
        <f t="shared" si="0"/>
        <v>34</v>
      </c>
      <c r="BJ42" s="188" cm="1">
        <f t="array" ref="BJ42">SUMPRODUCT(--(B42:BC42=INT(B42:BC42)),--(B42:BC42&gt;0))</f>
        <v>24</v>
      </c>
      <c r="BK42" s="188" cm="1">
        <f t="array" ref="BK42">MAX(FREQUENCY(IF((B42:BC42=INT(B42:BC42))*(B42:BC42&gt;0),COLUMN(B42:BC42)),IF((B42:BC42&lt;&gt;INT(B42:BC42))+(B42:BC42&lt;=0),COLUMN(B42:BC42))))</f>
        <v>5</v>
      </c>
      <c r="BL42" s="189" cm="1">
        <f t="array" ref="BL42">SUMPRODUCT(--(B42:BA42=INT(B42:BA42)),--(B42:BA42&gt;0))/52*100%</f>
        <v>0.442307692307692</v>
      </c>
      <c r="BM42" s="190">
        <f t="shared" si="1"/>
        <v>3</v>
      </c>
      <c r="BN42" s="190">
        <f t="shared" si="2"/>
        <v>4</v>
      </c>
      <c r="BO42" s="190">
        <f t="shared" si="3"/>
        <v>4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0"/>
        <v>0</v>
      </c>
      <c r="BJ43" s="188" cm="1">
        <f t="array" ref="BJ43">SUMPRODUCT(--(B43:BC43=INT(B43:BC43)),--(B43:BC43&gt;0))</f>
        <v>0</v>
      </c>
      <c r="BK43" s="188" cm="1">
        <f t="array" ref="BK43">MAX(FREQUENCY(IF((B43:BC43=INT(B43:BC43))*(B43:BC43&gt;0),COLUMN(B43:BC43)),IF((B43:BC43&lt;&gt;INT(B43:BC43))+(B43:BC43&lt;=0),COLUMN(B43:BC43))))</f>
        <v>0</v>
      </c>
      <c r="BL43" s="189" cm="1">
        <f t="array" ref="BL43">SUMPRODUCT(--(B43:BA43=INT(B43:BA43)),--(B43:BA43&gt;0))/52*100%</f>
        <v>0</v>
      </c>
      <c r="BM43" s="190">
        <f t="shared" si="1"/>
        <v>43</v>
      </c>
      <c r="BN43" s="190">
        <f t="shared" si="2"/>
        <v>43</v>
      </c>
      <c r="BO43" s="190">
        <f t="shared" si="3"/>
        <v>43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>
        <v>1</v>
      </c>
      <c r="BD44" s="120"/>
      <c r="BE44" s="120"/>
      <c r="BF44" s="120"/>
      <c r="BG44" s="120"/>
      <c r="BH44" s="120"/>
      <c r="BI44" s="188">
        <f t="shared" si="0"/>
        <v>26</v>
      </c>
      <c r="BJ44" s="188" cm="1">
        <f t="array" ref="BJ44">SUMPRODUCT(--(B44:BC44=INT(B44:BC44)),--(B44:BC44&gt;0))</f>
        <v>22</v>
      </c>
      <c r="BK44" s="188" cm="1">
        <f t="array" ref="BK44">MAX(FREQUENCY(IF((B44:BC44=INT(B44:BC44))*(B44:BC44&gt;0),COLUMN(B44:BC44)),IF((B44:BC44&lt;&gt;INT(B44:BC44))+(B44:BC44&lt;=0),COLUMN(B44:BC44))))</f>
        <v>5</v>
      </c>
      <c r="BL44" s="189" cm="1">
        <f t="array" ref="BL44">SUMPRODUCT(--(B44:BA44=INT(B44:BA44)),--(B44:BA44&gt;0))/52*100%</f>
        <v>0.403846153846154</v>
      </c>
      <c r="BM44" s="190">
        <f t="shared" si="1"/>
        <v>5</v>
      </c>
      <c r="BN44" s="190">
        <f t="shared" si="2"/>
        <v>5</v>
      </c>
      <c r="BO44" s="190">
        <f t="shared" si="3"/>
        <v>4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0"/>
        <v>0</v>
      </c>
      <c r="BJ45" s="188" cm="1">
        <f t="array" ref="BJ45">SUMPRODUCT(--(B45:BC45=INT(B45:BC45)),--(B45:BC45&gt;0))</f>
        <v>0</v>
      </c>
      <c r="BK45" s="188" cm="1">
        <f t="array" ref="BK45">MAX(FREQUENCY(IF((B45:BC45=INT(B45:BC45))*(B45:BC45&gt;0),COLUMN(B45:BC45)),IF((B45:BC45&lt;&gt;INT(B45:BC45))+(B45:BC45&lt;=0),COLUMN(B45:BC45))))</f>
        <v>0</v>
      </c>
      <c r="BL45" s="189" cm="1">
        <f t="array" ref="BL45">SUMPRODUCT(--(B45:BA45=INT(B45:BA45)),--(B45:BA45&gt;0))/52*100%</f>
        <v>0</v>
      </c>
      <c r="BM45" s="190">
        <f t="shared" si="1"/>
        <v>43</v>
      </c>
      <c r="BN45" s="190">
        <f t="shared" si="2"/>
        <v>43</v>
      </c>
      <c r="BO45" s="190">
        <f t="shared" si="3"/>
        <v>43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>
        <v>2</v>
      </c>
      <c r="BC46" s="120">
        <v>2</v>
      </c>
      <c r="BD46" s="120"/>
      <c r="BE46" s="120"/>
      <c r="BF46" s="120"/>
      <c r="BG46" s="120"/>
      <c r="BH46" s="120"/>
      <c r="BI46" s="188">
        <f t="shared" si="0"/>
        <v>50</v>
      </c>
      <c r="BJ46" s="188" cm="1">
        <f t="array" ref="BJ46">SUMPRODUCT(--(B46:BC46=INT(B46:BC46)),--(B46:BC46&gt;0))</f>
        <v>37</v>
      </c>
      <c r="BK46" s="188" cm="1">
        <f t="array" ref="BK46">MAX(FREQUENCY(IF((B46:BC46=INT(B46:BC46))*(B46:BC46&gt;0),COLUMN(B46:BC46)),IF((B46:BC46&lt;&gt;INT(B46:BC46))+(B46:BC46&lt;=0),COLUMN(B46:BC46))))</f>
        <v>13</v>
      </c>
      <c r="BL46" s="189" cm="1">
        <f t="array" ref="BL46">SUMPRODUCT(--(B46:BA46=INT(B46:BA46)),--(B46:BA46&gt;0))/52*100%</f>
        <v>0.673076923076923</v>
      </c>
      <c r="BM46" s="190">
        <f t="shared" si="1"/>
        <v>1</v>
      </c>
      <c r="BN46" s="190">
        <f t="shared" si="2"/>
        <v>1</v>
      </c>
      <c r="BO46" s="190">
        <f t="shared" si="3"/>
        <v>1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0"/>
        <v>0</v>
      </c>
      <c r="BJ47" s="188" cm="1">
        <f t="array" ref="BJ47">SUMPRODUCT(--(B47:BC47=INT(B47:BC47)),--(B47:BC47&gt;0))</f>
        <v>0</v>
      </c>
      <c r="BK47" s="188" cm="1">
        <f t="array" ref="BK47">MAX(FREQUENCY(IF((B47:BC47=INT(B47:BC47))*(B47:BC47&gt;0),COLUMN(B47:BC47)),IF((B47:BC47&lt;&gt;INT(B47:BC47))+(B47:BC47&lt;=0),COLUMN(B47:BC47))))</f>
        <v>0</v>
      </c>
      <c r="BL47" s="189" cm="1">
        <f t="array" ref="BL47">SUMPRODUCT(--(B47:BA47=INT(B47:BA47)),--(B47:BA47&gt;0))/52*100%</f>
        <v>0</v>
      </c>
      <c r="BM47" s="190">
        <f t="shared" si="1"/>
        <v>43</v>
      </c>
      <c r="BN47" s="190">
        <f t="shared" si="2"/>
        <v>43</v>
      </c>
      <c r="BO47" s="190">
        <f t="shared" si="3"/>
        <v>43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/>
      <c r="BF48" s="120"/>
      <c r="BG48" s="120"/>
      <c r="BH48" s="120"/>
      <c r="BI48" s="188">
        <f t="shared" si="0"/>
        <v>21</v>
      </c>
      <c r="BJ48" s="188" cm="1">
        <f t="array" ref="BJ48">SUMPRODUCT(--(B48:BC48=INT(B48:BC48)),--(B48:BC48&gt;0))</f>
        <v>17</v>
      </c>
      <c r="BK48" s="188" cm="1">
        <f t="array" ref="BK48">MAX(FREQUENCY(IF((B48:BC48=INT(B48:BC48))*(B48:BC48&gt;0),COLUMN(B48:BC48)),IF((B48:BC48&lt;&gt;INT(B48:BC48))+(B48:BC48&lt;=0),COLUMN(B48:BC48))))</f>
        <v>2</v>
      </c>
      <c r="BL48" s="189" cm="1">
        <f t="array" ref="BL48">SUMPRODUCT(--(B48:BA48=INT(B48:BA48)),--(B48:BA48&gt;0))/52*100%</f>
        <v>0.326923076923077</v>
      </c>
      <c r="BM48" s="190">
        <f t="shared" si="1"/>
        <v>11</v>
      </c>
      <c r="BN48" s="190">
        <f t="shared" si="2"/>
        <v>11</v>
      </c>
      <c r="BO48" s="190">
        <f t="shared" si="3"/>
        <v>17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0"/>
        <v>4</v>
      </c>
      <c r="BJ49" s="188" cm="1">
        <f t="array" ref="BJ49">SUMPRODUCT(--(B49:BC49=INT(B49:BC49)),--(B49:BC49&gt;0))</f>
        <v>4</v>
      </c>
      <c r="BK49" s="188" cm="1">
        <f t="array" ref="BK49">MAX(FREQUENCY(IF((B49:BC49=INT(B49:BC49))*(B49:BC49&gt;0),COLUMN(B49:BC49)),IF((B49:BC49&lt;&gt;INT(B49:BC49))+(B49:BC49&lt;=0),COLUMN(B49:BC49))))</f>
        <v>1</v>
      </c>
      <c r="BL49" s="189" cm="1">
        <f t="array" ref="BL49">SUMPRODUCT(--(B49:BA49=INT(B49:BA49)),--(B49:BA49&gt;0))/52*100%</f>
        <v>0.0769230769230769</v>
      </c>
      <c r="BM49" s="190">
        <f t="shared" si="1"/>
        <v>28</v>
      </c>
      <c r="BN49" s="190">
        <f t="shared" si="2"/>
        <v>28</v>
      </c>
      <c r="BO49" s="190">
        <f t="shared" si="3"/>
        <v>23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0"/>
        <v>5</v>
      </c>
      <c r="BJ50" s="188" cm="1">
        <f t="array" ref="BJ50">SUMPRODUCT(--(B50:BC50=INT(B50:BC50)),--(B50:BC50&gt;0))</f>
        <v>5</v>
      </c>
      <c r="BK50" s="188" cm="1">
        <f t="array" ref="BK50">MAX(FREQUENCY(IF((B50:BC50=INT(B50:BC50))*(B50:BC50&gt;0),COLUMN(B50:BC50)),IF((B50:BC50&lt;&gt;INT(B50:BC50))+(B50:BC50&lt;=0),COLUMN(B50:BC50))))</f>
        <v>1</v>
      </c>
      <c r="BL50" s="189" cm="1">
        <f t="array" ref="BL50">SUMPRODUCT(--(B50:BA50=INT(B50:BA50)),--(B50:BA50&gt;0))/52*100%</f>
        <v>0.0961538461538462</v>
      </c>
      <c r="BM50" s="190">
        <f t="shared" si="1"/>
        <v>26</v>
      </c>
      <c r="BN50" s="190">
        <f t="shared" si="2"/>
        <v>25</v>
      </c>
      <c r="BO50" s="190">
        <f t="shared" si="3"/>
        <v>23</v>
      </c>
    </row>
    <row r="51" customHeight="1" spans="1:67">
      <c r="A51" s="120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>
        <v>1</v>
      </c>
      <c r="BC51" s="120"/>
      <c r="BD51" s="120"/>
      <c r="BE51" s="120"/>
      <c r="BF51" s="120"/>
      <c r="BG51" s="120"/>
      <c r="BH51" s="120"/>
      <c r="BI51" s="188">
        <f t="shared" si="0"/>
        <v>1</v>
      </c>
      <c r="BJ51" s="188" cm="1">
        <f t="array" ref="BJ51">SUMPRODUCT(--(B51:BC51=INT(B51:BC51)),--(B51:BC51&gt;0))</f>
        <v>1</v>
      </c>
      <c r="BK51" s="188" cm="1">
        <f t="array" ref="BK51">MAX(FREQUENCY(IF((B51:BC51=INT(B51:BC51))*(B51:BC51&gt;0),COLUMN(B51:BC51)),IF((B51:BC51&lt;&gt;INT(B51:BC51))+(B51:BC51&lt;=0),COLUMN(B51:BC51))))</f>
        <v>1</v>
      </c>
      <c r="BL51" s="189" cm="1">
        <f t="array" ref="BL51">SUMPRODUCT(--(B51:BA51=INT(B51:BA51)),--(B51:BA51&gt;0))/52*100%</f>
        <v>0</v>
      </c>
      <c r="BM51" s="190">
        <f t="shared" si="1"/>
        <v>36</v>
      </c>
      <c r="BN51" s="190">
        <f t="shared" si="2"/>
        <v>36</v>
      </c>
      <c r="BO51" s="190">
        <f t="shared" si="3"/>
        <v>23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0"/>
        <v>0</v>
      </c>
      <c r="BJ52" s="188" cm="1">
        <f t="array" ref="BJ52">SUMPRODUCT(--(B52:BC52=INT(B52:BC52)),--(B52:BC52&gt;0))</f>
        <v>0</v>
      </c>
      <c r="BK52" s="188" cm="1">
        <f t="array" ref="BK52">MAX(FREQUENCY(IF((B52:BC52=INT(B52:BC52))*(B52:BC52&gt;0),COLUMN(B52:BC52)),IF((B52:BC52&lt;&gt;INT(B52:BC52))+(B52:BC52&lt;=0),COLUMN(B52:BC52))))</f>
        <v>0</v>
      </c>
      <c r="BL52" s="189" cm="1">
        <f t="array" ref="BL52">SUMPRODUCT(--(B52:BA52=INT(B52:BA52)),--(B52:BA52&gt;0))/52*100%</f>
        <v>0</v>
      </c>
      <c r="BM52" s="190">
        <f t="shared" si="1"/>
        <v>43</v>
      </c>
      <c r="BN52" s="190">
        <f t="shared" si="2"/>
        <v>43</v>
      </c>
      <c r="BO52" s="190">
        <f t="shared" si="3"/>
        <v>43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>
        <v>1</v>
      </c>
      <c r="BD53" s="120"/>
      <c r="BE53" s="120"/>
      <c r="BF53" s="120"/>
      <c r="BG53" s="120"/>
      <c r="BH53" s="120"/>
      <c r="BI53" s="188">
        <f t="shared" si="0"/>
        <v>2</v>
      </c>
      <c r="BJ53" s="188" cm="1">
        <f t="array" ref="BJ53">SUMPRODUCT(--(B53:BC53=INT(B53:BC53)),--(B53:BC53&gt;0))</f>
        <v>2</v>
      </c>
      <c r="BK53" s="188" cm="1">
        <f t="array" ref="BK53">MAX(FREQUENCY(IF((B53:BC53=INT(B53:BC53))*(B53:BC53&gt;0),COLUMN(B53:BC53)),IF((B53:BC53&lt;&gt;INT(B53:BC53))+(B53:BC53&lt;=0),COLUMN(B53:BC53))))</f>
        <v>1</v>
      </c>
      <c r="BL53" s="189" cm="1">
        <f t="array" ref="BL53">SUMPRODUCT(--(B53:BA53=INT(B53:BA53)),--(B53:BA53&gt;0))/52*100%</f>
        <v>0.0192307692307692</v>
      </c>
      <c r="BM53" s="190">
        <f t="shared" si="1"/>
        <v>33</v>
      </c>
      <c r="BN53" s="190">
        <f t="shared" si="2"/>
        <v>32</v>
      </c>
      <c r="BO53" s="190">
        <f t="shared" si="3"/>
        <v>23</v>
      </c>
    </row>
    <row r="54" s="175" customFormat="1" ht="28" spans="1:67">
      <c r="A54" s="193" t="s">
        <v>346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0</v>
      </c>
      <c r="BE54" s="17" cm="1">
        <f t="array" ref="BE54">SUMPRODUCT(--(BE3:BE53=INT(BE3:BE53)),--(BE3:BE53&gt;0))</f>
        <v>0</v>
      </c>
      <c r="BF54" s="17" cm="1">
        <f t="array" ref="BF54">SUMPRODUCT(--(BF3:BF53=INT(BF3:BF53)),--(BF3:BF53&gt;0))</f>
        <v>0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4" t="s">
        <v>347</v>
      </c>
      <c r="BJ54" s="195"/>
      <c r="BK54" s="195"/>
      <c r="BL54" s="195"/>
      <c r="BM54" s="195"/>
      <c r="BN54" s="195"/>
      <c r="BO54" s="196"/>
    </row>
    <row r="55" s="175" customFormat="1" ht="28" spans="1:67">
      <c r="A55" s="193" t="s">
        <v>348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H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17</v>
      </c>
      <c r="AZ55" s="17">
        <f t="shared" si="5"/>
        <v>15</v>
      </c>
      <c r="BA55" s="17">
        <f t="shared" si="5"/>
        <v>20</v>
      </c>
      <c r="BB55" s="17">
        <f t="shared" si="5"/>
        <v>12</v>
      </c>
      <c r="BC55" s="17">
        <f t="shared" si="5"/>
        <v>25</v>
      </c>
      <c r="BD55" s="17">
        <f t="shared" si="5"/>
        <v>0</v>
      </c>
      <c r="BE55" s="17">
        <f t="shared" si="5"/>
        <v>0</v>
      </c>
      <c r="BF55" s="17">
        <f t="shared" si="5"/>
        <v>0</v>
      </c>
      <c r="BG55" s="17">
        <f t="shared" si="5"/>
        <v>0</v>
      </c>
      <c r="BH55" s="17">
        <f t="shared" si="5"/>
        <v>0</v>
      </c>
      <c r="BI55" s="197"/>
      <c r="BJ55" s="198"/>
      <c r="BK55" s="198"/>
      <c r="BL55" s="198"/>
      <c r="BM55" s="198"/>
      <c r="BN55" s="198"/>
      <c r="BO55" s="199"/>
    </row>
    <row r="57" spans="1:67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N3 Z3:AF3 A1 C1:S1 U1:AF1 BI1:BO2 A2:AF2 A34:AF34 BM13:BO13 BM11:BO11 BM7:BO7" unlockedFormula="1"/>
    <ignoredError sqref="A49:X49 A50:AD50 AF50 Z49:AF49 AE48 Z48:AB48 A47:AF47 A42:X42 A43:AF43 A44:W44 Z44:AD44 AF44 A45:AF45 Z29:AF29 A32:X32 A38:X38 Z38:AB38 AD38:AF38 A39:AF39 BM38:BO39 A35:AF35 A34:AF34 A36:X36 Z36:AF36 BN35:BO35 A37:AF37 A26:AF27 A28:X28 AD9:AF9 Z9:AB9 X8:AF8 A8:V8 A11:Z11 AB11:AC11 AE11 A16:AF16 A17:X18 Z17:AF18 AB15:AE15 Z15 Z14:AF14 AB13:AF13 Z13 Z12:AF12 BN9:BO9 Z10:AF10 A9:X10 BM14:BO14 BM12:BO12 A12:X15 A22:X22 AA22:AD22 AF22 A23:AF23 X41 A51:AF51 A46:X46 AA46 AC46:AD46 AF46 A53:AF53 A52 P52 V52 Y52 AA52:AF52 Z4:AE4 A3:X4 AC40:AD40 A40:V40 BM24:BO28 Z41:AE42 A24:X25 Z24:AF24 BM4:BO4 BM8:BO8 A5:AF7 A19:AF21" formulaRange="1" unlockedFormula="1"/>
    <ignoredError sqref="AG49:BO50 A48:AD48 A29:Y29 A31:BB31 A37:BO37 Y15:AA15 Y12:Y14 A51:BA51 B52:Z52 Y24 A55:BO55 BJ54:BO54 A54:BH54 BC51:BO51 BD46:BO46 BC30:BO30 BC33:BO33 BD40:BO40 BC24:BL24 BC21:BO21 BD53:BO53 A30:BA30 A33:BA33 BD42:BO42 AF42:BB42 BD44:BO44 BD31:BO32 Y25:BL25 BD28:BL28 AG5:BL6 AG16:BO20 BD15:BO15 BD13:BL13 BD11:BL11 BD22:BO22 AG7:BA7 AG21:BA21 Y49:AF49 AE50:AF50 AF48:BO48 AG47:BO47 Y42 AG43:BO43 X44:AE44 AG44:BB44 AG45:BO45 AG29:BO29 Y32:BB32 Y38:AF38 A39:AF39 AG38:BL39 AG35:BO35 Y36:BO36 AG26:BL27 Y28:BB28 Z9:AC9 AG9:BB9 A8:W8 AG8:BO8 AA11:AD11 AF11:BB11 Y17:AF18 A19:AF21 AF15:BB15 AG14:BO14 Z13:AA13 AG13:BB13 AG12:BO12 BE9:BM9 AG10:BO10 Y9:Y10 Y22:AE22 AG22:BB22 AG23:BO23 A41:W41 Y46:AE46 AG46:BA46 AG53:BB53 AG52:BO52 Y4 AE40:BA40 W40:AB40 AG24:BA24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349</v>
      </c>
      <c r="B2" s="153" t="s">
        <v>350</v>
      </c>
      <c r="C2" s="154" t="s">
        <v>351</v>
      </c>
      <c r="D2" s="155"/>
      <c r="E2" s="153" t="s">
        <v>350</v>
      </c>
      <c r="F2" s="153"/>
      <c r="G2" s="156" t="s">
        <v>352</v>
      </c>
      <c r="H2" s="148"/>
      <c r="I2" s="148"/>
      <c r="J2" s="157"/>
    </row>
    <row r="3" ht="16.5" spans="1:10">
      <c r="A3" s="149" t="s">
        <v>353</v>
      </c>
      <c r="B3" s="158" t="s">
        <v>354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355</v>
      </c>
      <c r="B4" s="159" t="s">
        <v>255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356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357</v>
      </c>
      <c r="B6" s="162">
        <v>1</v>
      </c>
      <c r="C6" s="162"/>
      <c r="D6" s="162"/>
      <c r="E6" s="162"/>
      <c r="F6" s="162"/>
      <c r="G6" s="163" t="s">
        <v>358</v>
      </c>
      <c r="H6" s="148"/>
      <c r="I6" s="148"/>
      <c r="J6" s="157"/>
    </row>
    <row r="7" ht="16.5" spans="1:10">
      <c r="A7" s="149" t="s">
        <v>359</v>
      </c>
      <c r="B7" s="164" t="s">
        <v>360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361</v>
      </c>
      <c r="B8" s="166">
        <v>1</v>
      </c>
      <c r="C8" s="166"/>
      <c r="D8" s="167" t="s">
        <v>362</v>
      </c>
      <c r="E8" s="167"/>
      <c r="F8" s="167"/>
      <c r="G8" s="166"/>
      <c r="H8" s="148"/>
      <c r="I8" s="148"/>
      <c r="J8" s="157"/>
    </row>
    <row r="9" ht="16.5" spans="1:10">
      <c r="A9" s="149" t="s">
        <v>363</v>
      </c>
      <c r="B9" s="153" t="s">
        <v>364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365</v>
      </c>
      <c r="B10" s="158">
        <v>1</v>
      </c>
      <c r="C10" s="158"/>
      <c r="D10" s="168" t="s">
        <v>366</v>
      </c>
      <c r="E10" s="158">
        <v>1</v>
      </c>
      <c r="F10" s="168" t="s">
        <v>366</v>
      </c>
      <c r="G10" s="148" t="s">
        <v>367</v>
      </c>
      <c r="H10" s="148"/>
      <c r="I10" s="148"/>
      <c r="J10" s="157"/>
    </row>
    <row r="11" ht="16.5" spans="1:10">
      <c r="A11" s="149" t="s">
        <v>368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369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370</v>
      </c>
      <c r="B13" s="2" t="s">
        <v>367</v>
      </c>
      <c r="C13" s="2"/>
      <c r="D13" s="2"/>
      <c r="E13" s="2"/>
      <c r="F13" s="2"/>
      <c r="G13" s="169" t="s">
        <v>371</v>
      </c>
      <c r="H13" s="1"/>
      <c r="I13" s="1"/>
      <c r="J13" s="170"/>
    </row>
    <row r="14" s="1" customFormat="1" ht="16.5" spans="1:10">
      <c r="A14" s="149" t="s">
        <v>372</v>
      </c>
      <c r="B14" s="171" t="s">
        <v>367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373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374</v>
      </c>
      <c r="B2" s="126" t="s">
        <v>375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376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377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378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379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380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381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382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383</v>
      </c>
      <c r="B12" s="136" t="s">
        <v>384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385</v>
      </c>
      <c r="C14" s="137" t="s">
        <v>386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387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388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389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390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391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392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393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2"/>
  <sheetViews>
    <sheetView workbookViewId="0">
      <selection activeCell="L40" sqref="L4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394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395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396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397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  <row r="27" customHeight="1" spans="1:9">
      <c r="A27" s="100" t="s">
        <v>398</v>
      </c>
      <c r="B27" s="101"/>
      <c r="C27" s="102"/>
      <c r="D27" s="103"/>
      <c r="E27" s="103"/>
      <c r="F27" s="104"/>
      <c r="G27" s="104"/>
      <c r="H27" s="105"/>
      <c r="I27" s="105"/>
    </row>
    <row r="28" customHeight="1" spans="1:9">
      <c r="A28" s="106"/>
      <c r="B28" s="114"/>
      <c r="C28" s="102"/>
      <c r="D28" s="103"/>
      <c r="E28" s="103"/>
      <c r="F28" s="104"/>
      <c r="G28" s="104"/>
      <c r="H28" s="105"/>
      <c r="I28" s="105"/>
    </row>
    <row r="29" customHeight="1" spans="1:9">
      <c r="A29" s="106"/>
      <c r="B29" s="102"/>
      <c r="C29" s="102"/>
      <c r="D29" s="103"/>
      <c r="E29" s="103"/>
      <c r="F29" s="104"/>
      <c r="G29" s="104"/>
      <c r="H29" s="105"/>
      <c r="I29" s="105"/>
    </row>
    <row r="30" customHeight="1" spans="1:9">
      <c r="A30" s="106"/>
      <c r="B30" s="102"/>
      <c r="C30" s="102"/>
      <c r="D30" s="103"/>
      <c r="E30" s="103"/>
      <c r="F30" s="104"/>
      <c r="G30" s="104"/>
      <c r="H30" s="105"/>
      <c r="I30" s="105"/>
    </row>
    <row r="31" customHeight="1" spans="1:9">
      <c r="A31" s="106"/>
      <c r="B31" s="102"/>
      <c r="C31" s="102"/>
      <c r="D31" s="103"/>
      <c r="E31" s="103"/>
      <c r="F31" s="104"/>
      <c r="G31" s="104"/>
      <c r="H31" s="105"/>
      <c r="I31" s="105"/>
    </row>
    <row r="32" customHeight="1" spans="1:9">
      <c r="A32" s="106"/>
      <c r="B32" s="102"/>
      <c r="C32" s="102"/>
      <c r="D32" s="103"/>
      <c r="E32" s="103"/>
      <c r="F32" s="104"/>
      <c r="G32" s="104"/>
      <c r="H32" s="105"/>
      <c r="I32" s="105"/>
    </row>
    <row r="33" customHeight="1" spans="1:9">
      <c r="A33" s="106"/>
      <c r="B33" s="102"/>
      <c r="C33" s="102"/>
      <c r="D33" s="103"/>
      <c r="E33" s="103"/>
      <c r="F33" s="104"/>
      <c r="G33" s="104"/>
      <c r="H33" s="105"/>
      <c r="I33" s="105"/>
    </row>
    <row r="34" customHeight="1" spans="1:9">
      <c r="A34" s="107"/>
      <c r="B34" s="115"/>
      <c r="C34" s="116"/>
      <c r="D34" s="110"/>
      <c r="E34" s="111"/>
      <c r="F34" s="112"/>
      <c r="G34" s="112"/>
      <c r="H34" s="112"/>
      <c r="I34" s="113"/>
    </row>
    <row r="35" customHeight="1" spans="1:9">
      <c r="A35" s="100" t="s">
        <v>399</v>
      </c>
      <c r="B35" s="101"/>
      <c r="C35" s="102"/>
      <c r="D35" s="103"/>
      <c r="E35" s="103"/>
      <c r="F35" s="104"/>
      <c r="G35" s="104"/>
      <c r="H35" s="105"/>
      <c r="I35" s="105"/>
    </row>
    <row r="36" customHeight="1" spans="1:9">
      <c r="A36" s="106"/>
      <c r="B36" s="114"/>
      <c r="C36" s="102"/>
      <c r="D36" s="103"/>
      <c r="E36" s="103"/>
      <c r="F36" s="104"/>
      <c r="G36" s="104"/>
      <c r="H36" s="105"/>
      <c r="I36" s="105"/>
    </row>
    <row r="37" customHeight="1" spans="1:9">
      <c r="A37" s="106"/>
      <c r="B37" s="102"/>
      <c r="C37" s="102"/>
      <c r="D37" s="103"/>
      <c r="E37" s="103"/>
      <c r="F37" s="104"/>
      <c r="G37" s="104"/>
      <c r="H37" s="105"/>
      <c r="I37" s="105"/>
    </row>
    <row r="38" customHeight="1" spans="1:9">
      <c r="A38" s="106"/>
      <c r="B38" s="102"/>
      <c r="C38" s="102"/>
      <c r="D38" s="103"/>
      <c r="E38" s="103"/>
      <c r="F38" s="104"/>
      <c r="G38" s="104"/>
      <c r="H38" s="105"/>
      <c r="I38" s="105"/>
    </row>
    <row r="39" customHeight="1" spans="1:9">
      <c r="A39" s="106"/>
      <c r="B39" s="102"/>
      <c r="C39" s="102"/>
      <c r="D39" s="103"/>
      <c r="E39" s="103"/>
      <c r="F39" s="104"/>
      <c r="G39" s="104"/>
      <c r="H39" s="105"/>
      <c r="I39" s="105"/>
    </row>
    <row r="40" customHeight="1" spans="1:9">
      <c r="A40" s="106"/>
      <c r="B40" s="102"/>
      <c r="C40" s="102"/>
      <c r="D40" s="103"/>
      <c r="E40" s="103"/>
      <c r="F40" s="104"/>
      <c r="G40" s="104"/>
      <c r="H40" s="105"/>
      <c r="I40" s="105"/>
    </row>
    <row r="41" customHeight="1" spans="1:9">
      <c r="A41" s="106"/>
      <c r="B41" s="102"/>
      <c r="C41" s="102"/>
      <c r="D41" s="103"/>
      <c r="E41" s="103"/>
      <c r="F41" s="104"/>
      <c r="G41" s="104"/>
      <c r="H41" s="105"/>
      <c r="I41" s="105"/>
    </row>
    <row r="42" customHeight="1" spans="1:9">
      <c r="A42" s="107"/>
      <c r="B42" s="115"/>
      <c r="C42" s="116"/>
      <c r="D42" s="110"/>
      <c r="E42" s="111"/>
      <c r="F42" s="112"/>
      <c r="G42" s="112"/>
      <c r="H42" s="112"/>
      <c r="I42" s="113"/>
    </row>
  </sheetData>
  <mergeCells count="20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B34:C34"/>
    <mergeCell ref="E34:I34"/>
    <mergeCell ref="B42:C42"/>
    <mergeCell ref="E42:I42"/>
    <mergeCell ref="A3:A10"/>
    <mergeCell ref="A11:A18"/>
    <mergeCell ref="A19:A26"/>
    <mergeCell ref="A27:A34"/>
    <mergeCell ref="A35:A4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400</v>
      </c>
      <c r="B1" s="83" t="s">
        <v>401</v>
      </c>
      <c r="C1" s="84" t="s">
        <v>204</v>
      </c>
    </row>
    <row r="2" spans="1:3">
      <c r="A2" s="85" t="s">
        <v>1</v>
      </c>
      <c r="B2" s="80" t="s">
        <v>402</v>
      </c>
      <c r="C2" s="81" t="s">
        <v>403</v>
      </c>
    </row>
    <row r="3" spans="1:3">
      <c r="A3" s="85"/>
      <c r="B3" s="80" t="s">
        <v>404</v>
      </c>
      <c r="C3" s="81" t="s">
        <v>405</v>
      </c>
    </row>
    <row r="4" spans="1:3">
      <c r="A4" s="85"/>
      <c r="B4" s="80" t="s">
        <v>406</v>
      </c>
      <c r="C4" s="81" t="s">
        <v>407</v>
      </c>
    </row>
    <row r="5" spans="1:3">
      <c r="A5" s="85"/>
      <c r="B5" s="80" t="s">
        <v>408</v>
      </c>
      <c r="C5" s="81" t="s">
        <v>409</v>
      </c>
    </row>
    <row r="6" spans="1:3">
      <c r="A6" s="85"/>
      <c r="B6" s="80" t="s">
        <v>410</v>
      </c>
      <c r="C6" s="81" t="s">
        <v>411</v>
      </c>
    </row>
    <row r="7" spans="1:3">
      <c r="A7" s="85"/>
      <c r="B7" s="80" t="s">
        <v>412</v>
      </c>
      <c r="C7" s="81" t="s">
        <v>413</v>
      </c>
    </row>
    <row r="8" spans="1:3">
      <c r="A8" s="85"/>
      <c r="B8" s="80" t="s">
        <v>414</v>
      </c>
      <c r="C8" s="81" t="s">
        <v>415</v>
      </c>
    </row>
    <row r="9" spans="1:3">
      <c r="A9" s="85"/>
      <c r="B9" s="80" t="s">
        <v>416</v>
      </c>
      <c r="C9" s="81" t="s">
        <v>417</v>
      </c>
    </row>
    <row r="10" spans="1:3">
      <c r="A10" s="85"/>
      <c r="B10" s="80" t="s">
        <v>418</v>
      </c>
      <c r="C10" s="81" t="s">
        <v>419</v>
      </c>
    </row>
    <row r="11" spans="1:3">
      <c r="A11" s="85"/>
      <c r="B11" s="80" t="s">
        <v>420</v>
      </c>
      <c r="C11" s="81" t="s">
        <v>421</v>
      </c>
    </row>
    <row r="12" spans="1:3">
      <c r="A12" s="85"/>
      <c r="B12" s="80" t="s">
        <v>422</v>
      </c>
      <c r="C12" s="81" t="s">
        <v>423</v>
      </c>
    </row>
    <row r="13" spans="1:3">
      <c r="A13" s="85"/>
      <c r="B13" s="80" t="s">
        <v>424</v>
      </c>
      <c r="C13" s="81" t="s">
        <v>425</v>
      </c>
    </row>
    <row r="14" spans="1:3">
      <c r="A14" s="85"/>
      <c r="B14" s="80" t="s">
        <v>426</v>
      </c>
      <c r="C14" s="81" t="s">
        <v>427</v>
      </c>
    </row>
    <row r="15" spans="1:3">
      <c r="A15" s="85"/>
      <c r="B15" s="80" t="s">
        <v>428</v>
      </c>
      <c r="C15" s="81" t="s">
        <v>429</v>
      </c>
    </row>
    <row r="16" spans="1:3">
      <c r="A16" s="85"/>
      <c r="B16" s="80" t="s">
        <v>430</v>
      </c>
      <c r="C16" s="81" t="s">
        <v>431</v>
      </c>
    </row>
    <row r="17" spans="1:3">
      <c r="A17" s="85"/>
      <c r="B17" s="80" t="s">
        <v>432</v>
      </c>
      <c r="C17" s="81" t="s">
        <v>433</v>
      </c>
    </row>
    <row r="18" spans="1:3">
      <c r="A18" s="85"/>
      <c r="B18" s="80" t="s">
        <v>434</v>
      </c>
      <c r="C18" s="81" t="s">
        <v>435</v>
      </c>
    </row>
    <row r="19" spans="1:3">
      <c r="A19" s="85"/>
      <c r="B19" s="80" t="s">
        <v>436</v>
      </c>
      <c r="C19" s="81" t="s">
        <v>437</v>
      </c>
    </row>
    <row r="20" spans="1:3">
      <c r="A20" s="85"/>
      <c r="B20" s="80" t="s">
        <v>438</v>
      </c>
      <c r="C20" s="81" t="s">
        <v>439</v>
      </c>
    </row>
    <row r="21" spans="1:3">
      <c r="A21" s="85"/>
      <c r="B21" s="80" t="s">
        <v>438</v>
      </c>
      <c r="C21" s="81" t="s">
        <v>440</v>
      </c>
    </row>
    <row r="22" spans="1:3">
      <c r="A22" s="85"/>
      <c r="B22" s="80" t="s">
        <v>441</v>
      </c>
      <c r="C22" s="81" t="s">
        <v>442</v>
      </c>
    </row>
    <row r="23" spans="1:3">
      <c r="A23" s="85"/>
      <c r="B23" s="80" t="s">
        <v>443</v>
      </c>
      <c r="C23" s="81" t="s">
        <v>444</v>
      </c>
    </row>
    <row r="24" spans="1:3">
      <c r="A24" s="85"/>
      <c r="B24" s="80" t="s">
        <v>445</v>
      </c>
      <c r="C24" s="81" t="s">
        <v>446</v>
      </c>
    </row>
    <row r="25" spans="1:3">
      <c r="A25" s="86" t="s">
        <v>2</v>
      </c>
      <c r="B25" s="80" t="s">
        <v>447</v>
      </c>
      <c r="C25" s="81" t="s">
        <v>448</v>
      </c>
    </row>
    <row r="26" spans="1:3">
      <c r="A26" s="86"/>
      <c r="B26" s="80" t="s">
        <v>449</v>
      </c>
      <c r="C26" s="81" t="s">
        <v>450</v>
      </c>
    </row>
    <row r="27" spans="1:3">
      <c r="A27" s="86"/>
      <c r="B27" s="80" t="s">
        <v>451</v>
      </c>
      <c r="C27" s="81" t="s">
        <v>452</v>
      </c>
    </row>
    <row r="28" spans="1:3">
      <c r="A28" s="86"/>
      <c r="B28" s="80" t="s">
        <v>453</v>
      </c>
      <c r="C28" s="81" t="s">
        <v>454</v>
      </c>
    </row>
    <row r="29" spans="1:3">
      <c r="A29" s="86"/>
      <c r="B29" s="80" t="s">
        <v>455</v>
      </c>
      <c r="C29" s="81" t="s">
        <v>456</v>
      </c>
    </row>
    <row r="30" spans="1:3">
      <c r="A30" s="86"/>
      <c r="B30" s="80" t="s">
        <v>457</v>
      </c>
      <c r="C30" s="81" t="s">
        <v>458</v>
      </c>
    </row>
    <row r="31" spans="1:3">
      <c r="A31" s="86"/>
      <c r="B31" s="80" t="s">
        <v>459</v>
      </c>
      <c r="C31" s="81" t="s">
        <v>460</v>
      </c>
    </row>
    <row r="32" spans="1:3">
      <c r="A32" s="86"/>
      <c r="B32" s="80" t="s">
        <v>461</v>
      </c>
      <c r="C32" s="81" t="s">
        <v>462</v>
      </c>
    </row>
    <row r="33" spans="1:3">
      <c r="A33" s="86"/>
      <c r="B33" s="80" t="s">
        <v>463</v>
      </c>
      <c r="C33" s="81" t="s">
        <v>464</v>
      </c>
    </row>
    <row r="34" spans="1:3">
      <c r="A34" s="86"/>
      <c r="B34" s="80" t="s">
        <v>465</v>
      </c>
      <c r="C34" s="81" t="s">
        <v>466</v>
      </c>
    </row>
    <row r="35" spans="1:3">
      <c r="A35" s="86"/>
      <c r="B35" s="80" t="s">
        <v>467</v>
      </c>
      <c r="C35" s="81" t="s">
        <v>468</v>
      </c>
    </row>
    <row r="36" spans="1:3">
      <c r="A36" s="86"/>
      <c r="B36" s="80" t="s">
        <v>469</v>
      </c>
      <c r="C36" s="81" t="s">
        <v>470</v>
      </c>
    </row>
    <row r="37" spans="1:3">
      <c r="A37" s="87"/>
      <c r="B37" s="80" t="s">
        <v>471</v>
      </c>
      <c r="C37" s="81" t="s">
        <v>472</v>
      </c>
    </row>
    <row r="38" spans="1:3">
      <c r="A38" s="88" t="s">
        <v>3</v>
      </c>
      <c r="B38" s="80" t="s">
        <v>473</v>
      </c>
      <c r="C38" s="81" t="s">
        <v>474</v>
      </c>
    </row>
    <row r="39" spans="1:3">
      <c r="A39" s="89"/>
      <c r="B39" s="80" t="s">
        <v>475</v>
      </c>
      <c r="C39" s="81" t="s">
        <v>476</v>
      </c>
    </row>
    <row r="40" spans="1:3">
      <c r="A40" s="89"/>
      <c r="B40" s="80" t="s">
        <v>477</v>
      </c>
      <c r="C40" s="81" t="s">
        <v>478</v>
      </c>
    </row>
    <row r="41" spans="1:3">
      <c r="A41" s="89"/>
      <c r="B41" s="80" t="s">
        <v>479</v>
      </c>
      <c r="C41" s="81" t="s">
        <v>411</v>
      </c>
    </row>
    <row r="42" spans="1:3">
      <c r="A42" s="89"/>
      <c r="B42" s="80" t="s">
        <v>480</v>
      </c>
      <c r="C42" s="81" t="s">
        <v>481</v>
      </c>
    </row>
    <row r="43" spans="1:3">
      <c r="A43" s="89"/>
      <c r="B43" s="80" t="s">
        <v>482</v>
      </c>
      <c r="C43" s="81" t="s">
        <v>483</v>
      </c>
    </row>
    <row r="44" spans="1:3">
      <c r="A44" s="89"/>
      <c r="B44" s="80" t="s">
        <v>484</v>
      </c>
      <c r="C44" s="81" t="s">
        <v>485</v>
      </c>
    </row>
    <row r="45" spans="1:3">
      <c r="A45" s="89"/>
      <c r="B45" s="80" t="s">
        <v>486</v>
      </c>
      <c r="C45" s="81" t="s">
        <v>487</v>
      </c>
    </row>
    <row r="46" spans="1:3">
      <c r="A46" s="89"/>
      <c r="B46" s="80" t="s">
        <v>488</v>
      </c>
      <c r="C46" s="81" t="s">
        <v>489</v>
      </c>
    </row>
    <row r="47" spans="1:3">
      <c r="A47" s="89"/>
      <c r="B47" s="80" t="s">
        <v>490</v>
      </c>
      <c r="C47" s="81" t="s">
        <v>491</v>
      </c>
    </row>
    <row r="48" spans="1:3">
      <c r="A48" s="89"/>
      <c r="B48" s="80" t="s">
        <v>492</v>
      </c>
      <c r="C48" s="81" t="s">
        <v>493</v>
      </c>
    </row>
    <row r="49" spans="1:3">
      <c r="A49" s="89"/>
      <c r="B49" s="80" t="s">
        <v>494</v>
      </c>
      <c r="C49" s="81" t="s">
        <v>495</v>
      </c>
    </row>
    <row r="50" spans="1:3">
      <c r="A50" s="90"/>
      <c r="B50" s="80" t="s">
        <v>496</v>
      </c>
      <c r="C50" s="81" t="s">
        <v>497</v>
      </c>
    </row>
    <row r="51" customFormat="1" spans="1:3">
      <c r="A51" s="79"/>
      <c r="B51" s="80" t="s">
        <v>498</v>
      </c>
      <c r="C51" s="81"/>
    </row>
    <row r="52" customFormat="1" spans="1:3">
      <c r="A52" s="79"/>
      <c r="B52" s="80" t="s">
        <v>498</v>
      </c>
      <c r="C52" s="81"/>
    </row>
    <row r="53" customFormat="1" spans="1:3">
      <c r="A53" s="79"/>
      <c r="B53" s="80" t="s">
        <v>498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333</v>
      </c>
      <c r="B1" s="68" t="s">
        <v>0</v>
      </c>
      <c r="C1" s="69" t="s">
        <v>499</v>
      </c>
      <c r="D1" s="70" t="s">
        <v>500</v>
      </c>
    </row>
    <row r="2" spans="1:4">
      <c r="A2" s="71">
        <v>1</v>
      </c>
      <c r="B2" s="72" t="s">
        <v>7</v>
      </c>
      <c r="C2" s="73">
        <v>20111216</v>
      </c>
      <c r="D2" s="66" t="s">
        <v>501</v>
      </c>
    </row>
    <row r="3" spans="1:4">
      <c r="A3" s="71">
        <v>2</v>
      </c>
      <c r="B3" s="72" t="s">
        <v>10</v>
      </c>
      <c r="C3" s="74">
        <v>20111227</v>
      </c>
      <c r="D3" s="66" t="s">
        <v>502</v>
      </c>
    </row>
    <row r="4" spans="1:4">
      <c r="A4" s="71">
        <v>3</v>
      </c>
      <c r="B4" s="72" t="s">
        <v>13</v>
      </c>
      <c r="C4" s="74">
        <v>20120518</v>
      </c>
      <c r="D4" s="66" t="s">
        <v>503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350</v>
      </c>
    </row>
    <row r="7" spans="1:4">
      <c r="A7" s="71">
        <v>6</v>
      </c>
      <c r="B7" s="72" t="s">
        <v>20</v>
      </c>
      <c r="C7" s="74">
        <v>20120809</v>
      </c>
      <c r="D7" s="66" t="s">
        <v>504</v>
      </c>
    </row>
    <row r="8" spans="1:4">
      <c r="A8" s="71">
        <v>7</v>
      </c>
      <c r="B8" s="72" t="s">
        <v>24</v>
      </c>
      <c r="C8" s="74">
        <v>20120227</v>
      </c>
      <c r="D8" s="66" t="s">
        <v>505</v>
      </c>
    </row>
    <row r="9" spans="1:4">
      <c r="A9" s="71">
        <v>8</v>
      </c>
      <c r="B9" s="72" t="s">
        <v>26</v>
      </c>
      <c r="C9" s="74">
        <v>20120127</v>
      </c>
      <c r="D9" s="66" t="s">
        <v>506</v>
      </c>
    </row>
    <row r="10" spans="1:4">
      <c r="A10" s="71">
        <v>9</v>
      </c>
      <c r="B10" s="72" t="s">
        <v>27</v>
      </c>
      <c r="C10" s="74">
        <v>20111202</v>
      </c>
      <c r="D10" s="66" t="s">
        <v>507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508</v>
      </c>
    </row>
    <row r="13" spans="1:4">
      <c r="A13" s="71">
        <v>12</v>
      </c>
      <c r="B13" s="72" t="s">
        <v>31</v>
      </c>
      <c r="C13" s="74">
        <v>20110908</v>
      </c>
      <c r="D13" s="66" t="s">
        <v>509</v>
      </c>
    </row>
    <row r="14" spans="1:4">
      <c r="A14" s="71">
        <v>13</v>
      </c>
      <c r="B14" s="72" t="s">
        <v>33</v>
      </c>
      <c r="C14" s="74">
        <v>20120228</v>
      </c>
      <c r="D14" s="66" t="s">
        <v>510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511</v>
      </c>
    </row>
    <row r="17" spans="1:4">
      <c r="A17" s="71">
        <v>16</v>
      </c>
      <c r="B17" s="72" t="s">
        <v>38</v>
      </c>
      <c r="C17" s="74">
        <v>20120722</v>
      </c>
      <c r="D17" s="66" t="s">
        <v>512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513</v>
      </c>
    </row>
    <row r="21" spans="1:4">
      <c r="A21" s="71">
        <v>20</v>
      </c>
      <c r="B21" s="72" t="s">
        <v>47</v>
      </c>
      <c r="C21" s="74">
        <v>20120827</v>
      </c>
      <c r="D21" s="66" t="s">
        <v>514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515</v>
      </c>
    </row>
    <row r="24" spans="1:4">
      <c r="A24" s="71">
        <v>23</v>
      </c>
      <c r="B24" s="72" t="s">
        <v>54</v>
      </c>
      <c r="C24" s="74">
        <v>20120413</v>
      </c>
      <c r="D24" s="66" t="s">
        <v>516</v>
      </c>
    </row>
    <row r="25" spans="1:4">
      <c r="A25" s="71">
        <v>24</v>
      </c>
      <c r="B25" s="72" t="s">
        <v>58</v>
      </c>
      <c r="C25" s="74">
        <v>20120629</v>
      </c>
      <c r="D25" s="66" t="s">
        <v>517</v>
      </c>
    </row>
    <row r="26" spans="1:4">
      <c r="A26" s="71">
        <v>25</v>
      </c>
      <c r="B26" s="72" t="s">
        <v>59</v>
      </c>
      <c r="C26" s="74">
        <v>20111105</v>
      </c>
      <c r="D26" s="66" t="s">
        <v>518</v>
      </c>
    </row>
    <row r="27" spans="1:4">
      <c r="A27" s="71">
        <v>26</v>
      </c>
      <c r="B27" s="72" t="s">
        <v>60</v>
      </c>
      <c r="C27" s="74">
        <v>20120112</v>
      </c>
      <c r="D27" s="66" t="s">
        <v>519</v>
      </c>
    </row>
    <row r="28" spans="1:4">
      <c r="A28" s="71">
        <v>27</v>
      </c>
      <c r="B28" s="72" t="s">
        <v>63</v>
      </c>
      <c r="C28" s="74">
        <v>20111119</v>
      </c>
      <c r="D28" s="66" t="s">
        <v>520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521</v>
      </c>
    </row>
    <row r="31" spans="1:4">
      <c r="A31" s="71">
        <v>30</v>
      </c>
      <c r="B31" s="72" t="s">
        <v>72</v>
      </c>
      <c r="C31" s="74">
        <v>20111109</v>
      </c>
      <c r="D31" s="66" t="s">
        <v>522</v>
      </c>
    </row>
    <row r="32" spans="1:4">
      <c r="A32" s="71">
        <v>31</v>
      </c>
      <c r="B32" s="72" t="s">
        <v>73</v>
      </c>
      <c r="C32" s="74">
        <v>20120824</v>
      </c>
      <c r="D32" s="66" t="s">
        <v>523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524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525</v>
      </c>
    </row>
    <row r="37" spans="1:5">
      <c r="A37" s="71">
        <v>36</v>
      </c>
      <c r="B37" s="72" t="s">
        <v>79</v>
      </c>
      <c r="C37" s="73">
        <v>20120326</v>
      </c>
      <c r="D37" s="66" t="s">
        <v>526</v>
      </c>
    </row>
    <row r="38" spans="1:5">
      <c r="A38" s="75">
        <v>37</v>
      </c>
      <c r="B38" s="75" t="s">
        <v>82</v>
      </c>
      <c r="C38" s="76">
        <v>20111106</v>
      </c>
      <c r="D38" s="77" t="s">
        <v>527</v>
      </c>
      <c r="E38" t="s">
        <v>528</v>
      </c>
    </row>
    <row r="39" spans="1:5">
      <c r="A39" s="71">
        <v>38</v>
      </c>
      <c r="B39" s="72" t="s">
        <v>84</v>
      </c>
      <c r="C39" s="74">
        <v>20120811</v>
      </c>
      <c r="D39" s="78" t="s">
        <v>529</v>
      </c>
    </row>
    <row r="40" spans="1:5">
      <c r="A40" s="71">
        <v>39</v>
      </c>
      <c r="B40" s="72" t="s">
        <v>87</v>
      </c>
      <c r="C40" s="74">
        <v>20111217</v>
      </c>
      <c r="D40" s="78" t="s">
        <v>530</v>
      </c>
    </row>
    <row r="41" spans="1:5">
      <c r="A41" s="71">
        <v>40</v>
      </c>
      <c r="B41" s="72" t="s">
        <v>91</v>
      </c>
      <c r="C41" s="74">
        <v>20111013</v>
      </c>
      <c r="D41" s="66" t="s">
        <v>531</v>
      </c>
      <c r="E41" t="s">
        <v>528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532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533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534</v>
      </c>
      <c r="E47" t="s">
        <v>528</v>
      </c>
    </row>
    <row r="48" spans="1:5">
      <c r="A48" s="71">
        <v>47</v>
      </c>
      <c r="B48" s="72" t="s">
        <v>110</v>
      </c>
      <c r="C48" s="74">
        <v>20120311</v>
      </c>
      <c r="D48" s="66" t="s">
        <v>535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536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537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538</v>
      </c>
      <c r="B1" s="35" t="s">
        <v>539</v>
      </c>
      <c r="C1" s="36" t="s">
        <v>540</v>
      </c>
      <c r="D1" s="37"/>
      <c r="E1" s="38" t="s">
        <v>541</v>
      </c>
    </row>
    <row r="2" s="28" customFormat="1" ht="409" customHeight="1" spans="1:5">
      <c r="A2" s="39" t="s">
        <v>355</v>
      </c>
      <c r="B2" s="40" t="s">
        <v>255</v>
      </c>
      <c r="C2" s="41" t="s">
        <v>542</v>
      </c>
      <c r="D2" s="32" t="s">
        <v>543</v>
      </c>
      <c r="E2" s="33" t="s">
        <v>544</v>
      </c>
    </row>
    <row r="3" s="28" customFormat="1" ht="56" spans="1:5">
      <c r="A3" s="42"/>
      <c r="B3" s="43"/>
      <c r="C3" s="44"/>
      <c r="D3" s="32" t="s">
        <v>545</v>
      </c>
      <c r="E3" s="33" t="s">
        <v>546</v>
      </c>
    </row>
    <row r="4" s="28" customFormat="1" spans="1:5">
      <c r="A4" s="42"/>
      <c r="B4" s="43"/>
      <c r="C4" s="44"/>
      <c r="D4" s="32" t="s">
        <v>547</v>
      </c>
      <c r="E4" s="33" t="s">
        <v>548</v>
      </c>
    </row>
    <row r="5" s="28" customFormat="1" ht="56" spans="1:5">
      <c r="A5" s="42"/>
      <c r="B5" s="43"/>
      <c r="C5" s="44"/>
      <c r="D5" s="32" t="s">
        <v>549</v>
      </c>
      <c r="E5" s="33" t="s">
        <v>550</v>
      </c>
    </row>
    <row r="6" s="28" customFormat="1" ht="238" spans="1:5">
      <c r="A6" s="42"/>
      <c r="B6" s="43"/>
      <c r="C6" s="44"/>
      <c r="D6" s="32" t="s">
        <v>551</v>
      </c>
      <c r="E6" s="33" t="s">
        <v>552</v>
      </c>
    </row>
    <row r="7" s="28" customFormat="1" ht="238" spans="1:5">
      <c r="A7" s="42"/>
      <c r="B7" s="43"/>
      <c r="C7" s="41" t="s">
        <v>553</v>
      </c>
      <c r="D7" s="32" t="s">
        <v>554</v>
      </c>
      <c r="E7" s="33" t="s">
        <v>555</v>
      </c>
    </row>
    <row r="8" s="28" customFormat="1" ht="56" spans="1:5">
      <c r="A8" s="42"/>
      <c r="B8" s="43"/>
      <c r="C8" s="44"/>
      <c r="D8" s="32" t="s">
        <v>556</v>
      </c>
      <c r="E8" s="33" t="s">
        <v>557</v>
      </c>
    </row>
    <row r="9" s="28" customFormat="1" ht="84" spans="1:5">
      <c r="A9" s="42"/>
      <c r="B9" s="43"/>
      <c r="C9" s="44"/>
      <c r="D9" s="32" t="s">
        <v>558</v>
      </c>
      <c r="E9" s="33" t="s">
        <v>559</v>
      </c>
    </row>
    <row r="10" s="28" customFormat="1" ht="28" spans="1:5">
      <c r="A10" s="42"/>
      <c r="B10" s="43"/>
      <c r="C10" s="44"/>
      <c r="D10" s="32" t="s">
        <v>560</v>
      </c>
      <c r="E10" s="33" t="s">
        <v>561</v>
      </c>
    </row>
    <row r="11" s="28" customFormat="1" spans="1:5">
      <c r="A11" s="42"/>
      <c r="B11" s="43"/>
      <c r="C11" s="45"/>
      <c r="D11" s="32" t="s">
        <v>562</v>
      </c>
      <c r="E11" s="33" t="s">
        <v>563</v>
      </c>
    </row>
    <row r="12" s="28" customFormat="1" ht="154" spans="1:5">
      <c r="A12" s="42"/>
      <c r="B12" s="43"/>
      <c r="C12" s="31"/>
      <c r="D12" s="32" t="s">
        <v>564</v>
      </c>
      <c r="E12" s="33" t="s">
        <v>565</v>
      </c>
    </row>
    <row r="13" s="28" customFormat="1" ht="56" spans="1:5">
      <c r="A13" s="42"/>
      <c r="B13" s="43"/>
      <c r="C13" s="46" t="s">
        <v>566</v>
      </c>
      <c r="D13" s="37"/>
      <c r="E13" s="33" t="s">
        <v>567</v>
      </c>
    </row>
    <row r="14" s="28" customFormat="1" ht="84" spans="1:5">
      <c r="A14" s="42"/>
      <c r="B14" s="43"/>
      <c r="C14" s="46" t="s">
        <v>568</v>
      </c>
      <c r="D14" s="37"/>
      <c r="E14" s="33" t="s">
        <v>569</v>
      </c>
    </row>
    <row r="15" s="28" customFormat="1" ht="28" spans="1:5">
      <c r="A15" s="42"/>
      <c r="B15" s="43"/>
      <c r="C15" s="46" t="s">
        <v>570</v>
      </c>
      <c r="D15" s="37"/>
      <c r="E15" s="33" t="s">
        <v>571</v>
      </c>
    </row>
    <row r="16" s="28" customFormat="1" spans="1:5">
      <c r="A16" s="42"/>
      <c r="B16" s="43"/>
      <c r="C16" s="46" t="s">
        <v>572</v>
      </c>
      <c r="D16" s="37"/>
      <c r="E16" s="33"/>
    </row>
    <row r="17" s="28" customFormat="1" spans="1:5">
      <c r="A17" s="42"/>
      <c r="B17" s="43"/>
      <c r="C17" s="46" t="s">
        <v>573</v>
      </c>
      <c r="D17" s="37"/>
      <c r="E17" s="33" t="s">
        <v>574</v>
      </c>
    </row>
    <row r="18" s="28" customFormat="1" spans="1:5">
      <c r="A18" s="42"/>
      <c r="B18" s="43"/>
      <c r="C18" s="41" t="s">
        <v>575</v>
      </c>
      <c r="D18" s="32" t="s">
        <v>576</v>
      </c>
      <c r="E18" s="33" t="s">
        <v>577</v>
      </c>
    </row>
    <row r="19" s="28" customFormat="1" spans="1:5">
      <c r="A19" s="42"/>
      <c r="B19" s="43"/>
      <c r="C19" s="45"/>
      <c r="D19" s="32" t="s">
        <v>578</v>
      </c>
      <c r="E19" s="33" t="s">
        <v>579</v>
      </c>
    </row>
    <row r="20" s="28" customFormat="1" spans="1:5">
      <c r="A20" s="42"/>
      <c r="B20" s="43"/>
      <c r="C20" s="46" t="s">
        <v>580</v>
      </c>
      <c r="D20" s="37"/>
      <c r="E20" s="33"/>
    </row>
    <row r="21" s="28" customFormat="1" spans="1:5">
      <c r="A21" s="42"/>
      <c r="B21" s="43"/>
      <c r="C21" s="46" t="s">
        <v>581</v>
      </c>
      <c r="D21" s="37"/>
      <c r="E21" s="33" t="s">
        <v>582</v>
      </c>
    </row>
    <row r="22" s="28" customFormat="1" ht="28" spans="1:5">
      <c r="A22" s="42"/>
      <c r="B22" s="43"/>
      <c r="C22" s="46" t="s">
        <v>583</v>
      </c>
      <c r="D22" s="47"/>
      <c r="E22" s="33" t="s">
        <v>584</v>
      </c>
    </row>
    <row r="23" s="28" customFormat="1" spans="1:5">
      <c r="A23" s="42"/>
      <c r="B23" s="43"/>
      <c r="C23" s="31" t="s">
        <v>313</v>
      </c>
      <c r="D23" s="31"/>
      <c r="E23" s="33" t="s">
        <v>585</v>
      </c>
    </row>
    <row r="24" s="28" customFormat="1" spans="1:5">
      <c r="A24" s="42"/>
      <c r="B24" s="43"/>
      <c r="C24" s="31" t="s">
        <v>586</v>
      </c>
      <c r="D24" s="31"/>
      <c r="E24" s="33" t="s">
        <v>587</v>
      </c>
    </row>
    <row r="25" s="28" customFormat="1" ht="28" spans="1:5">
      <c r="A25" s="39" t="s">
        <v>353</v>
      </c>
      <c r="B25" s="40" t="s">
        <v>354</v>
      </c>
      <c r="C25" s="44" t="s">
        <v>542</v>
      </c>
      <c r="D25" s="48" t="s">
        <v>588</v>
      </c>
      <c r="E25" s="33" t="s">
        <v>589</v>
      </c>
    </row>
    <row r="26" s="28" customFormat="1" spans="1:5">
      <c r="A26" s="42"/>
      <c r="B26" s="43"/>
      <c r="C26" s="44"/>
      <c r="D26" s="32" t="s">
        <v>590</v>
      </c>
      <c r="E26" s="33" t="s">
        <v>591</v>
      </c>
    </row>
    <row r="27" s="28" customFormat="1" ht="28" spans="1:5">
      <c r="A27" s="42"/>
      <c r="B27" s="43"/>
      <c r="C27" s="44"/>
      <c r="D27" s="32" t="s">
        <v>592</v>
      </c>
      <c r="E27" s="33" t="s">
        <v>593</v>
      </c>
    </row>
    <row r="28" s="28" customFormat="1" ht="42" spans="1:5">
      <c r="A28" s="42"/>
      <c r="B28" s="43"/>
      <c r="C28" s="44"/>
      <c r="D28" s="32" t="s">
        <v>594</v>
      </c>
      <c r="E28" s="33" t="s">
        <v>595</v>
      </c>
    </row>
    <row r="29" s="28" customFormat="1" ht="42" spans="1:5">
      <c r="A29" s="39" t="s">
        <v>349</v>
      </c>
      <c r="B29" s="40" t="s">
        <v>350</v>
      </c>
      <c r="C29" s="41" t="s">
        <v>542</v>
      </c>
      <c r="D29" s="32" t="s">
        <v>543</v>
      </c>
      <c r="E29" s="33" t="s">
        <v>596</v>
      </c>
    </row>
    <row r="30" s="28" customFormat="1" ht="70" spans="1:5">
      <c r="A30" s="42"/>
      <c r="B30" s="43"/>
      <c r="C30" s="44"/>
      <c r="D30" s="32" t="s">
        <v>597</v>
      </c>
      <c r="E30" s="33" t="s">
        <v>598</v>
      </c>
    </row>
    <row r="31" s="28" customFormat="1" spans="1:5">
      <c r="A31" s="42"/>
      <c r="B31" s="43"/>
      <c r="C31" s="44"/>
      <c r="D31" s="32" t="s">
        <v>588</v>
      </c>
      <c r="E31" s="33" t="s">
        <v>599</v>
      </c>
    </row>
    <row r="32" s="28" customFormat="1" ht="28" spans="1:5">
      <c r="A32" s="42"/>
      <c r="B32" s="43"/>
      <c r="C32" s="45"/>
      <c r="D32" s="32" t="s">
        <v>600</v>
      </c>
      <c r="E32" s="33" t="s">
        <v>601</v>
      </c>
    </row>
    <row r="33" s="28" customFormat="1" ht="42" spans="1:5">
      <c r="A33" s="42"/>
      <c r="B33" s="49"/>
      <c r="C33" s="46" t="s">
        <v>553</v>
      </c>
      <c r="D33" s="47"/>
      <c r="E33" s="33" t="s">
        <v>602</v>
      </c>
    </row>
    <row r="34" s="28" customFormat="1" ht="42" spans="1:5">
      <c r="A34" s="42"/>
      <c r="B34" s="50" t="s">
        <v>603</v>
      </c>
      <c r="C34" s="36" t="s">
        <v>553</v>
      </c>
      <c r="D34" s="51"/>
      <c r="E34" s="52" t="s">
        <v>604</v>
      </c>
    </row>
    <row r="35" s="28" customFormat="1" ht="42" spans="1:5">
      <c r="A35" s="53"/>
      <c r="B35" s="54"/>
      <c r="C35" s="36" t="s">
        <v>542</v>
      </c>
      <c r="D35" s="51"/>
      <c r="E35" s="52" t="s">
        <v>605</v>
      </c>
    </row>
    <row r="36" s="28" customFormat="1" spans="1:5">
      <c r="A36" s="39" t="s">
        <v>356</v>
      </c>
      <c r="B36" s="55" t="s">
        <v>606</v>
      </c>
      <c r="C36" s="56"/>
      <c r="D36" s="57"/>
      <c r="E36" s="52" t="s">
        <v>136</v>
      </c>
    </row>
    <row r="37" s="28" customFormat="1" spans="1:5">
      <c r="A37" s="53"/>
      <c r="B37" s="58" t="s">
        <v>607</v>
      </c>
      <c r="C37" s="59"/>
      <c r="D37" s="60"/>
      <c r="E37" s="33" t="s">
        <v>608</v>
      </c>
    </row>
    <row r="38" s="28" customFormat="1" spans="1:5">
      <c r="A38" s="29" t="s">
        <v>357</v>
      </c>
      <c r="B38" s="58" t="s">
        <v>609</v>
      </c>
      <c r="C38" s="59"/>
      <c r="D38" s="60"/>
      <c r="E38" s="33" t="s">
        <v>610</v>
      </c>
    </row>
    <row r="39" s="28" customFormat="1" spans="1:5">
      <c r="A39" s="39" t="s">
        <v>359</v>
      </c>
      <c r="B39" s="40" t="s">
        <v>611</v>
      </c>
      <c r="C39" s="41" t="s">
        <v>542</v>
      </c>
      <c r="D39" s="32" t="s">
        <v>612</v>
      </c>
      <c r="E39" s="33" t="s">
        <v>613</v>
      </c>
    </row>
    <row r="40" s="28" customFormat="1" spans="1:5">
      <c r="A40" s="42"/>
      <c r="B40" s="43"/>
      <c r="C40" s="45"/>
      <c r="D40" s="32" t="s">
        <v>614</v>
      </c>
      <c r="E40" s="33" t="s">
        <v>615</v>
      </c>
    </row>
    <row r="41" s="28" customFormat="1" spans="1:5">
      <c r="A41" s="42"/>
      <c r="B41" s="43"/>
      <c r="C41" s="46" t="s">
        <v>616</v>
      </c>
      <c r="D41" s="47"/>
      <c r="E41" s="33" t="s">
        <v>617</v>
      </c>
    </row>
    <row r="42" s="28" customFormat="1" spans="1:5">
      <c r="A42" s="53"/>
      <c r="B42" s="49"/>
      <c r="C42" s="46" t="s">
        <v>553</v>
      </c>
      <c r="D42" s="47"/>
      <c r="E42" s="33" t="s">
        <v>618</v>
      </c>
    </row>
    <row r="43" s="28" customFormat="1" spans="1:5">
      <c r="A43" s="39" t="s">
        <v>361</v>
      </c>
      <c r="B43" s="50" t="s">
        <v>609</v>
      </c>
      <c r="C43" s="61" t="s">
        <v>619</v>
      </c>
      <c r="D43" s="62"/>
      <c r="E43" s="52" t="s">
        <v>620</v>
      </c>
    </row>
    <row r="44" s="28" customFormat="1" ht="28" spans="1:5">
      <c r="A44" s="42"/>
      <c r="B44" s="54"/>
      <c r="C44" s="61" t="s">
        <v>594</v>
      </c>
      <c r="D44" s="62"/>
      <c r="E44" s="52" t="s">
        <v>621</v>
      </c>
    </row>
    <row r="45" s="28" customFormat="1" spans="1:5">
      <c r="A45" s="53"/>
      <c r="B45" s="58" t="s">
        <v>622</v>
      </c>
      <c r="C45" s="59"/>
      <c r="D45" s="60"/>
      <c r="E45" s="33" t="s">
        <v>155</v>
      </c>
    </row>
    <row r="46" s="28" customFormat="1" spans="1:5">
      <c r="A46" s="39" t="s">
        <v>369</v>
      </c>
      <c r="B46" s="40" t="s">
        <v>623</v>
      </c>
      <c r="C46" s="41" t="s">
        <v>542</v>
      </c>
      <c r="D46" s="32" t="s">
        <v>624</v>
      </c>
      <c r="E46" s="33"/>
    </row>
    <row r="47" s="28" customFormat="1" spans="1:5">
      <c r="A47" s="42"/>
      <c r="B47" s="43"/>
      <c r="C47" s="44"/>
      <c r="D47" s="32" t="s">
        <v>625</v>
      </c>
      <c r="E47" s="33"/>
    </row>
    <row r="48" s="28" customFormat="1" spans="1:5">
      <c r="A48" s="53"/>
      <c r="B48" s="49"/>
      <c r="C48" s="45"/>
      <c r="D48" s="32" t="s">
        <v>594</v>
      </c>
      <c r="E48" s="33" t="s">
        <v>626</v>
      </c>
    </row>
    <row r="49" s="28" customFormat="1" spans="1:5">
      <c r="A49" s="29" t="s">
        <v>363</v>
      </c>
      <c r="B49" s="58" t="s">
        <v>364</v>
      </c>
      <c r="C49" s="59"/>
      <c r="D49" s="60"/>
      <c r="E49" s="33" t="s">
        <v>627</v>
      </c>
    </row>
    <row r="50" s="28" customFormat="1" spans="1:5">
      <c r="A50" s="39" t="s">
        <v>365</v>
      </c>
      <c r="B50" s="58" t="s">
        <v>609</v>
      </c>
      <c r="C50" s="59"/>
      <c r="D50" s="60"/>
      <c r="E50" s="33" t="s">
        <v>628</v>
      </c>
    </row>
    <row r="51" s="28" customFormat="1" spans="1:5">
      <c r="A51" s="53"/>
      <c r="B51" s="58" t="s">
        <v>609</v>
      </c>
      <c r="C51" s="59"/>
      <c r="D51" s="60"/>
      <c r="E51" s="33" t="s">
        <v>168</v>
      </c>
    </row>
    <row r="52" s="28" customFormat="1" spans="1:5">
      <c r="A52" s="29" t="s">
        <v>368</v>
      </c>
      <c r="B52" s="58" t="s">
        <v>609</v>
      </c>
      <c r="C52" s="59"/>
      <c r="D52" s="60"/>
      <c r="E52" s="33"/>
    </row>
    <row r="53" s="28" customFormat="1" spans="1:5">
      <c r="A53" s="39" t="s">
        <v>629</v>
      </c>
      <c r="B53" s="58" t="s">
        <v>609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630</v>
      </c>
    </row>
    <row r="55" s="28" customFormat="1" spans="1:5">
      <c r="A55" s="29" t="s">
        <v>370</v>
      </c>
      <c r="B55" s="30"/>
      <c r="C55" s="31"/>
      <c r="D55" s="32"/>
      <c r="E55" s="33" t="s">
        <v>631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632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633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634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635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636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637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638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639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640</v>
      </c>
      <c r="C20" s="9" t="s">
        <v>641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642</v>
      </c>
      <c r="C21" s="9" t="s">
        <v>643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644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645</v>
      </c>
      <c r="C24" s="22" t="s">
        <v>646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647</v>
      </c>
      <c r="C27" s="22" t="s">
        <v>648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649</v>
      </c>
      <c r="C28" s="22" t="s">
        <v>650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651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652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653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654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655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656</v>
      </c>
      <c r="C40" s="22" t="s">
        <v>657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658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659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660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661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662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663</v>
      </c>
      <c r="C52" s="22" t="s">
        <v>664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665</v>
      </c>
      <c r="C1" s="3" t="s">
        <v>666</v>
      </c>
      <c r="E1" s="3" t="s">
        <v>484</v>
      </c>
      <c r="F1" s="3" t="s">
        <v>667</v>
      </c>
    </row>
    <row r="2" spans="2:6">
      <c r="B2" s="4" t="s">
        <v>668</v>
      </c>
      <c r="C2" s="4">
        <v>13</v>
      </c>
      <c r="E2" s="4" t="s">
        <v>669</v>
      </c>
      <c r="F2" s="4">
        <v>6</v>
      </c>
    </row>
    <row r="3" spans="2:6">
      <c r="B3" s="4" t="s">
        <v>670</v>
      </c>
      <c r="C3" s="4">
        <v>13</v>
      </c>
      <c r="E3" s="4" t="s">
        <v>671</v>
      </c>
      <c r="F3" s="4">
        <v>13</v>
      </c>
    </row>
    <row r="4" spans="2:6">
      <c r="B4" s="4" t="s">
        <v>672</v>
      </c>
      <c r="C4" s="4">
        <v>12</v>
      </c>
      <c r="E4" s="4" t="s">
        <v>539</v>
      </c>
      <c r="F4" s="4">
        <v>4</v>
      </c>
    </row>
    <row r="5" spans="2:6">
      <c r="B5" s="4" t="s">
        <v>673</v>
      </c>
      <c r="C5" s="4">
        <v>2</v>
      </c>
      <c r="E5" s="4" t="s">
        <v>674</v>
      </c>
      <c r="F5" s="4">
        <v>6</v>
      </c>
    </row>
    <row r="6" spans="2:6">
      <c r="B6" s="4" t="s">
        <v>675</v>
      </c>
      <c r="C6" s="4">
        <v>2</v>
      </c>
      <c r="E6" s="4" t="s">
        <v>676</v>
      </c>
      <c r="F6" s="4">
        <v>4</v>
      </c>
    </row>
    <row r="7" spans="2:6">
      <c r="B7" s="4" t="s">
        <v>677</v>
      </c>
      <c r="C7" s="4">
        <v>1</v>
      </c>
      <c r="E7" s="4" t="s">
        <v>678</v>
      </c>
      <c r="F7" s="4">
        <v>1</v>
      </c>
    </row>
    <row r="8" spans="2:6">
      <c r="B8" s="4" t="s">
        <v>679</v>
      </c>
      <c r="C8" s="4">
        <v>4</v>
      </c>
      <c r="E8" s="4" t="s">
        <v>680</v>
      </c>
      <c r="F8" s="4">
        <v>3</v>
      </c>
    </row>
    <row r="9" spans="2:6">
      <c r="E9" s="4" t="s">
        <v>681</v>
      </c>
      <c r="F9" s="4">
        <v>1</v>
      </c>
    </row>
    <row r="10" spans="2:6">
      <c r="E10" s="4" t="s">
        <v>682</v>
      </c>
      <c r="F10" s="4">
        <v>5</v>
      </c>
    </row>
    <row r="11" spans="2:6">
      <c r="E11" s="4" t="s">
        <v>683</v>
      </c>
      <c r="F11" s="4">
        <v>1</v>
      </c>
    </row>
    <row r="12" spans="2:6">
      <c r="E12" s="4" t="s">
        <v>679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2026-03-24T11:54:38Z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