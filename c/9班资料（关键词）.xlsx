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activeTab="2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<sst xmlns="http://schemas.openxmlformats.org/spreadsheetml/2006/main" count="238" uniqueCount="228">
  <si>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</si>
  <si>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</si>
  <si>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</si>
  <si>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</si>
  <si>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</si>
  <si>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</si>
  <si>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</si>
  <si>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</si>
  <si>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</si>
  <si>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</si>
  <si>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</si>
  <si>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</si>
  <si>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</si>
  <si>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</si>
  <si>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</si>
  <si>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</si>
  <si>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</si>
  <si>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</si>
  <si>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</si>
  <si>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</si>
  <si>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</si>
  <si>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</si>
  <si>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</si>
  <si>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</si>
  <si>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</si>
  <si>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</si>
  <si>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</si>
  <si>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</si>
  <si>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</si>
  <si>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</si>
  <si>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</si>
  <si>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</si>
  <si>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</si>
  <si>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</si>
  <si>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</si>
  <si>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</si>
  <si>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</si>
  <si>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</si>
  <si>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</si>
  <si>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</si>
  <si>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</si>
  <si>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</si>
  <si>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</si>
  <si>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</si>
  <si>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</si>
  <si>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</si>
  <si>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</si>
  <si>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</si>
  <si>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</si>
  <si>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</si>
  <si>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</si>
  <si>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</si>
  <si>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</si>
  <si>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</si>
  <si>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</si>
  <si>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</si>
  <si>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</si>
  <si>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</si>
  <si>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</si>
  <si>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</si>
  <si>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</si>
  <si>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</si>
  <si>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</si>
  <si>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</si>
  <si>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</si>
  <si>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</si>
  <si>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</si>
  <si>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</si>
  <si>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</si>
  <si>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</si>
  <si>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</si>
  <si>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</si>
  <si>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</si>
  <si>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</si>
  <si>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</si>
  <si>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</si>
  <si>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</si>
  <si>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</si>
  <si>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</si>
  <si>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</si>
  <si>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</si>
  <si>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</si>
  <si>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</si>
  <si>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</si>
  <si>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</si>
  <si>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</si>
  <si>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</si>
  <si>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</si>
  <si>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</si>
  <si>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、问问题（秦岭山顶的人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</si>
  <si>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</si>
  <si>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</si>
  <si>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</si>
  <si>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</si>
  <si>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</si>
  <si>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</si>
  <si>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</si>
  <si>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</si>
  <si>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</si>
  <si>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</si>
  <si>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</si>
  <si>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</si>
  <si>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</si>
  <si>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</si>
  <si>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</si>
  <si>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</si>
  <si>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</si>
  <si>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</si>
  <si>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</si>
  <si>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</si>
  <si>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</si>
  <si>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</si>
  <si>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</si>
  <si>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</si>
  <si>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</si>
  <si>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</si>
  <si>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</si>
  <si>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</si>
  <si>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</si>
  <si>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</si>
  <si>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</si>
  <si>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</si>
  <si>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</si>
  <si>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</si>
  <si>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</si>
  <si>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</si>
  <si>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</si>
  <si>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</si>
  <si>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</si>
  <si>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</si>
  <si>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</si>
  <si>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</si>
  <si>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</si>
  <si>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</si>
  <si>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</si>
  <si>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</si>
  <si>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</si>
  <si>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</si>
  <si>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</si>
  <si>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</si>
  <si>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</si>
  <si>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</si>
  <si>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</si>
  <si>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</si>
  <si>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</si>
  <si>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</si>
  <si>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</si>
  <si>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</si>
  <si>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</si>
  <si>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</si>
  <si>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</si>
  <si>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</si>
  <si>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</si>
  <si>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</si>
  <si>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</si>
  <si>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</si>
  <si>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</si>
  <si>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</si>
  <si>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</si>
  <si>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</si>
  <si>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</si>
  <si>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</si>
  <si>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</si>
  <si>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</si>
  <si>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</si>
  <si>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</si>
  <si>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</si>
  <si>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</si>
  <si>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</si>
  <si>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</si>
  <si>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</si>
  <si>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</si>
  <si>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</si>
  <si>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</si>
  <si>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</si>
  <si>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</si>
  <si>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</si>
  <si>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</si>
  <si>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</si>
  <si>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</si>
  <si>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</si>
  <si>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</si>
  <si>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</si>
  <si>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</si>
  <si>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</si>
  <si>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</si>
  <si>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</si>
  <si>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</si>
  <si>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</si>
  <si>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</si>
  <si>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</si>
  <si>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</si>
  <si>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</si>
  <si>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</si>
  <si>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</si>
  <si>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</si>
  <si>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</si>
  <si>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</si>
  <si>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</si>
  <si>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</si>
  <si>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</si>
  <si>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</si>
  <si>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</si>
  <si>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</si>
  <si>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</si>
  <si>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</si>
  <si>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</si>
  <si>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</si>
  <si>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</si>
  <si>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</si>
  <si>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</si>
  <si>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</si>
  <si>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</si>
  <si>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</si>
  <si>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</si>
  <si>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</si>
  <si>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</si>
  <si>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</si>
  <si>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政治啧</t>
  </si>
  <si>
    <t>敲讲台</t>
  </si>
  <si>
    <t>12月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</si>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</sst>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5">
    <font>
      <sz val="11"/>
      <name val="宋体"/>
      <charset val="134"/>
    </font>
    <font>
      <sz val="11"/>
      <name val="Consolas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4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9" applyNumberFormat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15" fillId="16" borderId="9" applyNumberFormat="0" applyAlignment="0" applyProtection="0">
      <alignment vertical="center"/>
    </xf>
    <xf numFmtId="0" fontId="16" fillId="17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49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 wrapText="1"/>
      <protection locked="0"/>
    </xf>
    <xf numFmtId="0" fontId="2" fillId="6" borderId="1" xfId="0" applyFont="1" applyFill="1" applyBorder="1" applyAlignment="1" applyProtection="1">
      <alignment horizontal="center" vertical="center" wrapText="1"/>
      <protection locked="0"/>
    </xf>
    <xf numFmtId="0" fontId="2" fillId="7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1" fillId="8" borderId="1" xfId="0" applyFont="1" applyFill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20" fontId="2" fillId="0" borderId="1" xfId="0" applyNumberFormat="1" applyFont="1" applyBorder="1" applyAlignment="1">
      <alignment vertical="center" wrapText="1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9" borderId="1" xfId="0" applyFont="1" applyFill="1" applyBorder="1" applyAlignment="1">
      <alignment vertical="center"/>
    </xf>
    <xf numFmtId="0" fontId="3" fillId="10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11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zoomScale="85" zoomScaleNormal="85" topLeftCell="A8" workbookViewId="0">
      <selection activeCell="E26" sqref="E26"/>
    </sheetView>
  </sheetViews>
  <sheetFormatPr defaultColWidth="8.72727272727273" defaultRowHeight="14" outlineLevelCol="6"/>
  <cols>
    <col min="1" max="1" width="7.59090909090909" style="41" customWidth="1"/>
    <col min="2" max="7" width="25.8727272727273" style="42" customWidth="1"/>
  </cols>
  <sheetData>
    <row r="1" s="40" customFormat="1" spans="1:7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4" t="s">
        <v>5</v>
      </c>
      <c r="G1" s="44" t="s">
        <v>6</v>
      </c>
    </row>
    <row r="2" spans="1:7">
      <c r="A2" s="45" t="s">
        <v>7</v>
      </c>
      <c r="B2" s="42" t="s">
        <v>8</v>
      </c>
      <c r="C2" s="42" t="s">
        <v>9</v>
      </c>
    </row>
    <row r="3" ht="39" spans="1:7">
      <c r="A3" s="45" t="s">
        <v>10</v>
      </c>
      <c r="C3" s="42" t="s">
        <v>11</v>
      </c>
      <c r="D3" s="42" t="s">
        <v>12</v>
      </c>
    </row>
    <row r="4" spans="1:7">
      <c r="A4" s="45" t="s">
        <v>13</v>
      </c>
    </row>
    <row r="5" spans="1:7">
      <c r="A5" s="45" t="s">
        <v>14</v>
      </c>
      <c r="C5" s="42" t="s">
        <v>15</v>
      </c>
      <c r="D5" s="42" t="s">
        <v>16</v>
      </c>
    </row>
    <row r="6" spans="1:7">
      <c r="A6" s="45" t="s">
        <v>17</v>
      </c>
      <c r="C6" s="42" t="s">
        <v>18</v>
      </c>
    </row>
    <row r="7" ht="208" spans="1:7">
      <c r="A7" s="45" t="s">
        <v>19</v>
      </c>
      <c r="B7" s="42" t="s">
        <v>20</v>
      </c>
      <c r="C7" s="42" t="s">
        <v>21</v>
      </c>
      <c r="D7" s="42" t="s">
        <v>22</v>
      </c>
    </row>
    <row r="8" spans="1:7">
      <c r="A8" s="45" t="s">
        <v>23</v>
      </c>
    </row>
    <row r="9" spans="1:7">
      <c r="A9" s="45" t="s">
        <v>24</v>
      </c>
    </row>
    <row r="10" spans="1:7">
      <c r="A10" s="45" t="s">
        <v>25</v>
      </c>
      <c r="B10" s="42" t="s">
        <v>26</v>
      </c>
    </row>
    <row r="11" spans="1:7">
      <c r="A11" s="45" t="s">
        <v>27</v>
      </c>
    </row>
    <row r="12" spans="1:7">
      <c r="A12" s="45" t="s">
        <v>28</v>
      </c>
    </row>
    <row r="13" ht="39" spans="1:7">
      <c r="A13" s="45" t="s">
        <v>29</v>
      </c>
      <c r="D13" s="42" t="s">
        <v>30</v>
      </c>
    </row>
    <row r="14" spans="1:7">
      <c r="A14" s="45" t="s">
        <v>31</v>
      </c>
      <c r="B14" s="42" t="s">
        <v>32</v>
      </c>
    </row>
    <row r="15" spans="1:7">
      <c r="A15" s="45" t="s">
        <v>33</v>
      </c>
    </row>
    <row r="16" spans="1:7">
      <c r="A16" s="45" t="s">
        <v>34</v>
      </c>
      <c r="C16" s="42" t="s">
        <v>35</v>
      </c>
    </row>
    <row r="17" ht="26" spans="1:4">
      <c r="A17" s="45" t="s">
        <v>36</v>
      </c>
      <c r="C17" s="42" t="s">
        <v>37</v>
      </c>
    </row>
    <row r="18" spans="1:4">
      <c r="A18" s="45" t="s">
        <v>38</v>
      </c>
      <c r="D18" s="42" t="s">
        <v>39</v>
      </c>
    </row>
    <row r="19" spans="1:4">
      <c r="A19" s="45" t="s">
        <v>40</v>
      </c>
      <c r="D19" s="42" t="s">
        <v>41</v>
      </c>
    </row>
    <row r="20" ht="26" spans="1:4">
      <c r="A20" s="45" t="s">
        <v>42</v>
      </c>
      <c r="B20" s="42" t="s">
        <v>43</v>
      </c>
      <c r="C20" s="42" t="s">
        <v>44</v>
      </c>
    </row>
    <row r="21" ht="52" spans="1:4">
      <c r="A21" s="45" t="s">
        <v>45</v>
      </c>
      <c r="B21" s="42" t="s">
        <v>46</v>
      </c>
      <c r="C21" s="42" t="s">
        <v>47</v>
      </c>
      <c r="D21" s="42" t="s">
        <v>48</v>
      </c>
    </row>
    <row r="22" spans="1:4">
      <c r="A22" s="45" t="s">
        <v>49</v>
      </c>
    </row>
    <row r="23" ht="26" spans="1:4">
      <c r="A23" s="45" t="s">
        <v>50</v>
      </c>
      <c r="B23" s="42" t="s">
        <v>51</v>
      </c>
    </row>
    <row r="24" ht="52" spans="1:4">
      <c r="A24" s="45" t="s">
        <v>52</v>
      </c>
      <c r="B24" s="42" t="s">
        <v>53</v>
      </c>
      <c r="C24" s="42" t="s">
        <v>54</v>
      </c>
      <c r="D24" s="42" t="s">
        <v>41</v>
      </c>
    </row>
    <row r="25" spans="1:4">
      <c r="A25" s="45" t="s">
        <v>55</v>
      </c>
    </row>
    <row r="26" spans="1:4">
      <c r="A26" s="45" t="s">
        <v>56</v>
      </c>
    </row>
    <row r="27" spans="1:4">
      <c r="A27" s="45" t="s">
        <v>57</v>
      </c>
      <c r="B27" s="42" t="s">
        <v>58</v>
      </c>
      <c r="C27" s="42" t="s">
        <v>59</v>
      </c>
    </row>
    <row r="28" ht="91" spans="1:4">
      <c r="A28" s="45" t="s">
        <v>60</v>
      </c>
      <c r="B28" s="42" t="s">
        <v>61</v>
      </c>
      <c r="C28" s="42" t="s">
        <v>62</v>
      </c>
      <c r="D28" s="42" t="s">
        <v>63</v>
      </c>
    </row>
    <row r="29" spans="1:4">
      <c r="A29" s="45" t="s">
        <v>64</v>
      </c>
    </row>
    <row r="30" spans="1:4">
      <c r="A30" s="45" t="s">
        <v>65</v>
      </c>
      <c r="B30" s="42" t="s">
        <v>66</v>
      </c>
      <c r="C30" s="42" t="s">
        <v>67</v>
      </c>
    </row>
    <row r="31" spans="1:4">
      <c r="A31" s="45" t="s">
        <v>68</v>
      </c>
    </row>
    <row r="32" spans="1:4">
      <c r="A32" s="45" t="s">
        <v>69</v>
      </c>
    </row>
    <row r="33" spans="1:7">
      <c r="A33" s="45" t="s">
        <v>70</v>
      </c>
    </row>
    <row r="34" spans="1:7">
      <c r="A34" s="45" t="s">
        <v>71</v>
      </c>
    </row>
    <row r="35" spans="1:7">
      <c r="A35" s="45" t="s">
        <v>72</v>
      </c>
    </row>
    <row r="36" spans="1:7">
      <c r="A36" s="45" t="s">
        <v>73</v>
      </c>
      <c r="B36" s="42" t="s">
        <v>74</v>
      </c>
    </row>
    <row r="37" ht="26" spans="1:7">
      <c r="A37" s="45" t="s">
        <v>75</v>
      </c>
      <c r="C37" s="42" t="s">
        <v>76</v>
      </c>
      <c r="D37" s="42" t="s">
        <v>77</v>
      </c>
    </row>
    <row r="38" spans="1:7">
      <c r="A38" s="45" t="s">
        <v>78</v>
      </c>
      <c r="B38" s="42" t="s">
        <v>79</v>
      </c>
      <c r="C38" s="46"/>
      <c r="D38" s="46"/>
      <c r="E38" s="46"/>
      <c r="F38" s="46"/>
      <c r="G38" s="46"/>
    </row>
    <row r="39" ht="26" spans="1:7">
      <c r="A39" s="45" t="s">
        <v>80</v>
      </c>
      <c r="C39" s="42" t="s">
        <v>81</v>
      </c>
      <c r="D39" s="42" t="s">
        <v>82</v>
      </c>
    </row>
    <row r="40" spans="1:7">
      <c r="A40" s="45" t="s">
        <v>83</v>
      </c>
      <c r="B40" s="42" t="s">
        <v>84</v>
      </c>
      <c r="C40" s="42" t="s">
        <v>85</v>
      </c>
      <c r="D40" s="42" t="s">
        <v>86</v>
      </c>
    </row>
    <row r="41" ht="195" spans="1:7">
      <c r="A41" s="45" t="s">
        <v>87</v>
      </c>
      <c r="C41" s="42" t="s">
        <v>88</v>
      </c>
      <c r="D41" s="42" t="s">
        <v>89</v>
      </c>
    </row>
    <row r="42" spans="1:7">
      <c r="A42" s="45" t="s">
        <v>90</v>
      </c>
    </row>
    <row r="43" spans="1:7">
      <c r="A43" s="45" t="s">
        <v>91</v>
      </c>
      <c r="B43" s="42" t="s">
        <v>92</v>
      </c>
    </row>
    <row r="44" ht="26" spans="1:7">
      <c r="A44" s="45" t="s">
        <v>93</v>
      </c>
      <c r="B44" s="42" t="s">
        <v>94</v>
      </c>
    </row>
    <row r="45" spans="1:7">
      <c r="A45" s="45" t="s">
        <v>95</v>
      </c>
      <c r="D45" s="42" t="s">
        <v>96</v>
      </c>
    </row>
    <row r="46" spans="1:7">
      <c r="A46" s="45" t="s">
        <v>97</v>
      </c>
    </row>
    <row r="47" spans="1:7">
      <c r="A47" s="45" t="s">
        <v>98</v>
      </c>
    </row>
    <row r="48" spans="1:7">
      <c r="A48" s="45" t="s">
        <v>99</v>
      </c>
      <c r="C48" s="42" t="s">
        <v>100</v>
      </c>
    </row>
    <row r="49" spans="1:7">
      <c r="A49" s="45" t="s">
        <v>101</v>
      </c>
    </row>
    <row r="50" ht="78" spans="1:7">
      <c r="A50" s="45" t="s">
        <v>102</v>
      </c>
      <c r="C50" s="42" t="s">
        <v>103</v>
      </c>
    </row>
    <row r="51" spans="1:7">
      <c r="A51" s="45" t="s">
        <v>104</v>
      </c>
    </row>
    <row r="52" ht="26" spans="1:7">
      <c r="A52" s="45" t="s">
        <v>105</v>
      </c>
      <c r="B52" s="42" t="s">
        <v>106</v>
      </c>
      <c r="C52" s="42" t="s">
        <v>107</v>
      </c>
    </row>
    <row r="53" ht="26" spans="1:7">
      <c r="A53" s="41" t="s">
        <v>108</v>
      </c>
      <c r="B53" s="42" t="s">
        <v>109</v>
      </c>
      <c r="D53" s="46"/>
      <c r="E53" s="46"/>
      <c r="F53" s="46"/>
      <c r="G53" s="46"/>
    </row>
    <row r="54" spans="1:7">
      <c r="A54" s="41" t="s">
        <v>110</v>
      </c>
      <c r="B54" s="42" t="s">
        <v>111</v>
      </c>
      <c r="C54" s="42" t="s">
        <v>112</v>
      </c>
      <c r="D54" s="46"/>
      <c r="E54" s="46"/>
      <c r="F54" s="46"/>
      <c r="G54" s="46"/>
    </row>
    <row r="55" ht="52" spans="1:7">
      <c r="A55" s="41" t="s">
        <v>113</v>
      </c>
      <c r="B55" s="46"/>
      <c r="C55" s="46"/>
      <c r="D55" s="42" t="s">
        <v>114</v>
      </c>
    </row>
    <row r="56" ht="65" spans="1:7">
      <c r="A56" s="41" t="s">
        <v>115</v>
      </c>
      <c r="B56" s="38" t="s">
        <v>116</v>
      </c>
      <c r="C56" s="38"/>
      <c r="D56" s="42" t="s">
        <v>117</v>
      </c>
    </row>
    <row r="57" ht="117" spans="1:7">
      <c r="A57" s="41" t="s">
        <v>118</v>
      </c>
      <c r="B57" s="38" t="s">
        <v>119</v>
      </c>
      <c r="C57" s="38" t="s">
        <v>120</v>
      </c>
      <c r="D57" s="42" t="s">
        <v>121</v>
      </c>
    </row>
    <row r="58" spans="1:7">
      <c r="A58" s="41" t="s">
        <v>122</v>
      </c>
      <c r="B58" s="42" t="s">
        <v>123</v>
      </c>
      <c r="C58" s="46"/>
      <c r="D58" s="46"/>
      <c r="E58" s="46"/>
      <c r="F58" s="46"/>
      <c r="G58" s="46"/>
    </row>
    <row r="59" spans="1:7">
      <c r="A59" s="41" t="s">
        <v>124</v>
      </c>
      <c r="B59" s="46"/>
      <c r="C59" s="42" t="s">
        <v>125</v>
      </c>
      <c r="D59" s="46"/>
      <c r="E59" s="46"/>
      <c r="F59" s="46"/>
      <c r="G59" s="46"/>
    </row>
    <row r="60" ht="52" spans="1:7">
      <c r="A60" s="41" t="s">
        <v>126</v>
      </c>
      <c r="B60" s="46"/>
      <c r="C60" s="46"/>
      <c r="D60" s="42" t="s">
        <v>127</v>
      </c>
    </row>
    <row r="61" spans="1:7">
      <c r="A61" s="41" t="s">
        <v>128</v>
      </c>
      <c r="B61" s="38" t="s">
        <v>129</v>
      </c>
      <c r="C61" s="38"/>
      <c r="D61" s="46"/>
      <c r="E61" s="46"/>
      <c r="F61" s="46"/>
      <c r="G61" s="46"/>
    </row>
    <row r="62" ht="39" spans="1:7">
      <c r="A62" s="41" t="s">
        <v>130</v>
      </c>
      <c r="B62" s="46"/>
      <c r="C62" s="46"/>
      <c r="D62" s="42" t="s">
        <v>131</v>
      </c>
    </row>
    <row r="63" ht="26" spans="1:7">
      <c r="A63" s="41" t="s">
        <v>132</v>
      </c>
      <c r="B63" s="38" t="s">
        <v>133</v>
      </c>
      <c r="C63" s="38" t="s">
        <v>134</v>
      </c>
      <c r="D63" s="46"/>
      <c r="E63" s="46"/>
      <c r="F63" s="46"/>
      <c r="G63" s="46"/>
    </row>
    <row r="64" ht="26" spans="1:7">
      <c r="A64" s="41" t="s">
        <v>135</v>
      </c>
      <c r="B64" s="46"/>
      <c r="C64" s="46"/>
      <c r="D64" s="42" t="s">
        <v>136</v>
      </c>
    </row>
    <row r="65" ht="26" spans="1:7">
      <c r="A65" s="41" t="s">
        <v>137</v>
      </c>
      <c r="B65" s="47" t="s">
        <v>138</v>
      </c>
      <c r="C65" s="46"/>
      <c r="D65" s="46"/>
      <c r="E65" s="46"/>
      <c r="F65" s="46"/>
      <c r="G65" s="46"/>
    </row>
    <row r="66" spans="1:7">
      <c r="A66" s="41" t="s">
        <v>139</v>
      </c>
      <c r="B66" s="46"/>
      <c r="C66" s="42" t="s">
        <v>140</v>
      </c>
      <c r="D66" s="46"/>
      <c r="E66" s="46"/>
      <c r="F66" s="46"/>
      <c r="G66" s="46"/>
    </row>
    <row r="67" spans="1:7">
      <c r="A67" s="41" t="s">
        <v>141</v>
      </c>
      <c r="B67" s="46"/>
      <c r="C67" s="46"/>
    </row>
    <row r="68" ht="26" spans="1:7">
      <c r="A68" s="41" t="s">
        <v>142</v>
      </c>
      <c r="B68" s="46"/>
      <c r="C68" s="46"/>
      <c r="D68" s="42" t="s">
        <v>143</v>
      </c>
    </row>
    <row r="69" spans="1:7">
      <c r="A69" s="41" t="s">
        <v>144</v>
      </c>
      <c r="B69" s="38" t="s">
        <v>145</v>
      </c>
      <c r="C69" s="38"/>
    </row>
    <row r="70" ht="26" spans="1:7">
      <c r="A70" s="41" t="s">
        <v>146</v>
      </c>
      <c r="B70" s="38" t="s">
        <v>147</v>
      </c>
      <c r="C70" s="38"/>
      <c r="D70" s="46"/>
      <c r="E70" s="46"/>
      <c r="F70" s="46"/>
      <c r="G70" s="46"/>
    </row>
    <row r="71" spans="1:7">
      <c r="A71" s="41" t="s">
        <v>148</v>
      </c>
      <c r="B71" s="46"/>
      <c r="C71" s="46"/>
    </row>
    <row r="72" spans="1:7">
      <c r="A72" s="41" t="s">
        <v>149</v>
      </c>
      <c r="B72" s="42" t="s">
        <v>150</v>
      </c>
      <c r="C72" s="42" t="s">
        <v>151</v>
      </c>
      <c r="D72" s="46"/>
      <c r="E72" s="46"/>
      <c r="F72" s="46"/>
      <c r="G72" s="46"/>
    </row>
    <row r="73" spans="1:7">
      <c r="A73" s="41" t="s">
        <v>152</v>
      </c>
      <c r="B73" s="46"/>
      <c r="C73" s="42" t="s">
        <v>153</v>
      </c>
      <c r="D73" s="46"/>
      <c r="E73" s="46"/>
      <c r="F73" s="46"/>
      <c r="G73" s="46"/>
    </row>
    <row r="74" spans="1:7">
      <c r="A74" s="41" t="s">
        <v>154</v>
      </c>
    </row>
    <row r="75" spans="1:7">
      <c r="A75" s="41" t="s">
        <v>155</v>
      </c>
      <c r="D75" s="46"/>
      <c r="E75" s="46"/>
      <c r="F75" s="46"/>
      <c r="G75" s="46"/>
    </row>
    <row r="76" spans="1:7">
      <c r="A76" s="41" t="s">
        <v>156</v>
      </c>
      <c r="B76" s="46"/>
      <c r="C76" s="46"/>
      <c r="D76" s="42" t="s">
        <v>157</v>
      </c>
    </row>
    <row r="77" spans="1:7">
      <c r="A77" s="41" t="s">
        <v>158</v>
      </c>
      <c r="B77" s="38"/>
      <c r="C77" s="38"/>
    </row>
    <row r="78" ht="26" spans="1:7">
      <c r="A78" s="48" t="s">
        <v>159</v>
      </c>
      <c r="B78" s="42" t="s">
        <v>160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B10" sqref="B10"/>
    </sheetView>
  </sheetViews>
  <sheetFormatPr defaultColWidth="8.72727272727273" defaultRowHeight="14" outlineLevelCol="6"/>
  <cols>
    <col min="1" max="1" width="6.64545454545455" style="32" customWidth="1"/>
    <col min="2" max="7" width="16.4909090909091" style="33" customWidth="1"/>
    <col min="8" max="16384" width="8.72727272727273" style="34"/>
  </cols>
  <sheetData>
    <row r="1" spans="1:7">
      <c r="A1" s="35"/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</row>
    <row r="2" s="31" customFormat="1" ht="39" spans="1:7">
      <c r="A2" s="37" t="s">
        <v>161</v>
      </c>
      <c r="B2" s="38"/>
      <c r="C2" s="38"/>
      <c r="D2" s="38" t="s">
        <v>162</v>
      </c>
      <c r="E2" s="38"/>
      <c r="F2" s="38"/>
      <c r="G2" s="38"/>
    </row>
    <row r="3" spans="1:7">
      <c r="A3" s="39" t="s">
        <v>163</v>
      </c>
      <c r="C3" s="33" t="s">
        <v>164</v>
      </c>
    </row>
    <row r="4" spans="1:7">
      <c r="A4" s="39" t="s">
        <v>165</v>
      </c>
      <c r="B4" s="33" t="s">
        <v>166</v>
      </c>
    </row>
    <row r="5" spans="1:7">
      <c r="A5" s="39" t="s">
        <v>167</v>
      </c>
      <c r="C5" s="33" t="s">
        <v>168</v>
      </c>
      <c r="D5" s="33" t="s">
        <v>169</v>
      </c>
    </row>
    <row r="6" spans="1:7">
      <c r="A6" s="39" t="s">
        <v>170</v>
      </c>
      <c r="B6" s="33" t="s">
        <v>171</v>
      </c>
      <c r="D6" s="33" t="s">
        <v>172</v>
      </c>
    </row>
    <row r="7" spans="1:7">
      <c r="A7" s="39" t="s">
        <v>173</v>
      </c>
      <c r="B7" s="33" t="s">
        <v>174</v>
      </c>
    </row>
    <row r="8" spans="1:7">
      <c r="A8" s="39"/>
      <c r="D8" s="33" t="s">
        <v>175</v>
      </c>
    </row>
    <row r="9" spans="1:7">
      <c r="A9" s="39"/>
    </row>
    <row r="10" spans="1:7">
      <c r="A10" s="39"/>
      <c r="B10" s="33" t="s">
        <v>176</v>
      </c>
    </row>
    <row r="11" spans="1:7">
      <c r="A11" s="39"/>
    </row>
    <row r="12" spans="1:7">
      <c r="A12" s="39"/>
    </row>
    <row r="13" spans="1:7">
      <c r="A13" s="39"/>
    </row>
    <row r="14" spans="1:7">
      <c r="A14" s="39"/>
    </row>
    <row r="15" spans="1:7">
      <c r="A15" s="39"/>
    </row>
    <row r="16" spans="1:7">
      <c r="A16" s="39"/>
    </row>
    <row r="17" spans="1:1">
      <c r="A17" s="39"/>
    </row>
    <row r="18" spans="1:1">
      <c r="A18" s="39"/>
    </row>
    <row r="19" spans="1:1">
      <c r="A19" s="39"/>
    </row>
    <row r="20" spans="1:1">
      <c r="A20" s="39"/>
    </row>
    <row r="21" spans="1:1">
      <c r="A21" s="39"/>
    </row>
    <row r="22" spans="1:1">
      <c r="A22" s="39"/>
    </row>
    <row r="23" spans="1:1">
      <c r="A23" s="39"/>
    </row>
    <row r="24" spans="1:1">
      <c r="A24" s="39"/>
    </row>
    <row r="25" spans="1:1">
      <c r="A25" s="39"/>
    </row>
    <row r="26" spans="1:1">
      <c r="A26" s="39"/>
    </row>
    <row r="27" spans="1:1">
      <c r="A27" s="39"/>
    </row>
    <row r="28" spans="1:1">
      <c r="A28" s="39"/>
    </row>
    <row r="29" spans="1:1">
      <c r="A29" s="39"/>
    </row>
    <row r="30" spans="1:1">
      <c r="A30" s="39"/>
    </row>
    <row r="31" spans="1:1">
      <c r="A31" s="39"/>
    </row>
    <row r="32" spans="1:1">
      <c r="A32" s="39"/>
    </row>
    <row r="33" spans="1:7">
      <c r="A33" s="39"/>
    </row>
    <row r="34" spans="1:7">
      <c r="A34" s="39"/>
    </row>
    <row r="35" spans="1:7">
      <c r="A35" s="39"/>
    </row>
    <row r="36" spans="1:7">
      <c r="A36" s="39"/>
    </row>
    <row r="37" spans="1:7">
      <c r="A37" s="39"/>
    </row>
    <row r="38" spans="1:7">
      <c r="A38" s="39"/>
      <c r="B38" s="38"/>
      <c r="C38" s="38"/>
      <c r="D38" s="38"/>
      <c r="E38" s="38"/>
      <c r="F38" s="38"/>
      <c r="G38" s="38"/>
    </row>
    <row r="39" spans="1:7">
      <c r="A39" s="39"/>
      <c r="B39" s="38"/>
      <c r="C39" s="38"/>
      <c r="D39" s="38"/>
      <c r="E39" s="38"/>
      <c r="F39" s="38"/>
      <c r="G39" s="38"/>
    </row>
    <row r="40" spans="1:7">
      <c r="A40" s="39"/>
    </row>
    <row r="41" spans="1:7">
      <c r="A41" s="39"/>
    </row>
    <row r="42" spans="1:7">
      <c r="A42" s="39"/>
    </row>
    <row r="43" spans="1:7">
      <c r="A43" s="39"/>
    </row>
    <row r="44" spans="1:7">
      <c r="A44" s="39"/>
    </row>
    <row r="45" spans="1:7">
      <c r="A45" s="39"/>
    </row>
    <row r="46" spans="1:7">
      <c r="A46" s="39"/>
    </row>
    <row r="47" spans="1:7">
      <c r="A47" s="39"/>
    </row>
    <row r="48" spans="1:7">
      <c r="A48" s="39"/>
    </row>
    <row r="49" spans="1:1">
      <c r="A49" s="39"/>
    </row>
    <row r="50" spans="1:1">
      <c r="A50" s="39"/>
    </row>
    <row r="51" spans="1:1">
      <c r="A51" s="3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tabSelected="1" workbookViewId="0">
      <selection activeCell="E7" sqref="E7"/>
    </sheetView>
  </sheetViews>
  <sheetFormatPr defaultColWidth="8.72727272727273" defaultRowHeight="14" outlineLevelCol="2"/>
  <cols>
    <col min="1" max="1" width="35.1818181818182" style="20" customWidth="1"/>
    <col min="2" max="2" width="16.9090909090909" style="20" customWidth="1"/>
    <col min="3" max="3" width="50.0909090909091" style="25" customWidth="1"/>
    <col min="4" max="16384" width="8.72727272727273" style="20"/>
  </cols>
  <sheetData>
    <row r="1" spans="1:3">
      <c r="A1" s="20" t="s">
        <v>177</v>
      </c>
      <c r="B1" s="20" t="s">
        <v>178</v>
      </c>
      <c r="C1" s="25" t="s">
        <v>179</v>
      </c>
    </row>
    <row r="2" spans="1:3">
      <c r="A2" s="20" t="s">
        <v>180</v>
      </c>
      <c r="B2" s="20" t="s">
        <v>181</v>
      </c>
      <c r="C2" s="25" t="s">
        <v>182</v>
      </c>
    </row>
    <row r="3" spans="1:3">
      <c r="A3" s="20" t="s">
        <v>183</v>
      </c>
      <c r="B3" s="20" t="s">
        <v>184</v>
      </c>
      <c r="C3" s="25" t="s">
        <v>185</v>
      </c>
    </row>
    <row r="4" ht="28" spans="1:3">
      <c r="A4" s="20" t="s">
        <v>186</v>
      </c>
      <c r="B4" s="20" t="s">
        <v>184</v>
      </c>
      <c r="C4" s="25" t="s">
        <v>187</v>
      </c>
    </row>
    <row r="5" ht="42" spans="1:3">
      <c r="A5" s="26" t="s">
        <v>188</v>
      </c>
      <c r="B5" s="20" t="s">
        <v>189</v>
      </c>
      <c r="C5" s="25" t="s">
        <v>190</v>
      </c>
    </row>
    <row r="6" ht="56" spans="1:3">
      <c r="A6" s="27"/>
      <c r="B6" s="20" t="s">
        <v>191</v>
      </c>
      <c r="C6" s="25" t="s">
        <v>192</v>
      </c>
    </row>
    <row r="7" ht="28" spans="1:3">
      <c r="A7" s="20" t="s">
        <v>193</v>
      </c>
      <c r="B7" s="20" t="s">
        <v>194</v>
      </c>
      <c r="C7" s="25" t="s">
        <v>195</v>
      </c>
    </row>
    <row r="8" ht="28" spans="1:3">
      <c r="A8" s="20" t="s">
        <v>196</v>
      </c>
      <c r="B8" s="20" t="s">
        <v>197</v>
      </c>
      <c r="C8" s="25" t="s">
        <v>198</v>
      </c>
    </row>
    <row r="9" spans="1:3">
      <c r="A9" s="20" t="s">
        <v>199</v>
      </c>
      <c r="B9" s="20" t="s">
        <v>200</v>
      </c>
      <c r="C9" s="25" t="s">
        <v>201</v>
      </c>
    </row>
    <row r="10" spans="1:3">
      <c r="A10" s="20" t="s">
        <v>202</v>
      </c>
      <c r="B10" s="20" t="s">
        <v>203</v>
      </c>
      <c r="C10" s="25" t="s">
        <v>204</v>
      </c>
    </row>
    <row r="11" spans="1:3">
      <c r="A11" s="20" t="s">
        <v>205</v>
      </c>
      <c r="B11" s="20" t="s">
        <v>206</v>
      </c>
      <c r="C11" s="28">
        <v>0.440972222222222</v>
      </c>
    </row>
    <row r="12" ht="28" spans="1:3">
      <c r="A12" s="22" t="s">
        <v>60</v>
      </c>
      <c r="B12" s="20" t="s">
        <v>207</v>
      </c>
      <c r="C12" s="25" t="s">
        <v>208</v>
      </c>
    </row>
    <row r="13" spans="1:3">
      <c r="A13" s="24"/>
      <c r="B13" s="20" t="s">
        <v>209</v>
      </c>
      <c r="C13" s="25" t="s">
        <v>210</v>
      </c>
    </row>
    <row r="14" spans="1:3">
      <c r="A14" s="29" t="s">
        <v>211</v>
      </c>
      <c r="B14" s="20" t="s">
        <v>209</v>
      </c>
      <c r="C14" s="25" t="s">
        <v>212</v>
      </c>
    </row>
    <row r="15" spans="1:3">
      <c r="A15" s="30"/>
      <c r="B15" s="20" t="s">
        <v>213</v>
      </c>
      <c r="C15" s="25" t="s">
        <v>214</v>
      </c>
    </row>
    <row r="16" ht="42" spans="1:3">
      <c r="A16" s="20" t="s">
        <v>215</v>
      </c>
      <c r="B16" s="20" t="s">
        <v>216</v>
      </c>
      <c r="C16" s="25" t="s">
        <v>217</v>
      </c>
    </row>
  </sheetData>
  <mergeCells count="3">
    <mergeCell ref="A5:A6"/>
    <mergeCell ref="A12:A13"/>
    <mergeCell ref="A14:A1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13"/>
    <col min="2" max="2" width="3.54545454545455" style="19" customWidth="1"/>
    <col min="3" max="16384" width="8.72727272727273" style="20"/>
  </cols>
  <sheetData>
    <row r="1" spans="1:4">
      <c r="C1" s="21" t="s">
        <v>218</v>
      </c>
      <c r="D1" s="20" t="s">
        <v>219</v>
      </c>
    </row>
    <row r="2" spans="1:4">
      <c r="A2" s="22">
        <v>2025.1</v>
      </c>
      <c r="B2" s="19">
        <v>11</v>
      </c>
      <c r="C2" s="21">
        <v>113</v>
      </c>
    </row>
    <row r="3" spans="1:4">
      <c r="A3" s="23"/>
      <c r="B3" s="19">
        <v>15</v>
      </c>
      <c r="C3" s="21">
        <v>163</v>
      </c>
    </row>
    <row r="4" spans="1:4">
      <c r="A4" s="23"/>
      <c r="B4" s="19">
        <v>17</v>
      </c>
      <c r="C4" s="21">
        <v>158</v>
      </c>
    </row>
    <row r="5" spans="1:4">
      <c r="A5" s="23"/>
      <c r="B5" s="19">
        <v>22</v>
      </c>
      <c r="C5" s="21">
        <v>70</v>
      </c>
    </row>
    <row r="6" spans="1:4">
      <c r="A6" s="23"/>
      <c r="B6" s="19">
        <v>24</v>
      </c>
      <c r="C6" s="21">
        <v>180</v>
      </c>
    </row>
    <row r="7" spans="1:4">
      <c r="A7" s="23"/>
      <c r="B7" s="19">
        <v>29</v>
      </c>
      <c r="C7" s="21">
        <v>135</v>
      </c>
    </row>
    <row r="8" spans="1:4">
      <c r="A8" s="24"/>
      <c r="B8" s="19">
        <v>31</v>
      </c>
      <c r="C8" s="21">
        <v>89</v>
      </c>
    </row>
    <row r="9" spans="1:4">
      <c r="A9" s="22">
        <v>2025.11</v>
      </c>
      <c r="B9" s="19">
        <v>5</v>
      </c>
      <c r="C9" s="21">
        <v>118</v>
      </c>
    </row>
    <row r="10" spans="1:4">
      <c r="A10" s="23"/>
      <c r="B10" s="19">
        <v>7</v>
      </c>
      <c r="C10" s="21">
        <v>119</v>
      </c>
    </row>
    <row r="11" spans="1:4">
      <c r="A11" s="24"/>
      <c r="B11" s="19">
        <v>14</v>
      </c>
      <c r="C11" s="21">
        <v>63</v>
      </c>
    </row>
    <row r="12" spans="1:4">
      <c r="A12" s="13">
        <v>2025.12</v>
      </c>
      <c r="B12" s="19">
        <v>26</v>
      </c>
      <c r="C12" s="21">
        <v>225</v>
      </c>
      <c r="D12" s="20">
        <v>74</v>
      </c>
    </row>
    <row r="13" spans="1:4">
      <c r="C13" s="21"/>
    </row>
    <row r="14" spans="1:4">
      <c r="C14" s="21"/>
    </row>
    <row r="15" spans="1:4">
      <c r="C15" s="21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M52"/>
  <sheetViews>
    <sheetView workbookViewId="0">
      <pane xSplit="1" ySplit="1" topLeftCell="B29" activePane="bottomRight" state="frozen"/>
      <selection/>
      <selection pane="topRight"/>
      <selection pane="bottomLeft"/>
      <selection pane="bottomRight" activeCell="AA59" sqref="AA59"/>
    </sheetView>
  </sheetViews>
  <sheetFormatPr defaultColWidth="8.72727272727273" defaultRowHeight="14.5"/>
  <cols>
    <col min="1" max="1" width="4.07272727272727" customWidth="1"/>
    <col min="2" max="19" width="3.23636363636364" customWidth="1"/>
    <col min="20" max="20" width="5.23636363636364" style="2" customWidth="1"/>
    <col min="21" max="22" width="5.23636363636364" style="3" customWidth="1"/>
    <col min="23" max="23" width="6.63636363636364" style="3" customWidth="1"/>
    <col min="24" max="26" width="5.23636363636364" style="4" customWidth="1"/>
    <col min="27" max="39" width="3.23636363636364" customWidth="1"/>
  </cols>
  <sheetData>
    <row r="1" s="1" customFormat="1" ht="28" spans="1:39">
      <c r="A1" s="5" t="s">
        <v>220</v>
      </c>
      <c r="B1" s="5">
        <v>5</v>
      </c>
      <c r="C1" s="5">
        <v>6</v>
      </c>
      <c r="D1" s="5">
        <v>9</v>
      </c>
      <c r="E1" s="5">
        <v>10</v>
      </c>
      <c r="F1" s="5">
        <v>11</v>
      </c>
      <c r="G1" s="5">
        <v>12</v>
      </c>
      <c r="H1" s="5">
        <v>15</v>
      </c>
      <c r="I1" s="5">
        <v>16</v>
      </c>
      <c r="J1" s="5">
        <v>17</v>
      </c>
      <c r="K1" s="5">
        <v>18</v>
      </c>
      <c r="L1" s="5">
        <v>19</v>
      </c>
      <c r="M1" s="5">
        <v>22</v>
      </c>
      <c r="N1" s="5">
        <v>23</v>
      </c>
      <c r="O1" s="5">
        <v>25</v>
      </c>
      <c r="P1" s="5">
        <v>26</v>
      </c>
      <c r="Q1" s="5">
        <v>29</v>
      </c>
      <c r="R1" s="5">
        <v>30</v>
      </c>
      <c r="S1" s="6">
        <v>31</v>
      </c>
      <c r="T1" s="7" t="s">
        <v>221</v>
      </c>
      <c r="U1" s="7" t="s">
        <v>222</v>
      </c>
      <c r="V1" s="7" t="s">
        <v>223</v>
      </c>
      <c r="W1" s="7" t="s">
        <v>224</v>
      </c>
      <c r="X1" s="8" t="s">
        <v>225</v>
      </c>
      <c r="Y1" s="8" t="s">
        <v>226</v>
      </c>
      <c r="Z1" s="8" t="s">
        <v>227</v>
      </c>
      <c r="AA1" s="5">
        <v>4</v>
      </c>
      <c r="AB1" s="5">
        <v>5</v>
      </c>
      <c r="AC1" s="5">
        <v>6</v>
      </c>
      <c r="AD1" s="5">
        <v>7</v>
      </c>
      <c r="AE1" s="5">
        <v>8</v>
      </c>
      <c r="AF1" s="5">
        <v>9</v>
      </c>
      <c r="AG1" s="5">
        <v>12</v>
      </c>
      <c r="AH1" s="5">
        <v>13</v>
      </c>
      <c r="AI1" s="5">
        <v>14</v>
      </c>
      <c r="AJ1" s="5">
        <v>15</v>
      </c>
      <c r="AK1" s="5">
        <v>16</v>
      </c>
      <c r="AL1" s="5">
        <v>19</v>
      </c>
      <c r="AM1" s="5">
        <v>20</v>
      </c>
    </row>
    <row r="2" ht="14" customHeight="1" spans="1:39">
      <c r="A2" s="9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1"/>
      <c r="T2" s="2">
        <f>SUM(B2:S2)</f>
        <v>0</v>
      </c>
      <c r="U2" s="3" cm="1">
        <f t="array" ref="U2">SUMPRODUCT(--(B2:S2=INT(B2:S2)),--(B2:S2&gt;0))</f>
        <v>0</v>
      </c>
      <c r="V2" s="3" cm="1">
        <f t="array" ref="V2">MAX(FREQUENCY(IF((B2:S2=INT(B2:S2))*(B2:S2&gt;0),COLUMN(B2:S2)),IF((B2:S2&lt;&gt;INT(B2:S2))+(B2:S2&lt;=0),COLUMN(B2:S2))))</f>
        <v>0</v>
      </c>
      <c r="W2" s="12" cm="1">
        <f t="array" ref="W2">SUMPRODUCT(--(B2:S2=INT(B2:S2)),--(B2:S2&gt;0))/18*100%</f>
        <v>0</v>
      </c>
      <c r="X2" s="4">
        <f>RANK(T2,T$2:T$52,0)</f>
        <v>35</v>
      </c>
      <c r="Y2" s="4">
        <f>RANK(U2,U$2:U$52,0)</f>
        <v>35</v>
      </c>
      <c r="Z2" s="4">
        <f>RANK(V2,V$2:V$52,0)</f>
        <v>35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 ht="14" customHeight="1" spans="1:39">
      <c r="A3" s="13">
        <v>2</v>
      </c>
      <c r="B3" s="10">
        <v>1</v>
      </c>
      <c r="C3" s="10">
        <v>1</v>
      </c>
      <c r="D3" s="10">
        <v>1</v>
      </c>
      <c r="E3" s="10"/>
      <c r="F3" s="10"/>
      <c r="G3" s="10"/>
      <c r="H3" s="10"/>
      <c r="I3" s="10">
        <v>1</v>
      </c>
      <c r="J3" s="10">
        <v>1</v>
      </c>
      <c r="K3" s="10">
        <v>1</v>
      </c>
      <c r="L3" s="10"/>
      <c r="M3" s="10"/>
      <c r="N3" s="10"/>
      <c r="O3" s="10"/>
      <c r="P3" s="10"/>
      <c r="Q3" s="10">
        <v>1</v>
      </c>
      <c r="R3" s="10"/>
      <c r="S3" s="11">
        <v>2</v>
      </c>
      <c r="T3" s="2">
        <f>SUM(B3:S3)</f>
        <v>9</v>
      </c>
      <c r="U3" s="3" cm="1">
        <f t="array" ref="U3">SUMPRODUCT(--(B3:S3=INT(B3:S3)),--(B3:S3&gt;0))</f>
        <v>8</v>
      </c>
      <c r="V3" s="3" cm="1">
        <f t="array" ref="V3">MAX(FREQUENCY(IF((B3:S3=INT(B3:S3))*(B3:S3&gt;0),COLUMN(B3:S3)),IF((B3:S3&lt;&gt;INT(B3:S3))+(B3:S3&lt;=0),COLUMN(B3:S3))))</f>
        <v>3</v>
      </c>
      <c r="W3" s="12" cm="1">
        <f t="array" ref="W3">SUMPRODUCT(--(B3:S3=INT(B3:S3)),--(B3:S3&gt;0))/18*100%</f>
        <v>0.444444444444444</v>
      </c>
      <c r="X3" s="4">
        <f t="shared" ref="X3:X34" si="0">RANK(T3,T$2:T$52,0)</f>
        <v>5</v>
      </c>
      <c r="Y3" s="4">
        <f t="shared" ref="Y3:Y34" si="1">RANK(U3,U$2:U$52,0)</f>
        <v>5</v>
      </c>
      <c r="Z3" s="4">
        <f t="shared" ref="Z3:Z34" si="2">RANK(V3,V$2:V$52,0)</f>
        <v>5</v>
      </c>
      <c r="AA3" s="10">
        <v>1</v>
      </c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 ht="14" customHeight="1" spans="1:39">
      <c r="A4" s="13">
        <v>3</v>
      </c>
      <c r="B4" s="10"/>
      <c r="C4" s="10"/>
      <c r="D4" s="10"/>
      <c r="E4" s="10"/>
      <c r="F4" s="10"/>
      <c r="G4" s="10"/>
      <c r="H4" s="10"/>
      <c r="I4" s="10"/>
      <c r="J4" s="10"/>
      <c r="K4" s="10">
        <v>1</v>
      </c>
      <c r="L4" s="10"/>
      <c r="M4" s="10"/>
      <c r="N4" s="10"/>
      <c r="O4" s="10"/>
      <c r="P4" s="10"/>
      <c r="Q4" s="10"/>
      <c r="R4" s="10"/>
      <c r="S4" s="11"/>
      <c r="T4" s="2">
        <f t="shared" ref="T4:T35" si="3">SUM(B4:S4)</f>
        <v>1</v>
      </c>
      <c r="U4" s="3" cm="1">
        <f t="array" ref="U4">SUMPRODUCT(--(B4:S4=INT(B4:S4)),--(B4:S4&gt;0))</f>
        <v>1</v>
      </c>
      <c r="V4" s="3" cm="1">
        <f t="array" ref="V4">MAX(FREQUENCY(IF((B4:S4=INT(B4:S4))*(B4:S4&gt;0),COLUMN(B4:S4)),IF((B4:S4&lt;&gt;INT(B4:S4))+(B4:S4&lt;=0),COLUMN(B4:S4))))</f>
        <v>1</v>
      </c>
      <c r="W4" s="12" cm="1">
        <f t="array" ref="W4">SUMPRODUCT(--(B4:S4=INT(B4:S4)),--(B4:S4&gt;0))/18*100%</f>
        <v>0.0555555555555556</v>
      </c>
      <c r="X4" s="4">
        <f t="shared" si="0"/>
        <v>28</v>
      </c>
      <c r="Y4" s="4">
        <f t="shared" si="1"/>
        <v>27</v>
      </c>
      <c r="Z4" s="4">
        <f t="shared" si="2"/>
        <v>15</v>
      </c>
      <c r="AA4" s="10">
        <v>1</v>
      </c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 ht="14" customHeight="1" spans="1:39">
      <c r="A5" s="13">
        <v>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>
        <v>1</v>
      </c>
      <c r="M5" s="10"/>
      <c r="N5" s="10"/>
      <c r="O5" s="10"/>
      <c r="P5" s="10"/>
      <c r="Q5" s="10">
        <v>1</v>
      </c>
      <c r="R5" s="10"/>
      <c r="S5" s="11"/>
      <c r="T5" s="2">
        <f t="shared" si="3"/>
        <v>2</v>
      </c>
      <c r="U5" s="3" cm="1">
        <f t="array" ref="U5">SUMPRODUCT(--(B5:S5=INT(B5:S5)),--(B5:S5&gt;0))</f>
        <v>2</v>
      </c>
      <c r="V5" s="3" cm="1">
        <f t="array" ref="V5">MAX(FREQUENCY(IF((B5:S5=INT(B5:S5))*(B5:S5&gt;0),COLUMN(B5:S5)),IF((B5:S5&lt;&gt;INT(B5:S5))+(B5:S5&lt;=0),COLUMN(B5:S5))))</f>
        <v>1</v>
      </c>
      <c r="W5" s="12" cm="1">
        <f t="array" ref="W5">SUMPRODUCT(--(B5:S5=INT(B5:S5)),--(B5:S5&gt;0))/18*100%</f>
        <v>0.111111111111111</v>
      </c>
      <c r="X5" s="4">
        <f t="shared" si="0"/>
        <v>22</v>
      </c>
      <c r="Y5" s="4">
        <f t="shared" si="1"/>
        <v>22</v>
      </c>
      <c r="Z5" s="4">
        <f t="shared" si="2"/>
        <v>15</v>
      </c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14" customHeight="1" spans="1:39">
      <c r="A6" s="13">
        <v>5</v>
      </c>
      <c r="B6" s="10">
        <v>1</v>
      </c>
      <c r="C6" s="10"/>
      <c r="D6" s="10">
        <v>2</v>
      </c>
      <c r="E6" s="10"/>
      <c r="F6" s="10"/>
      <c r="G6" s="10">
        <v>1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1"/>
      <c r="T6" s="2">
        <f t="shared" si="3"/>
        <v>4</v>
      </c>
      <c r="U6" s="3" cm="1">
        <f t="array" ref="U6">SUMPRODUCT(--(B6:S6=INT(B6:S6)),--(B6:S6&gt;0))</f>
        <v>3</v>
      </c>
      <c r="V6" s="3" cm="1">
        <f t="array" ref="V6">MAX(FREQUENCY(IF((B6:S6=INT(B6:S6))*(B6:S6&gt;0),COLUMN(B6:S6)),IF((B6:S6&lt;&gt;INT(B6:S6))+(B6:S6&lt;=0),COLUMN(B6:S6))))</f>
        <v>1</v>
      </c>
      <c r="W6" s="12" cm="1">
        <f t="array" ref="W6">SUMPRODUCT(--(B6:S6=INT(B6:S6)),--(B6:S6&gt;0))/18*100%</f>
        <v>0.166666666666667</v>
      </c>
      <c r="X6" s="4">
        <f t="shared" si="0"/>
        <v>15</v>
      </c>
      <c r="Y6" s="4">
        <f t="shared" si="1"/>
        <v>17</v>
      </c>
      <c r="Z6" s="4">
        <f t="shared" si="2"/>
        <v>15</v>
      </c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ht="14" customHeight="1" spans="1:39">
      <c r="A7" s="13">
        <v>6</v>
      </c>
      <c r="B7" s="10">
        <v>1</v>
      </c>
      <c r="C7" s="10">
        <v>1</v>
      </c>
      <c r="D7" s="10">
        <v>1</v>
      </c>
      <c r="E7" s="10">
        <v>1</v>
      </c>
      <c r="F7" s="10"/>
      <c r="G7" s="10"/>
      <c r="H7" s="10">
        <v>1</v>
      </c>
      <c r="I7" s="10">
        <v>1</v>
      </c>
      <c r="J7" s="10">
        <v>1</v>
      </c>
      <c r="K7" s="10"/>
      <c r="L7" s="10">
        <v>1</v>
      </c>
      <c r="M7" s="10"/>
      <c r="N7" s="10">
        <v>1</v>
      </c>
      <c r="O7" s="10"/>
      <c r="P7" s="10">
        <v>1</v>
      </c>
      <c r="Q7" s="10">
        <v>1</v>
      </c>
      <c r="R7" s="10">
        <v>1</v>
      </c>
      <c r="S7" s="11">
        <v>1</v>
      </c>
      <c r="T7" s="2">
        <f t="shared" si="3"/>
        <v>13</v>
      </c>
      <c r="U7" s="3" cm="1">
        <f t="array" ref="U7">SUMPRODUCT(--(B7:S7=INT(B7:S7)),--(B7:S7&gt;0))</f>
        <v>13</v>
      </c>
      <c r="V7" s="3" cm="1">
        <f t="array" ref="V7">MAX(FREQUENCY(IF((B7:S7=INT(B7:S7))*(B7:S7&gt;0),COLUMN(B7:S7)),IF((B7:S7&lt;&gt;INT(B7:S7))+(B7:S7&lt;=0),COLUMN(B7:S7))))</f>
        <v>4</v>
      </c>
      <c r="W7" s="12" cm="1">
        <f t="array" ref="W7">SUMPRODUCT(--(B7:S7=INT(B7:S7)),--(B7:S7&gt;0))/18*100%</f>
        <v>0.722222222222222</v>
      </c>
      <c r="X7" s="4">
        <f t="shared" si="0"/>
        <v>2</v>
      </c>
      <c r="Y7" s="4">
        <f t="shared" si="1"/>
        <v>2</v>
      </c>
      <c r="Z7" s="4">
        <f t="shared" si="2"/>
        <v>4</v>
      </c>
      <c r="AA7" s="10">
        <v>1</v>
      </c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ht="14" customHeight="1" spans="1:39">
      <c r="A8" s="13">
        <v>7</v>
      </c>
      <c r="B8" s="10">
        <v>1</v>
      </c>
      <c r="C8" s="10"/>
      <c r="D8" s="10"/>
      <c r="E8" s="10"/>
      <c r="F8" s="10"/>
      <c r="G8" s="10"/>
      <c r="H8" s="10">
        <v>1</v>
      </c>
      <c r="I8" s="10">
        <v>1</v>
      </c>
      <c r="J8" s="10">
        <v>1</v>
      </c>
      <c r="K8" s="10"/>
      <c r="L8" s="10"/>
      <c r="M8" s="10">
        <v>1</v>
      </c>
      <c r="N8" s="10"/>
      <c r="O8" s="10"/>
      <c r="P8" s="10"/>
      <c r="Q8" s="10"/>
      <c r="R8" s="10">
        <v>1</v>
      </c>
      <c r="S8" s="11">
        <v>1</v>
      </c>
      <c r="T8" s="2">
        <f t="shared" si="3"/>
        <v>7</v>
      </c>
      <c r="U8" s="3" cm="1">
        <f t="array" ref="U8">SUMPRODUCT(--(B8:S8=INT(B8:S8)),--(B8:S8&gt;0))</f>
        <v>7</v>
      </c>
      <c r="V8" s="3" cm="1">
        <f t="array" ref="V8">MAX(FREQUENCY(IF((B8:S8=INT(B8:S8))*(B8:S8&gt;0),COLUMN(B8:S8)),IF((B8:S8&lt;&gt;INT(B8:S8))+(B8:S8&lt;=0),COLUMN(B8:S8))))</f>
        <v>3</v>
      </c>
      <c r="W8" s="12" cm="1">
        <f t="array" ref="W8">SUMPRODUCT(--(B8:S8=INT(B8:S8)),--(B8:S8&gt;0))/18*100%</f>
        <v>0.388888888888889</v>
      </c>
      <c r="X8" s="4">
        <f t="shared" si="0"/>
        <v>8</v>
      </c>
      <c r="Y8" s="4">
        <f t="shared" si="1"/>
        <v>7</v>
      </c>
      <c r="Z8" s="4">
        <f t="shared" si="2"/>
        <v>5</v>
      </c>
      <c r="AA8" s="10">
        <v>1</v>
      </c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ht="14" customHeight="1" spans="1:39">
      <c r="A9" s="9">
        <v>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2">
        <f t="shared" si="3"/>
        <v>0</v>
      </c>
      <c r="U9" s="3" cm="1">
        <f t="array" ref="U9">SUMPRODUCT(--(B9:S9=INT(B9:S9)),--(B9:S9&gt;0))</f>
        <v>0</v>
      </c>
      <c r="V9" s="3" cm="1">
        <f t="array" ref="V9">MAX(FREQUENCY(IF((B9:S9=INT(B9:S9))*(B9:S9&gt;0),COLUMN(B9:S9)),IF((B9:S9&lt;&gt;INT(B9:S9))+(B9:S9&lt;=0),COLUMN(B9:S9))))</f>
        <v>0</v>
      </c>
      <c r="W9" s="12" cm="1">
        <f t="array" ref="W9">SUMPRODUCT(--(B9:S9=INT(B9:S9)),--(B9:S9&gt;0))/18*100%</f>
        <v>0</v>
      </c>
      <c r="X9" s="4">
        <f t="shared" si="0"/>
        <v>35</v>
      </c>
      <c r="Y9" s="4">
        <f t="shared" si="1"/>
        <v>35</v>
      </c>
      <c r="Z9" s="4">
        <f t="shared" si="2"/>
        <v>35</v>
      </c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 ht="14" customHeight="1" spans="1:39">
      <c r="A10" s="13">
        <v>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1</v>
      </c>
      <c r="M10" s="10"/>
      <c r="N10" s="10">
        <v>1</v>
      </c>
      <c r="O10" s="10"/>
      <c r="P10" s="10"/>
      <c r="Q10" s="10">
        <v>1</v>
      </c>
      <c r="R10" s="10"/>
      <c r="S10" s="11"/>
      <c r="T10" s="2">
        <f t="shared" si="3"/>
        <v>3</v>
      </c>
      <c r="U10" s="3" cm="1">
        <f t="array" ref="U10">SUMPRODUCT(--(B10:S10=INT(B10:S10)),--(B10:S10&gt;0))</f>
        <v>3</v>
      </c>
      <c r="V10" s="3" cm="1">
        <f t="array" ref="V10">MAX(FREQUENCY(IF((B10:S10=INT(B10:S10))*(B10:S10&gt;0),COLUMN(B10:S10)),IF((B10:S10&lt;&gt;INT(B10:S10))+(B10:S10&lt;=0),COLUMN(B10:S10))))</f>
        <v>1</v>
      </c>
      <c r="W10" s="12" cm="1">
        <f t="array" ref="W10">SUMPRODUCT(--(B10:S10=INT(B10:S10)),--(B10:S10&gt;0))/18*100%</f>
        <v>0.166666666666667</v>
      </c>
      <c r="X10" s="4">
        <f t="shared" si="0"/>
        <v>19</v>
      </c>
      <c r="Y10" s="4">
        <f t="shared" si="1"/>
        <v>17</v>
      </c>
      <c r="Z10" s="4">
        <f t="shared" si="2"/>
        <v>15</v>
      </c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 ht="14" customHeight="1" spans="1:39">
      <c r="A11" s="13">
        <v>10</v>
      </c>
      <c r="B11" s="10"/>
      <c r="C11" s="10"/>
      <c r="D11" s="10">
        <v>1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1"/>
      <c r="T11" s="2">
        <f t="shared" si="3"/>
        <v>1</v>
      </c>
      <c r="U11" s="3" cm="1">
        <f t="array" ref="U11">SUMPRODUCT(--(B11:S11=INT(B11:S11)),--(B11:S11&gt;0))</f>
        <v>1</v>
      </c>
      <c r="V11" s="3" cm="1">
        <f t="array" ref="V11">MAX(FREQUENCY(IF((B11:S11=INT(B11:S11))*(B11:S11&gt;0),COLUMN(B11:S11)),IF((B11:S11&lt;&gt;INT(B11:S11))+(B11:S11&lt;=0),COLUMN(B11:S11))))</f>
        <v>1</v>
      </c>
      <c r="W11" s="12" cm="1">
        <f t="array" ref="W11">SUMPRODUCT(--(B11:S11=INT(B11:S11)),--(B11:S11&gt;0))/18*100%</f>
        <v>0.0555555555555556</v>
      </c>
      <c r="X11" s="4">
        <f t="shared" si="0"/>
        <v>28</v>
      </c>
      <c r="Y11" s="4">
        <f t="shared" si="1"/>
        <v>27</v>
      </c>
      <c r="Z11" s="4">
        <f t="shared" si="2"/>
        <v>15</v>
      </c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 ht="14" customHeight="1" spans="1:39">
      <c r="A12" s="13">
        <v>11</v>
      </c>
      <c r="B12" s="10"/>
      <c r="C12" s="10"/>
      <c r="D12" s="10">
        <v>1</v>
      </c>
      <c r="E12" s="10"/>
      <c r="F12" s="10"/>
      <c r="G12" s="10"/>
      <c r="H12" s="10">
        <v>1</v>
      </c>
      <c r="I12" s="10"/>
      <c r="J12" s="10"/>
      <c r="K12" s="10"/>
      <c r="L12" s="10">
        <v>1</v>
      </c>
      <c r="M12" s="10"/>
      <c r="N12" s="10">
        <v>1</v>
      </c>
      <c r="O12" s="10"/>
      <c r="P12" s="10"/>
      <c r="Q12" s="10">
        <v>1</v>
      </c>
      <c r="R12" s="10"/>
      <c r="S12" s="11"/>
      <c r="T12" s="2">
        <f t="shared" si="3"/>
        <v>5</v>
      </c>
      <c r="U12" s="3" cm="1">
        <f t="array" ref="U12">SUMPRODUCT(--(B12:S12=INT(B12:S12)),--(B12:S12&gt;0))</f>
        <v>5</v>
      </c>
      <c r="V12" s="3" cm="1">
        <f t="array" ref="V12">MAX(FREQUENCY(IF((B12:S12=INT(B12:S12))*(B12:S12&gt;0),COLUMN(B12:S12)),IF((B12:S12&lt;&gt;INT(B12:S12))+(B12:S12&lt;=0),COLUMN(B12:S12))))</f>
        <v>1</v>
      </c>
      <c r="W12" s="12" cm="1">
        <f t="array" ref="W12">SUMPRODUCT(--(B12:S12=INT(B12:S12)),--(B12:S12&gt;0))/18*100%</f>
        <v>0.277777777777778</v>
      </c>
      <c r="X12" s="4">
        <f t="shared" si="0"/>
        <v>11</v>
      </c>
      <c r="Y12" s="4">
        <f t="shared" si="1"/>
        <v>9</v>
      </c>
      <c r="Z12" s="4">
        <f t="shared" si="2"/>
        <v>15</v>
      </c>
      <c r="AA12" s="10">
        <v>1</v>
      </c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 ht="14" customHeight="1" spans="1:39">
      <c r="A13" s="13">
        <v>12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>
        <v>1</v>
      </c>
      <c r="M13" s="10"/>
      <c r="N13" s="10"/>
      <c r="O13" s="10"/>
      <c r="P13" s="10"/>
      <c r="Q13" s="10"/>
      <c r="R13" s="10"/>
      <c r="S13" s="11"/>
      <c r="T13" s="2">
        <f t="shared" si="3"/>
        <v>1</v>
      </c>
      <c r="U13" s="3" cm="1">
        <f t="array" ref="U13">SUMPRODUCT(--(B13:S13=INT(B13:S13)),--(B13:S13&gt;0))</f>
        <v>1</v>
      </c>
      <c r="V13" s="3" cm="1">
        <f t="array" ref="V13">MAX(FREQUENCY(IF((B13:S13=INT(B13:S13))*(B13:S13&gt;0),COLUMN(B13:S13)),IF((B13:S13&lt;&gt;INT(B13:S13))+(B13:S13&lt;=0),COLUMN(B13:S13))))</f>
        <v>1</v>
      </c>
      <c r="W13" s="12" cm="1">
        <f t="array" ref="W13">SUMPRODUCT(--(B13:S13=INT(B13:S13)),--(B13:S13&gt;0))/18*100%</f>
        <v>0.0555555555555556</v>
      </c>
      <c r="X13" s="4">
        <f t="shared" si="0"/>
        <v>28</v>
      </c>
      <c r="Y13" s="4">
        <f t="shared" si="1"/>
        <v>27</v>
      </c>
      <c r="Z13" s="4">
        <f t="shared" si="2"/>
        <v>15</v>
      </c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 ht="14" customHeight="1" spans="1:39">
      <c r="A14" s="13">
        <v>13</v>
      </c>
      <c r="B14" s="10"/>
      <c r="C14" s="10">
        <v>1</v>
      </c>
      <c r="D14" s="10"/>
      <c r="E14" s="10"/>
      <c r="F14" s="10"/>
      <c r="G14" s="10"/>
      <c r="H14" s="10"/>
      <c r="I14" s="10">
        <v>1</v>
      </c>
      <c r="J14" s="10"/>
      <c r="K14" s="10"/>
      <c r="L14" s="10">
        <v>1</v>
      </c>
      <c r="M14" s="10">
        <v>1</v>
      </c>
      <c r="N14" s="10"/>
      <c r="O14" s="10"/>
      <c r="P14" s="10"/>
      <c r="Q14" s="10">
        <v>1</v>
      </c>
      <c r="R14" s="10"/>
      <c r="S14" s="11"/>
      <c r="T14" s="2">
        <f t="shared" si="3"/>
        <v>5</v>
      </c>
      <c r="U14" s="3" cm="1">
        <f t="array" ref="U14">SUMPRODUCT(--(B14:S14=INT(B14:S14)),--(B14:S14&gt;0))</f>
        <v>5</v>
      </c>
      <c r="V14" s="3" cm="1">
        <f t="array" ref="V14">MAX(FREQUENCY(IF((B14:S14=INT(B14:S14))*(B14:S14&gt;0),COLUMN(B14:S14)),IF((B14:S14&lt;&gt;INT(B14:S14))+(B14:S14&lt;=0),COLUMN(B14:S14))))</f>
        <v>2</v>
      </c>
      <c r="W14" s="12" cm="1">
        <f t="array" ref="W14">SUMPRODUCT(--(B14:S14=INT(B14:S14)),--(B14:S14&gt;0))/18*100%</f>
        <v>0.277777777777778</v>
      </c>
      <c r="X14" s="4">
        <f t="shared" si="0"/>
        <v>11</v>
      </c>
      <c r="Y14" s="4">
        <f t="shared" si="1"/>
        <v>9</v>
      </c>
      <c r="Z14" s="4">
        <f t="shared" si="2"/>
        <v>11</v>
      </c>
      <c r="AA14" s="10">
        <v>2</v>
      </c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 ht="14" customHeight="1" spans="1:39">
      <c r="A15" s="13">
        <v>14</v>
      </c>
      <c r="B15" s="10"/>
      <c r="C15" s="10"/>
      <c r="D15" s="10"/>
      <c r="E15" s="10"/>
      <c r="F15" s="10"/>
      <c r="G15" s="10">
        <v>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/>
      <c r="T15" s="2">
        <f t="shared" si="3"/>
        <v>1</v>
      </c>
      <c r="U15" s="3" cm="1">
        <f t="array" ref="U15">SUMPRODUCT(--(B15:S15=INT(B15:S15)),--(B15:S15&gt;0))</f>
        <v>1</v>
      </c>
      <c r="V15" s="3" cm="1">
        <f t="array" ref="V15">MAX(FREQUENCY(IF((B15:S15=INT(B15:S15))*(B15:S15&gt;0),COLUMN(B15:S15)),IF((B15:S15&lt;&gt;INT(B15:S15))+(B15:S15&lt;=0),COLUMN(B15:S15))))</f>
        <v>1</v>
      </c>
      <c r="W15" s="12" cm="1">
        <f t="array" ref="W15">SUMPRODUCT(--(B15:S15=INT(B15:S15)),--(B15:S15&gt;0))/18*100%</f>
        <v>0.0555555555555556</v>
      </c>
      <c r="X15" s="4">
        <f t="shared" si="0"/>
        <v>28</v>
      </c>
      <c r="Y15" s="4">
        <f t="shared" si="1"/>
        <v>27</v>
      </c>
      <c r="Z15" s="4">
        <f t="shared" si="2"/>
        <v>15</v>
      </c>
      <c r="AA15" s="10">
        <v>1</v>
      </c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 ht="14" customHeight="1" spans="1:39">
      <c r="A16" s="13">
        <v>15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>
        <v>1</v>
      </c>
      <c r="S16" s="11"/>
      <c r="T16" s="2">
        <f t="shared" si="3"/>
        <v>1</v>
      </c>
      <c r="U16" s="3" cm="1">
        <f t="array" ref="U16">SUMPRODUCT(--(B16:S16=INT(B16:S16)),--(B16:S16&gt;0))</f>
        <v>1</v>
      </c>
      <c r="V16" s="3" cm="1">
        <f t="array" ref="V16">MAX(FREQUENCY(IF((B16:S16=INT(B16:S16))*(B16:S16&gt;0),COLUMN(B16:S16)),IF((B16:S16&lt;&gt;INT(B16:S16))+(B16:S16&lt;=0),COLUMN(B16:S16))))</f>
        <v>1</v>
      </c>
      <c r="W16" s="12" cm="1">
        <f t="array" ref="W16">SUMPRODUCT(--(B16:S16=INT(B16:S16)),--(B16:S16&gt;0))/18*100%</f>
        <v>0.0555555555555556</v>
      </c>
      <c r="X16" s="4">
        <f t="shared" si="0"/>
        <v>28</v>
      </c>
      <c r="Y16" s="4">
        <f t="shared" si="1"/>
        <v>27</v>
      </c>
      <c r="Z16" s="4">
        <f t="shared" si="2"/>
        <v>15</v>
      </c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 ht="14" customHeight="1" spans="1:39">
      <c r="A17" s="9">
        <v>16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1"/>
      <c r="T17" s="2">
        <f t="shared" si="3"/>
        <v>0</v>
      </c>
      <c r="U17" s="3" cm="1">
        <f t="array" ref="U17">SUMPRODUCT(--(B17:S17=INT(B17:S17)),--(B17:S17&gt;0))</f>
        <v>0</v>
      </c>
      <c r="V17" s="3" cm="1">
        <f t="array" ref="V17">MAX(FREQUENCY(IF((B17:S17=INT(B17:S17))*(B17:S17&gt;0),COLUMN(B17:S17)),IF((B17:S17&lt;&gt;INT(B17:S17))+(B17:S17&lt;=0),COLUMN(B17:S17))))</f>
        <v>0</v>
      </c>
      <c r="W17" s="12" cm="1">
        <f t="array" ref="W17">SUMPRODUCT(--(B17:S17=INT(B17:S17)),--(B17:S17&gt;0))/18*100%</f>
        <v>0</v>
      </c>
      <c r="X17" s="4">
        <f t="shared" si="0"/>
        <v>35</v>
      </c>
      <c r="Y17" s="4">
        <f t="shared" si="1"/>
        <v>35</v>
      </c>
      <c r="Z17" s="4">
        <f t="shared" si="2"/>
        <v>35</v>
      </c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 ht="14" customHeight="1" spans="1:39">
      <c r="A18" s="13">
        <v>17</v>
      </c>
      <c r="B18" s="10">
        <v>1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>
        <v>1</v>
      </c>
      <c r="O18" s="10"/>
      <c r="P18" s="10"/>
      <c r="Q18" s="10"/>
      <c r="R18" s="10"/>
      <c r="S18" s="11">
        <v>1</v>
      </c>
      <c r="T18" s="2">
        <f t="shared" si="3"/>
        <v>3</v>
      </c>
      <c r="U18" s="3" cm="1">
        <f t="array" ref="U18">SUMPRODUCT(--(B18:S18=INT(B18:S18)),--(B18:S18&gt;0))</f>
        <v>3</v>
      </c>
      <c r="V18" s="3" cm="1">
        <f t="array" ref="V18">MAX(FREQUENCY(IF((B18:S18=INT(B18:S18))*(B18:S18&gt;0),COLUMN(B18:S18)),IF((B18:S18&lt;&gt;INT(B18:S18))+(B18:S18&lt;=0),COLUMN(B18:S18))))</f>
        <v>1</v>
      </c>
      <c r="W18" s="12" cm="1">
        <f t="array" ref="W18">SUMPRODUCT(--(B18:S18=INT(B18:S18)),--(B18:S18&gt;0))/18*100%</f>
        <v>0.166666666666667</v>
      </c>
      <c r="X18" s="4">
        <f t="shared" si="0"/>
        <v>19</v>
      </c>
      <c r="Y18" s="4">
        <f t="shared" si="1"/>
        <v>17</v>
      </c>
      <c r="Z18" s="4">
        <f t="shared" si="2"/>
        <v>15</v>
      </c>
      <c r="AA18" s="10">
        <v>1</v>
      </c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 ht="14" customHeight="1" spans="1:39">
      <c r="A19" s="13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>
        <v>1</v>
      </c>
      <c r="M19" s="10"/>
      <c r="N19" s="10"/>
      <c r="O19" s="10"/>
      <c r="P19" s="10"/>
      <c r="Q19" s="10"/>
      <c r="R19" s="10"/>
      <c r="S19" s="11"/>
      <c r="T19" s="2">
        <f t="shared" si="3"/>
        <v>1</v>
      </c>
      <c r="U19" s="3" cm="1">
        <f t="array" ref="U19">SUMPRODUCT(--(B19:S19=INT(B19:S19)),--(B19:S19&gt;0))</f>
        <v>1</v>
      </c>
      <c r="V19" s="3" cm="1">
        <f t="array" ref="V19">MAX(FREQUENCY(IF((B19:S19=INT(B19:S19))*(B19:S19&gt;0),COLUMN(B19:S19)),IF((B19:S19&lt;&gt;INT(B19:S19))+(B19:S19&lt;=0),COLUMN(B19:S19))))</f>
        <v>1</v>
      </c>
      <c r="W19" s="12" cm="1">
        <f t="array" ref="W19">SUMPRODUCT(--(B19:S19=INT(B19:S19)),--(B19:S19&gt;0))/18*100%</f>
        <v>0.0555555555555556</v>
      </c>
      <c r="X19" s="4">
        <f t="shared" si="0"/>
        <v>28</v>
      </c>
      <c r="Y19" s="4">
        <f t="shared" si="1"/>
        <v>27</v>
      </c>
      <c r="Z19" s="4">
        <f t="shared" si="2"/>
        <v>15</v>
      </c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 ht="14" customHeight="1" spans="1:39">
      <c r="A20" s="13">
        <v>19</v>
      </c>
      <c r="B20" s="10"/>
      <c r="C20" s="10"/>
      <c r="D20" s="10"/>
      <c r="E20" s="10"/>
      <c r="F20" s="10"/>
      <c r="G20" s="10"/>
      <c r="H20" s="10"/>
      <c r="I20" s="10"/>
      <c r="J20" s="10">
        <v>1</v>
      </c>
      <c r="K20" s="10"/>
      <c r="L20" s="10">
        <v>1</v>
      </c>
      <c r="M20" s="10"/>
      <c r="N20" s="10"/>
      <c r="O20" s="10"/>
      <c r="P20" s="10"/>
      <c r="Q20" s="10"/>
      <c r="R20" s="10"/>
      <c r="S20" s="11"/>
      <c r="T20" s="2">
        <f t="shared" si="3"/>
        <v>2</v>
      </c>
      <c r="U20" s="3" cm="1">
        <f t="array" ref="U20">SUMPRODUCT(--(B20:S20=INT(B20:S20)),--(B20:S20&gt;0))</f>
        <v>2</v>
      </c>
      <c r="V20" s="3" cm="1">
        <f t="array" ref="V20">MAX(FREQUENCY(IF((B20:S20=INT(B20:S20))*(B20:S20&gt;0),COLUMN(B20:S20)),IF((B20:S20&lt;&gt;INT(B20:S20))+(B20:S20&lt;=0),COLUMN(B20:S20))))</f>
        <v>1</v>
      </c>
      <c r="W20" s="12" cm="1">
        <f t="array" ref="W20">SUMPRODUCT(--(B20:S20=INT(B20:S20)),--(B20:S20&gt;0))/18*100%</f>
        <v>0.111111111111111</v>
      </c>
      <c r="X20" s="4">
        <f t="shared" si="0"/>
        <v>22</v>
      </c>
      <c r="Y20" s="4">
        <f t="shared" si="1"/>
        <v>22</v>
      </c>
      <c r="Z20" s="4">
        <f t="shared" si="2"/>
        <v>15</v>
      </c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</row>
    <row r="21" ht="14" customHeight="1" spans="1:39">
      <c r="A21" s="13">
        <v>20</v>
      </c>
      <c r="B21" s="10"/>
      <c r="C21" s="10"/>
      <c r="D21" s="10"/>
      <c r="E21" s="10"/>
      <c r="F21" s="10"/>
      <c r="G21" s="10"/>
      <c r="H21" s="10"/>
      <c r="I21" s="10">
        <v>1</v>
      </c>
      <c r="J21" s="10">
        <v>1</v>
      </c>
      <c r="K21" s="10"/>
      <c r="L21" s="10"/>
      <c r="M21" s="10"/>
      <c r="N21" s="10"/>
      <c r="O21" s="10"/>
      <c r="P21" s="10"/>
      <c r="Q21" s="10">
        <v>1</v>
      </c>
      <c r="R21" s="10">
        <v>1</v>
      </c>
      <c r="S21" s="11">
        <v>3</v>
      </c>
      <c r="T21" s="2">
        <f t="shared" si="3"/>
        <v>7</v>
      </c>
      <c r="U21" s="3" cm="1">
        <f t="array" ref="U21">SUMPRODUCT(--(B21:S21=INT(B21:S21)),--(B21:S21&gt;0))</f>
        <v>5</v>
      </c>
      <c r="V21" s="3" cm="1">
        <f t="array" ref="V21">MAX(FREQUENCY(IF((B21:S21=INT(B21:S21))*(B21:S21&gt;0),COLUMN(B21:S21)),IF((B21:S21&lt;&gt;INT(B21:S21))+(B21:S21&lt;=0),COLUMN(B21:S21))))</f>
        <v>3</v>
      </c>
      <c r="W21" s="12" cm="1">
        <f t="array" ref="W21">SUMPRODUCT(--(B21:S21=INT(B21:S21)),--(B21:S21&gt;0))/18*100%</f>
        <v>0.277777777777778</v>
      </c>
      <c r="X21" s="4">
        <f t="shared" si="0"/>
        <v>8</v>
      </c>
      <c r="Y21" s="4">
        <f t="shared" si="1"/>
        <v>9</v>
      </c>
      <c r="Z21" s="4">
        <f t="shared" si="2"/>
        <v>5</v>
      </c>
      <c r="AA21" s="10">
        <v>1</v>
      </c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 ht="14" customHeight="1" spans="1:39">
      <c r="A22" s="9">
        <v>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1"/>
      <c r="T22" s="2">
        <f t="shared" si="3"/>
        <v>0</v>
      </c>
      <c r="U22" s="3" cm="1">
        <f t="array" ref="U22">SUMPRODUCT(--(B22:S22=INT(B22:S22)),--(B22:S22&gt;0))</f>
        <v>0</v>
      </c>
      <c r="V22" s="3" cm="1">
        <f t="array" ref="V22">MAX(FREQUENCY(IF((B22:S22=INT(B22:S22))*(B22:S22&gt;0),COLUMN(B22:S22)),IF((B22:S22&lt;&gt;INT(B22:S22))+(B22:S22&lt;=0),COLUMN(B22:S22))))</f>
        <v>0</v>
      </c>
      <c r="W22" s="12" cm="1">
        <f t="array" ref="W22">SUMPRODUCT(--(B22:S22=INT(B22:S22)),--(B22:S22&gt;0))/18*100%</f>
        <v>0</v>
      </c>
      <c r="X22" s="4">
        <f t="shared" si="0"/>
        <v>35</v>
      </c>
      <c r="Y22" s="4">
        <f t="shared" si="1"/>
        <v>35</v>
      </c>
      <c r="Z22" s="4">
        <f t="shared" si="2"/>
        <v>35</v>
      </c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 ht="14" customHeight="1" spans="1:39">
      <c r="A23" s="13">
        <v>22</v>
      </c>
      <c r="B23" s="10"/>
      <c r="C23" s="10">
        <v>1</v>
      </c>
      <c r="D23" s="10">
        <v>1</v>
      </c>
      <c r="E23" s="10">
        <v>1</v>
      </c>
      <c r="F23" s="10"/>
      <c r="G23" s="10">
        <v>1</v>
      </c>
      <c r="H23" s="10"/>
      <c r="I23" s="10">
        <v>1</v>
      </c>
      <c r="J23" s="10"/>
      <c r="K23" s="10"/>
      <c r="L23" s="10"/>
      <c r="M23" s="10"/>
      <c r="N23" s="10"/>
      <c r="O23" s="10"/>
      <c r="P23" s="10"/>
      <c r="Q23" s="10"/>
      <c r="R23" s="10"/>
      <c r="S23" s="11"/>
      <c r="T23" s="2">
        <f t="shared" si="3"/>
        <v>5</v>
      </c>
      <c r="U23" s="3" cm="1">
        <f t="array" ref="U23">SUMPRODUCT(--(B23:S23=INT(B23:S23)),--(B23:S23&gt;0))</f>
        <v>5</v>
      </c>
      <c r="V23" s="3" cm="1">
        <f t="array" ref="V23">MAX(FREQUENCY(IF((B23:S23=INT(B23:S23))*(B23:S23&gt;0),COLUMN(B23:S23)),IF((B23:S23&lt;&gt;INT(B23:S23))+(B23:S23&lt;=0),COLUMN(B23:S23))))</f>
        <v>3</v>
      </c>
      <c r="W23" s="12" cm="1">
        <f t="array" ref="W23">SUMPRODUCT(--(B23:S23=INT(B23:S23)),--(B23:S23&gt;0))/18*100%</f>
        <v>0.277777777777778</v>
      </c>
      <c r="X23" s="4">
        <f t="shared" si="0"/>
        <v>11</v>
      </c>
      <c r="Y23" s="4">
        <f t="shared" si="1"/>
        <v>9</v>
      </c>
      <c r="Z23" s="4">
        <f t="shared" si="2"/>
        <v>5</v>
      </c>
      <c r="AA23" s="10">
        <v>1</v>
      </c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 ht="14" customHeight="1" spans="1:39">
      <c r="A24" s="9">
        <v>23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1"/>
      <c r="T24" s="2">
        <f t="shared" si="3"/>
        <v>0</v>
      </c>
      <c r="U24" s="3" cm="1">
        <f t="array" ref="U24">SUMPRODUCT(--(B24:S24=INT(B24:S24)),--(B24:S24&gt;0))</f>
        <v>0</v>
      </c>
      <c r="V24" s="3" cm="1">
        <f t="array" ref="V24">MAX(FREQUENCY(IF((B24:S24=INT(B24:S24))*(B24:S24&gt;0),COLUMN(B24:S24)),IF((B24:S24&lt;&gt;INT(B24:S24))+(B24:S24&lt;=0),COLUMN(B24:S24))))</f>
        <v>0</v>
      </c>
      <c r="W24" s="12" cm="1">
        <f t="array" ref="W24">SUMPRODUCT(--(B24:S24=INT(B24:S24)),--(B24:S24&gt;0))/18*100%</f>
        <v>0</v>
      </c>
      <c r="X24" s="4">
        <f t="shared" si="0"/>
        <v>35</v>
      </c>
      <c r="Y24" s="4">
        <f t="shared" si="1"/>
        <v>35</v>
      </c>
      <c r="Z24" s="4">
        <f t="shared" si="2"/>
        <v>35</v>
      </c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 ht="14" customHeight="1" spans="1:39">
      <c r="A25" s="9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1"/>
      <c r="T25" s="2">
        <f t="shared" si="3"/>
        <v>0</v>
      </c>
      <c r="U25" s="3" cm="1">
        <f t="array" ref="U25">SUMPRODUCT(--(B25:S25=INT(B25:S25)),--(B25:S25&gt;0))</f>
        <v>0</v>
      </c>
      <c r="V25" s="3" cm="1">
        <f t="array" ref="V25">MAX(FREQUENCY(IF((B25:S25=INT(B25:S25))*(B25:S25&gt;0),COLUMN(B25:S25)),IF((B25:S25&lt;&gt;INT(B25:S25))+(B25:S25&lt;=0),COLUMN(B25:S25))))</f>
        <v>0</v>
      </c>
      <c r="W25" s="12" cm="1">
        <f t="array" ref="W25">SUMPRODUCT(--(B25:S25=INT(B25:S25)),--(B25:S25&gt;0))/18*100%</f>
        <v>0</v>
      </c>
      <c r="X25" s="4">
        <f t="shared" si="0"/>
        <v>35</v>
      </c>
      <c r="Y25" s="4">
        <f t="shared" si="1"/>
        <v>35</v>
      </c>
      <c r="Z25" s="4">
        <f t="shared" si="2"/>
        <v>35</v>
      </c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ht="14" customHeight="1" spans="1:39">
      <c r="A26" s="9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  <c r="T26" s="2">
        <f t="shared" si="3"/>
        <v>0</v>
      </c>
      <c r="U26" s="3" cm="1">
        <f t="array" ref="U26">SUMPRODUCT(--(B26:S26=INT(B26:S26)),--(B26:S26&gt;0))</f>
        <v>0</v>
      </c>
      <c r="V26" s="3" cm="1">
        <f t="array" ref="V26">MAX(FREQUENCY(IF((B26:S26=INT(B26:S26))*(B26:S26&gt;0),COLUMN(B26:S26)),IF((B26:S26&lt;&gt;INT(B26:S26))+(B26:S26&lt;=0),COLUMN(B26:S26))))</f>
        <v>0</v>
      </c>
      <c r="W26" s="12" cm="1">
        <f t="array" ref="W26">SUMPRODUCT(--(B26:S26=INT(B26:S26)),--(B26:S26&gt;0))/18*100%</f>
        <v>0</v>
      </c>
      <c r="X26" s="4">
        <f t="shared" si="0"/>
        <v>35</v>
      </c>
      <c r="Y26" s="4">
        <f t="shared" si="1"/>
        <v>35</v>
      </c>
      <c r="Z26" s="4">
        <f t="shared" si="2"/>
        <v>35</v>
      </c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ht="14" customHeight="1" spans="1:39">
      <c r="A27" s="13">
        <v>26</v>
      </c>
      <c r="B27" s="10"/>
      <c r="C27" s="10">
        <v>1</v>
      </c>
      <c r="D27" s="10"/>
      <c r="E27" s="10"/>
      <c r="F27" s="10"/>
      <c r="G27" s="10"/>
      <c r="H27" s="10">
        <v>1</v>
      </c>
      <c r="I27" s="10"/>
      <c r="J27" s="10"/>
      <c r="K27" s="10">
        <v>1</v>
      </c>
      <c r="L27" s="10"/>
      <c r="M27" s="10"/>
      <c r="N27" s="10"/>
      <c r="O27" s="10"/>
      <c r="P27" s="10"/>
      <c r="Q27" s="10">
        <v>1</v>
      </c>
      <c r="R27" s="10"/>
      <c r="S27" s="11">
        <v>1</v>
      </c>
      <c r="T27" s="2">
        <f t="shared" si="3"/>
        <v>5</v>
      </c>
      <c r="U27" s="3" cm="1">
        <f t="array" ref="U27">SUMPRODUCT(--(B27:S27=INT(B27:S27)),--(B27:S27&gt;0))</f>
        <v>5</v>
      </c>
      <c r="V27" s="3" cm="1">
        <f t="array" ref="V27">MAX(FREQUENCY(IF((B27:S27=INT(B27:S27))*(B27:S27&gt;0),COLUMN(B27:S27)),IF((B27:S27&lt;&gt;INT(B27:S27))+(B27:S27&lt;=0),COLUMN(B27:S27))))</f>
        <v>1</v>
      </c>
      <c r="W27" s="12" cm="1">
        <f t="array" ref="W27">SUMPRODUCT(--(B27:S27=INT(B27:S27)),--(B27:S27&gt;0))/18*100%</f>
        <v>0.277777777777778</v>
      </c>
      <c r="X27" s="4">
        <f t="shared" si="0"/>
        <v>11</v>
      </c>
      <c r="Y27" s="4">
        <f t="shared" si="1"/>
        <v>9</v>
      </c>
      <c r="Z27" s="4">
        <f t="shared" si="2"/>
        <v>15</v>
      </c>
      <c r="AA27" s="10">
        <v>1</v>
      </c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ht="14" customHeight="1" spans="1:39">
      <c r="A28" s="13">
        <v>27</v>
      </c>
      <c r="B28" s="10"/>
      <c r="C28" s="10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>
        <v>1</v>
      </c>
      <c r="N28" s="10"/>
      <c r="O28" s="10"/>
      <c r="P28" s="10"/>
      <c r="Q28" s="10"/>
      <c r="R28" s="10"/>
      <c r="S28" s="11"/>
      <c r="T28" s="2">
        <f t="shared" si="3"/>
        <v>2</v>
      </c>
      <c r="U28" s="3" cm="1">
        <f t="array" ref="U28">SUMPRODUCT(--(B28:S28=INT(B28:S28)),--(B28:S28&gt;0))</f>
        <v>2</v>
      </c>
      <c r="V28" s="3" cm="1">
        <f t="array" ref="V28">MAX(FREQUENCY(IF((B28:S28=INT(B28:S28))*(B28:S28&gt;0),COLUMN(B28:S28)),IF((B28:S28&lt;&gt;INT(B28:S28))+(B28:S28&lt;=0),COLUMN(B28:S28))))</f>
        <v>1</v>
      </c>
      <c r="W28" s="12" cm="1">
        <f t="array" ref="W28">SUMPRODUCT(--(B28:S28=INT(B28:S28)),--(B28:S28&gt;0))/18*100%</f>
        <v>0.111111111111111</v>
      </c>
      <c r="X28" s="4">
        <f t="shared" si="0"/>
        <v>22</v>
      </c>
      <c r="Y28" s="4">
        <f t="shared" si="1"/>
        <v>22</v>
      </c>
      <c r="Z28" s="4">
        <f t="shared" si="2"/>
        <v>15</v>
      </c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ht="14" customHeight="1" spans="1:39">
      <c r="A29" s="13">
        <v>28</v>
      </c>
      <c r="B29" s="10">
        <v>1</v>
      </c>
      <c r="C29" s="10"/>
      <c r="D29" s="10"/>
      <c r="E29" s="10"/>
      <c r="F29" s="10"/>
      <c r="G29" s="10"/>
      <c r="H29" s="10">
        <v>1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1">
        <v>2</v>
      </c>
      <c r="T29" s="2">
        <f t="shared" si="3"/>
        <v>4</v>
      </c>
      <c r="U29" s="3" cm="1">
        <f t="array" ref="U29">SUMPRODUCT(--(B29:S29=INT(B29:S29)),--(B29:S29&gt;0))</f>
        <v>3</v>
      </c>
      <c r="V29" s="3" cm="1">
        <f t="array" ref="V29">MAX(FREQUENCY(IF((B29:S29=INT(B29:S29))*(B29:S29&gt;0),COLUMN(B29:S29)),IF((B29:S29&lt;&gt;INT(B29:S29))+(B29:S29&lt;=0),COLUMN(B29:S29))))</f>
        <v>1</v>
      </c>
      <c r="W29" s="12" cm="1">
        <f t="array" ref="W29">SUMPRODUCT(--(B29:S29=INT(B29:S29)),--(B29:S29&gt;0))/18*100%</f>
        <v>0.166666666666667</v>
      </c>
      <c r="X29" s="4">
        <f t="shared" si="0"/>
        <v>15</v>
      </c>
      <c r="Y29" s="4">
        <f t="shared" si="1"/>
        <v>17</v>
      </c>
      <c r="Z29" s="4">
        <f t="shared" si="2"/>
        <v>15</v>
      </c>
      <c r="AA29" s="10">
        <v>1</v>
      </c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ht="14" customHeight="1" spans="1:39">
      <c r="A30" s="13">
        <v>29</v>
      </c>
      <c r="B30" s="10">
        <v>1</v>
      </c>
      <c r="C30" s="10"/>
      <c r="D30" s="10"/>
      <c r="E30" s="10"/>
      <c r="F30" s="10"/>
      <c r="G30" s="10"/>
      <c r="H30" s="10">
        <v>1</v>
      </c>
      <c r="I30" s="10">
        <v>2</v>
      </c>
      <c r="J30" s="10"/>
      <c r="K30" s="10"/>
      <c r="L30" s="10"/>
      <c r="M30" s="10"/>
      <c r="N30" s="10"/>
      <c r="O30" s="10"/>
      <c r="P30" s="10"/>
      <c r="Q30" s="10">
        <v>1</v>
      </c>
      <c r="R30" s="10"/>
      <c r="S30" s="11">
        <v>1</v>
      </c>
      <c r="T30" s="2">
        <f t="shared" si="3"/>
        <v>6</v>
      </c>
      <c r="U30" s="3" cm="1">
        <f t="array" ref="U30">SUMPRODUCT(--(B30:S30=INT(B30:S30)),--(B30:S30&gt;0))</f>
        <v>5</v>
      </c>
      <c r="V30" s="3" cm="1">
        <f t="array" ref="V30">MAX(FREQUENCY(IF((B30:S30=INT(B30:S30))*(B30:S30&gt;0),COLUMN(B30:S30)),IF((B30:S30&lt;&gt;INT(B30:S30))+(B30:S30&lt;=0),COLUMN(B30:S30))))</f>
        <v>2</v>
      </c>
      <c r="W30" s="12" cm="1">
        <f t="array" ref="W30">SUMPRODUCT(--(B30:S30=INT(B30:S30)),--(B30:S30&gt;0))/18*100%</f>
        <v>0.277777777777778</v>
      </c>
      <c r="X30" s="4">
        <f t="shared" si="0"/>
        <v>10</v>
      </c>
      <c r="Y30" s="4">
        <f t="shared" si="1"/>
        <v>9</v>
      </c>
      <c r="Z30" s="4">
        <f t="shared" si="2"/>
        <v>11</v>
      </c>
      <c r="AA30" s="10">
        <v>1</v>
      </c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 ht="14" customHeight="1" spans="1:39">
      <c r="A31" s="13">
        <v>30</v>
      </c>
      <c r="B31" s="10"/>
      <c r="C31" s="10">
        <v>1</v>
      </c>
      <c r="D31" s="10"/>
      <c r="E31" s="10">
        <v>1</v>
      </c>
      <c r="F31" s="10"/>
      <c r="G31" s="10"/>
      <c r="H31" s="10"/>
      <c r="I31" s="10">
        <v>2</v>
      </c>
      <c r="J31" s="10">
        <v>1</v>
      </c>
      <c r="K31" s="10"/>
      <c r="L31" s="10"/>
      <c r="M31" s="10"/>
      <c r="N31" s="10">
        <v>1</v>
      </c>
      <c r="O31" s="10"/>
      <c r="P31" s="10"/>
      <c r="Q31" s="10"/>
      <c r="R31" s="10">
        <v>1</v>
      </c>
      <c r="S31" s="11">
        <v>1</v>
      </c>
      <c r="T31" s="2">
        <f t="shared" si="3"/>
        <v>8</v>
      </c>
      <c r="U31" s="3" cm="1">
        <f t="array" ref="U31">SUMPRODUCT(--(B31:S31=INT(B31:S31)),--(B31:S31&gt;0))</f>
        <v>7</v>
      </c>
      <c r="V31" s="3" cm="1">
        <f t="array" ref="V31">MAX(FREQUENCY(IF((B31:S31=INT(B31:S31))*(B31:S31&gt;0),COLUMN(B31:S31)),IF((B31:S31&lt;&gt;INT(B31:S31))+(B31:S31&lt;=0),COLUMN(B31:S31))))</f>
        <v>2</v>
      </c>
      <c r="W31" s="12" cm="1">
        <f t="array" ref="W31">SUMPRODUCT(--(B31:S31=INT(B31:S31)),--(B31:S31&gt;0))/18*100%</f>
        <v>0.388888888888889</v>
      </c>
      <c r="X31" s="4">
        <f t="shared" si="0"/>
        <v>7</v>
      </c>
      <c r="Y31" s="4">
        <f t="shared" si="1"/>
        <v>7</v>
      </c>
      <c r="Z31" s="4">
        <f t="shared" si="2"/>
        <v>11</v>
      </c>
      <c r="AA31" s="10">
        <v>1</v>
      </c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 ht="14" customHeight="1" spans="1:39">
      <c r="A32" s="13">
        <v>31</v>
      </c>
      <c r="B32" s="10">
        <v>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1"/>
      <c r="T32" s="2">
        <f t="shared" si="3"/>
        <v>1</v>
      </c>
      <c r="U32" s="3" cm="1">
        <f t="array" ref="U32">SUMPRODUCT(--(B32:S32=INT(B32:S32)),--(B32:S32&gt;0))</f>
        <v>1</v>
      </c>
      <c r="V32" s="3" cm="1">
        <f t="array" ref="V32">MAX(FREQUENCY(IF((B32:S32=INT(B32:S32))*(B32:S32&gt;0),COLUMN(B32:S32)),IF((B32:S32&lt;&gt;INT(B32:S32))+(B32:S32&lt;=0),COLUMN(B32:S32))))</f>
        <v>1</v>
      </c>
      <c r="W32" s="12" cm="1">
        <f t="array" ref="W32">SUMPRODUCT(--(B32:S32=INT(B32:S32)),--(B32:S32&gt;0))/18*100%</f>
        <v>0.0555555555555556</v>
      </c>
      <c r="X32" s="4">
        <f t="shared" si="0"/>
        <v>28</v>
      </c>
      <c r="Y32" s="4">
        <f t="shared" si="1"/>
        <v>27</v>
      </c>
      <c r="Z32" s="4">
        <f t="shared" si="2"/>
        <v>15</v>
      </c>
      <c r="AA32" s="10">
        <v>1</v>
      </c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 ht="14" customHeight="1" spans="1:39">
      <c r="A33" s="9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1"/>
      <c r="T33" s="2">
        <f t="shared" si="3"/>
        <v>0</v>
      </c>
      <c r="U33" s="3" cm="1">
        <f t="array" ref="U33">SUMPRODUCT(--(B33:S33=INT(B33:S33)),--(B33:S33&gt;0))</f>
        <v>0</v>
      </c>
      <c r="V33" s="3" cm="1">
        <f t="array" ref="V33">MAX(FREQUENCY(IF((B33:S33=INT(B33:S33))*(B33:S33&gt;0),COLUMN(B33:S33)),IF((B33:S33&lt;&gt;INT(B33:S33))+(B33:S33&lt;=0),COLUMN(B33:S33))))</f>
        <v>0</v>
      </c>
      <c r="W33" s="12" cm="1">
        <f t="array" ref="W33">SUMPRODUCT(--(B33:S33=INT(B33:S33)),--(B33:S33&gt;0))/18*100%</f>
        <v>0</v>
      </c>
      <c r="X33" s="4">
        <f t="shared" si="0"/>
        <v>35</v>
      </c>
      <c r="Y33" s="4">
        <f t="shared" si="1"/>
        <v>35</v>
      </c>
      <c r="Z33" s="4">
        <f t="shared" si="2"/>
        <v>35</v>
      </c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 ht="14" customHeight="1" spans="1:39">
      <c r="A34" s="9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1"/>
      <c r="T34" s="2">
        <f t="shared" si="3"/>
        <v>0</v>
      </c>
      <c r="U34" s="3" cm="1">
        <f t="array" ref="U34">SUMPRODUCT(--(B34:S34=INT(B34:S34)),--(B34:S34&gt;0))</f>
        <v>0</v>
      </c>
      <c r="V34" s="3" cm="1">
        <f t="array" ref="V34">MAX(FREQUENCY(IF((B34:S34=INT(B34:S34))*(B34:S34&gt;0),COLUMN(B34:S34)),IF((B34:S34&lt;&gt;INT(B34:S34))+(B34:S34&lt;=0),COLUMN(B34:S34))))</f>
        <v>0</v>
      </c>
      <c r="W34" s="12" cm="1">
        <f t="array" ref="W34">SUMPRODUCT(--(B34:S34=INT(B34:S34)),--(B34:S34&gt;0))/18*100%</f>
        <v>0</v>
      </c>
      <c r="X34" s="4">
        <f t="shared" si="0"/>
        <v>35</v>
      </c>
      <c r="Y34" s="4">
        <f t="shared" si="1"/>
        <v>35</v>
      </c>
      <c r="Z34" s="4">
        <f t="shared" si="2"/>
        <v>35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ht="14" customHeight="1" spans="1:39">
      <c r="A35" s="9">
        <v>34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1"/>
      <c r="T35" s="2">
        <f t="shared" si="3"/>
        <v>0</v>
      </c>
      <c r="U35" s="3" cm="1">
        <f t="array" ref="U35">SUMPRODUCT(--(B35:S35=INT(B35:S35)),--(B35:S35&gt;0))</f>
        <v>0</v>
      </c>
      <c r="V35" s="3" cm="1">
        <f t="array" ref="V35">MAX(FREQUENCY(IF((B35:S35=INT(B35:S35))*(B35:S35&gt;0),COLUMN(B35:S35)),IF((B35:S35&lt;&gt;INT(B35:S35))+(B35:S35&lt;=0),COLUMN(B35:S35))))</f>
        <v>0</v>
      </c>
      <c r="W35" s="12" cm="1">
        <f t="array" ref="W35">SUMPRODUCT(--(B35:S35=INT(B35:S35)),--(B35:S35&gt;0))/18*100%</f>
        <v>0</v>
      </c>
      <c r="X35" s="4">
        <f t="shared" ref="X35:X52" si="4">RANK(T35,T$2:T$52,0)</f>
        <v>35</v>
      </c>
      <c r="Y35" s="4">
        <f t="shared" ref="Y35:Y52" si="5">RANK(U35,U$2:U$52,0)</f>
        <v>35</v>
      </c>
      <c r="Z35" s="4">
        <f t="shared" ref="Z35:Z52" si="6">RANK(V35,V$2:V$52,0)</f>
        <v>35</v>
      </c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ht="14" customHeight="1" spans="1:39">
      <c r="A36" s="13">
        <v>35</v>
      </c>
      <c r="B36" s="10"/>
      <c r="C36" s="10"/>
      <c r="D36" s="10"/>
      <c r="E36" s="10"/>
      <c r="F36" s="10"/>
      <c r="G36" s="10"/>
      <c r="H36" s="10">
        <v>1</v>
      </c>
      <c r="I36" s="10">
        <v>1</v>
      </c>
      <c r="J36" s="10">
        <v>1</v>
      </c>
      <c r="K36" s="10"/>
      <c r="L36" s="10"/>
      <c r="M36" s="10"/>
      <c r="N36" s="10">
        <v>1</v>
      </c>
      <c r="O36" s="10"/>
      <c r="P36" s="10"/>
      <c r="Q36" s="10"/>
      <c r="R36" s="10"/>
      <c r="S36" s="11"/>
      <c r="T36" s="2">
        <f t="shared" ref="T36:T52" si="7">SUM(B36:S36)</f>
        <v>4</v>
      </c>
      <c r="U36" s="3" cm="1">
        <f t="array" ref="U36">SUMPRODUCT(--(B36:S36=INT(B36:S36)),--(B36:S36&gt;0))</f>
        <v>4</v>
      </c>
      <c r="V36" s="3" cm="1">
        <f t="array" ref="V36">MAX(FREQUENCY(IF((B36:S36=INT(B36:S36))*(B36:S36&gt;0),COLUMN(B36:S36)),IF((B36:S36&lt;&gt;INT(B36:S36))+(B36:S36&lt;=0),COLUMN(B36:S36))))</f>
        <v>3</v>
      </c>
      <c r="W36" s="12" cm="1">
        <f t="array" ref="W36">SUMPRODUCT(--(B36:S36=INT(B36:S36)),--(B36:S36&gt;0))/18*100%</f>
        <v>0.222222222222222</v>
      </c>
      <c r="X36" s="4">
        <f t="shared" si="4"/>
        <v>15</v>
      </c>
      <c r="Y36" s="4">
        <f t="shared" si="5"/>
        <v>15</v>
      </c>
      <c r="Z36" s="4">
        <f t="shared" si="6"/>
        <v>5</v>
      </c>
      <c r="AA36" s="10">
        <v>1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ht="14" customHeight="1" spans="1:39">
      <c r="A37" s="13">
        <v>36</v>
      </c>
      <c r="B37" s="10"/>
      <c r="C37" s="10"/>
      <c r="D37" s="10"/>
      <c r="E37" s="10"/>
      <c r="F37" s="10"/>
      <c r="G37" s="10"/>
      <c r="H37" s="10"/>
      <c r="I37" s="10">
        <v>2</v>
      </c>
      <c r="J37" s="10"/>
      <c r="K37" s="10"/>
      <c r="L37" s="10"/>
      <c r="M37" s="10"/>
      <c r="N37" s="10"/>
      <c r="O37" s="10"/>
      <c r="P37" s="10"/>
      <c r="Q37" s="10"/>
      <c r="R37" s="10"/>
      <c r="S37" s="11"/>
      <c r="T37" s="2">
        <f t="shared" si="7"/>
        <v>2</v>
      </c>
      <c r="U37" s="3" cm="1">
        <f t="array" ref="U37">SUMPRODUCT(--(B37:S37=INT(B37:S37)),--(B37:S37&gt;0))</f>
        <v>1</v>
      </c>
      <c r="V37" s="3" cm="1">
        <f t="array" ref="V37">MAX(FREQUENCY(IF((B37:S37=INT(B37:S37))*(B37:S37&gt;0),COLUMN(B37:S37)),IF((B37:S37&lt;&gt;INT(B37:S37))+(B37:S37&lt;=0),COLUMN(B37:S37))))</f>
        <v>1</v>
      </c>
      <c r="W37" s="12" cm="1">
        <f t="array" ref="W37">SUMPRODUCT(--(B37:S37=INT(B37:S37)),--(B37:S37&gt;0))/18*100%</f>
        <v>0.0555555555555556</v>
      </c>
      <c r="X37" s="4">
        <f t="shared" si="4"/>
        <v>22</v>
      </c>
      <c r="Y37" s="4">
        <f t="shared" si="5"/>
        <v>27</v>
      </c>
      <c r="Z37" s="4">
        <f t="shared" si="6"/>
        <v>15</v>
      </c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ht="14" customHeight="1" spans="1:39">
      <c r="A38" s="14">
        <v>37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5"/>
      <c r="T38" s="16">
        <f t="shared" si="7"/>
        <v>0</v>
      </c>
      <c r="U38" s="17" cm="1">
        <f t="array" ref="U38">SUMPRODUCT(--(B38:S38=INT(B38:S38)),--(B38:S38&gt;0))</f>
        <v>0</v>
      </c>
      <c r="V38" s="17" cm="1">
        <f t="array" ref="V38">MAX(FREQUENCY(IF((B38:S38=INT(B38:S38))*(B38:S38&gt;0),COLUMN(B38:S38)),IF((B38:S38&lt;&gt;INT(B38:S38))+(B38:S38&lt;=0),COLUMN(B38:S38))))</f>
        <v>0</v>
      </c>
      <c r="W38" s="18" cm="1">
        <f t="array" ref="W38">SUMPRODUCT(--(B38:S38=INT(B38:S38)),--(B38:S38&gt;0))/18*100%</f>
        <v>0</v>
      </c>
      <c r="X38" s="17">
        <f t="shared" si="4"/>
        <v>35</v>
      </c>
      <c r="Y38" s="17">
        <f t="shared" si="5"/>
        <v>35</v>
      </c>
      <c r="Z38" s="17">
        <f t="shared" si="6"/>
        <v>35</v>
      </c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</row>
    <row r="39" ht="14" customHeight="1" spans="1:39">
      <c r="A39" s="13">
        <v>38</v>
      </c>
      <c r="B39" s="10"/>
      <c r="C39" s="10">
        <v>1</v>
      </c>
      <c r="D39" s="10">
        <v>1</v>
      </c>
      <c r="E39" s="10"/>
      <c r="F39" s="10">
        <v>1</v>
      </c>
      <c r="G39" s="10"/>
      <c r="H39" s="10">
        <v>1</v>
      </c>
      <c r="I39" s="10">
        <v>1</v>
      </c>
      <c r="J39" s="10">
        <v>2</v>
      </c>
      <c r="K39" s="10"/>
      <c r="L39" s="10">
        <v>1</v>
      </c>
      <c r="M39" s="10"/>
      <c r="N39" s="10"/>
      <c r="O39" s="10"/>
      <c r="P39" s="10"/>
      <c r="Q39" s="10">
        <v>1</v>
      </c>
      <c r="R39" s="10">
        <v>1</v>
      </c>
      <c r="S39" s="11">
        <v>1</v>
      </c>
      <c r="T39" s="2">
        <f t="shared" si="7"/>
        <v>11</v>
      </c>
      <c r="U39" s="3" cm="1">
        <f t="array" ref="U39">SUMPRODUCT(--(B39:S39=INT(B39:S39)),--(B39:S39&gt;0))</f>
        <v>10</v>
      </c>
      <c r="V39" s="3" cm="1">
        <f t="array" ref="V39">MAX(FREQUENCY(IF((B39:S39=INT(B39:S39))*(B39:S39&gt;0),COLUMN(B39:S39)),IF((B39:S39&lt;&gt;INT(B39:S39))+(B39:S39&lt;=0),COLUMN(B39:S39))))</f>
        <v>3</v>
      </c>
      <c r="W39" s="12" cm="1">
        <f t="array" ref="W39">SUMPRODUCT(--(B39:S39=INT(B39:S39)),--(B39:S39&gt;0))/18*100%</f>
        <v>0.555555555555556</v>
      </c>
      <c r="X39" s="4">
        <f t="shared" si="4"/>
        <v>4</v>
      </c>
      <c r="Y39" s="4">
        <f t="shared" si="5"/>
        <v>3</v>
      </c>
      <c r="Z39" s="4">
        <f t="shared" si="6"/>
        <v>5</v>
      </c>
      <c r="AA39" s="10">
        <v>1</v>
      </c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ht="14" customHeight="1" spans="1:39">
      <c r="A40" s="13">
        <v>39</v>
      </c>
      <c r="B40" s="10">
        <v>1</v>
      </c>
      <c r="C40" s="10"/>
      <c r="D40" s="10"/>
      <c r="E40" s="10"/>
      <c r="F40" s="10"/>
      <c r="G40" s="10"/>
      <c r="H40" s="10"/>
      <c r="I40" s="10"/>
      <c r="J40" s="10">
        <v>1</v>
      </c>
      <c r="K40" s="10"/>
      <c r="L40" s="10"/>
      <c r="M40" s="10"/>
      <c r="N40" s="10"/>
      <c r="O40" s="10"/>
      <c r="P40" s="10"/>
      <c r="Q40" s="10">
        <v>1</v>
      </c>
      <c r="R40" s="10"/>
      <c r="S40" s="11"/>
      <c r="T40" s="2">
        <f t="shared" si="7"/>
        <v>3</v>
      </c>
      <c r="U40" s="3" cm="1">
        <f t="array" ref="U40">SUMPRODUCT(--(B40:S40=INT(B40:S40)),--(B40:S40&gt;0))</f>
        <v>3</v>
      </c>
      <c r="V40" s="3" cm="1">
        <f t="array" ref="V40">MAX(FREQUENCY(IF((B40:S40=INT(B40:S40))*(B40:S40&gt;0),COLUMN(B40:S40)),IF((B40:S40&lt;&gt;INT(B40:S40))+(B40:S40&lt;=0),COLUMN(B40:S40))))</f>
        <v>1</v>
      </c>
      <c r="W40" s="12" cm="1">
        <f t="array" ref="W40">SUMPRODUCT(--(B40:S40=INT(B40:S40)),--(B40:S40&gt;0))/18*100%</f>
        <v>0.166666666666667</v>
      </c>
      <c r="X40" s="4">
        <f t="shared" si="4"/>
        <v>19</v>
      </c>
      <c r="Y40" s="4">
        <f t="shared" si="5"/>
        <v>17</v>
      </c>
      <c r="Z40" s="4">
        <f t="shared" si="6"/>
        <v>15</v>
      </c>
      <c r="AA40" s="10">
        <v>2</v>
      </c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ht="14" customHeight="1" spans="1:39">
      <c r="A41" s="13">
        <v>40</v>
      </c>
      <c r="B41" s="10"/>
      <c r="C41" s="10"/>
      <c r="D41" s="10"/>
      <c r="E41" s="10"/>
      <c r="F41" s="10"/>
      <c r="G41" s="10"/>
      <c r="H41" s="10">
        <v>1</v>
      </c>
      <c r="I41" s="10"/>
      <c r="J41" s="10">
        <v>1</v>
      </c>
      <c r="K41" s="10">
        <v>1</v>
      </c>
      <c r="L41" s="10">
        <v>1</v>
      </c>
      <c r="M41" s="10">
        <v>1</v>
      </c>
      <c r="N41" s="10">
        <v>1</v>
      </c>
      <c r="O41" s="10"/>
      <c r="P41" s="10"/>
      <c r="Q41" s="10">
        <v>1</v>
      </c>
      <c r="R41" s="10">
        <v>2</v>
      </c>
      <c r="S41" s="11"/>
      <c r="T41" s="2">
        <f t="shared" si="7"/>
        <v>9</v>
      </c>
      <c r="U41" s="3" cm="1">
        <f t="array" ref="U41">SUMPRODUCT(--(B41:S41=INT(B41:S41)),--(B41:S41&gt;0))</f>
        <v>8</v>
      </c>
      <c r="V41" s="3" cm="1">
        <f t="array" ref="V41">MAX(FREQUENCY(IF((B41:S41=INT(B41:S41))*(B41:S41&gt;0),COLUMN(B41:S41)),IF((B41:S41&lt;&gt;INT(B41:S41))+(B41:S41&lt;=0),COLUMN(B41:S41))))</f>
        <v>5</v>
      </c>
      <c r="W41" s="12" cm="1">
        <f t="array" ref="W41">SUMPRODUCT(--(B41:S41=INT(B41:S41)),--(B41:S41&gt;0))/18*100%</f>
        <v>0.444444444444444</v>
      </c>
      <c r="X41" s="4">
        <f t="shared" si="4"/>
        <v>5</v>
      </c>
      <c r="Y41" s="4">
        <f t="shared" si="5"/>
        <v>5</v>
      </c>
      <c r="Z41" s="4">
        <f t="shared" si="6"/>
        <v>2</v>
      </c>
      <c r="AA41" s="10">
        <v>2</v>
      </c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ht="14" customHeight="1" spans="1:39">
      <c r="A42" s="9">
        <v>41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1"/>
      <c r="T42" s="2">
        <f t="shared" si="7"/>
        <v>0</v>
      </c>
      <c r="U42" s="3" cm="1">
        <f t="array" ref="U42">SUMPRODUCT(--(B42:S42=INT(B42:S42)),--(B42:S42&gt;0))</f>
        <v>0</v>
      </c>
      <c r="V42" s="3" cm="1">
        <f t="array" ref="V42">MAX(FREQUENCY(IF((B42:S42=INT(B42:S42))*(B42:S42&gt;0),COLUMN(B42:S42)),IF((B42:S42&lt;&gt;INT(B42:S42))+(B42:S42&lt;=0),COLUMN(B42:S42))))</f>
        <v>0</v>
      </c>
      <c r="W42" s="12" cm="1">
        <f t="array" ref="W42">SUMPRODUCT(--(B42:S42=INT(B42:S42)),--(B42:S42&gt;0))/18*100%</f>
        <v>0</v>
      </c>
      <c r="X42" s="4">
        <f t="shared" si="4"/>
        <v>35</v>
      </c>
      <c r="Y42" s="4">
        <f t="shared" si="5"/>
        <v>35</v>
      </c>
      <c r="Z42" s="4">
        <f t="shared" si="6"/>
        <v>35</v>
      </c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ht="14" customHeight="1" spans="1:39">
      <c r="A43" s="13">
        <v>42</v>
      </c>
      <c r="B43" s="10">
        <v>1</v>
      </c>
      <c r="C43" s="10">
        <v>1</v>
      </c>
      <c r="D43" s="10">
        <v>2</v>
      </c>
      <c r="E43" s="10">
        <v>1</v>
      </c>
      <c r="F43" s="10">
        <v>1</v>
      </c>
      <c r="G43" s="10"/>
      <c r="H43" s="10">
        <v>1</v>
      </c>
      <c r="I43" s="10">
        <v>1</v>
      </c>
      <c r="J43" s="10">
        <v>1</v>
      </c>
      <c r="K43" s="10"/>
      <c r="L43" s="10">
        <v>1</v>
      </c>
      <c r="M43" s="10"/>
      <c r="N43" s="10"/>
      <c r="O43" s="10"/>
      <c r="P43" s="10"/>
      <c r="Q43" s="10"/>
      <c r="R43" s="10">
        <v>2</v>
      </c>
      <c r="S43" s="11"/>
      <c r="T43" s="2">
        <f t="shared" si="7"/>
        <v>12</v>
      </c>
      <c r="U43" s="3" cm="1">
        <f t="array" ref="U43">SUMPRODUCT(--(B43:S43=INT(B43:S43)),--(B43:S43&gt;0))</f>
        <v>10</v>
      </c>
      <c r="V43" s="3" cm="1">
        <f t="array" ref="V43">MAX(FREQUENCY(IF((B43:S43=INT(B43:S43))*(B43:S43&gt;0),COLUMN(B43:S43)),IF((B43:S43&lt;&gt;INT(B43:S43))+(B43:S43&lt;=0),COLUMN(B43:S43))))</f>
        <v>5</v>
      </c>
      <c r="W43" s="12" cm="1">
        <f t="array" ref="W43">SUMPRODUCT(--(B43:S43=INT(B43:S43)),--(B43:S43&gt;0))/18*100%</f>
        <v>0.555555555555556</v>
      </c>
      <c r="X43" s="4">
        <f t="shared" si="4"/>
        <v>3</v>
      </c>
      <c r="Y43" s="4">
        <f t="shared" si="5"/>
        <v>3</v>
      </c>
      <c r="Z43" s="4">
        <f t="shared" si="6"/>
        <v>2</v>
      </c>
      <c r="AA43" s="10">
        <v>1</v>
      </c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ht="14" customHeight="1" spans="1:39">
      <c r="A44" s="9">
        <v>43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1"/>
      <c r="T44" s="2">
        <f t="shared" si="7"/>
        <v>0</v>
      </c>
      <c r="U44" s="3" cm="1">
        <f t="array" ref="U44">SUMPRODUCT(--(B44:S44=INT(B44:S44)),--(B44:S44&gt;0))</f>
        <v>0</v>
      </c>
      <c r="V44" s="3" cm="1">
        <f t="array" ref="V44">MAX(FREQUENCY(IF((B44:S44=INT(B44:S44))*(B44:S44&gt;0),COLUMN(B44:S44)),IF((B44:S44&lt;&gt;INT(B44:S44))+(B44:S44&lt;=0),COLUMN(B44:S44))))</f>
        <v>0</v>
      </c>
      <c r="W44" s="12" cm="1">
        <f t="array" ref="W44">SUMPRODUCT(--(B44:S44=INT(B44:S44)),--(B44:S44&gt;0))/18*100%</f>
        <v>0</v>
      </c>
      <c r="X44" s="4">
        <f t="shared" si="4"/>
        <v>35</v>
      </c>
      <c r="Y44" s="4">
        <f t="shared" si="5"/>
        <v>35</v>
      </c>
      <c r="Z44" s="4">
        <f t="shared" si="6"/>
        <v>35</v>
      </c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ht="14" customHeight="1" spans="1:39">
      <c r="A45" s="13">
        <v>44</v>
      </c>
      <c r="B45" s="10">
        <v>1</v>
      </c>
      <c r="C45" s="10">
        <v>1</v>
      </c>
      <c r="D45" s="10">
        <v>1</v>
      </c>
      <c r="E45" s="10">
        <v>1</v>
      </c>
      <c r="F45" s="10"/>
      <c r="G45" s="10">
        <v>3</v>
      </c>
      <c r="H45" s="10">
        <v>1</v>
      </c>
      <c r="I45" s="10">
        <v>1</v>
      </c>
      <c r="J45" s="10">
        <v>2</v>
      </c>
      <c r="K45" s="10">
        <v>2</v>
      </c>
      <c r="L45" s="10">
        <v>1</v>
      </c>
      <c r="M45" s="10">
        <v>2</v>
      </c>
      <c r="N45" s="10">
        <v>2</v>
      </c>
      <c r="O45" s="10"/>
      <c r="P45" s="10"/>
      <c r="Q45" s="10"/>
      <c r="R45" s="10">
        <v>1</v>
      </c>
      <c r="S45" s="11">
        <v>1</v>
      </c>
      <c r="T45" s="2">
        <f t="shared" si="7"/>
        <v>20</v>
      </c>
      <c r="U45" s="3" cm="1">
        <f t="array" ref="U45">SUMPRODUCT(--(B45:S45=INT(B45:S45)),--(B45:S45&gt;0))</f>
        <v>14</v>
      </c>
      <c r="V45" s="3" cm="1">
        <f t="array" ref="V45">MAX(FREQUENCY(IF((B45:S45=INT(B45:S45))*(B45:S45&gt;0),COLUMN(B45:S45)),IF((B45:S45&lt;&gt;INT(B45:S45))+(B45:S45&lt;=0),COLUMN(B45:S45))))</f>
        <v>8</v>
      </c>
      <c r="W45" s="12" cm="1">
        <f t="array" ref="W45">SUMPRODUCT(--(B45:S45=INT(B45:S45)),--(B45:S45&gt;0))/18*100%</f>
        <v>0.777777777777778</v>
      </c>
      <c r="X45" s="4">
        <f t="shared" si="4"/>
        <v>1</v>
      </c>
      <c r="Y45" s="4">
        <f t="shared" si="5"/>
        <v>1</v>
      </c>
      <c r="Z45" s="4">
        <f t="shared" si="6"/>
        <v>1</v>
      </c>
      <c r="AA45" s="10">
        <v>3</v>
      </c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 ht="14" customHeight="1" spans="1:39">
      <c r="A46" s="9">
        <v>45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1"/>
      <c r="T46" s="2">
        <f t="shared" si="7"/>
        <v>0</v>
      </c>
      <c r="U46" s="3" cm="1">
        <f t="array" ref="U46">SUMPRODUCT(--(B46:S46=INT(B46:S46)),--(B46:S46&gt;0))</f>
        <v>0</v>
      </c>
      <c r="V46" s="3" cm="1">
        <f t="array" ref="V46">MAX(FREQUENCY(IF((B46:S46=INT(B46:S46))*(B46:S46&gt;0),COLUMN(B46:S46)),IF((B46:S46&lt;&gt;INT(B46:S46))+(B46:S46&lt;=0),COLUMN(B46:S46))))</f>
        <v>0</v>
      </c>
      <c r="W46" s="12" cm="1">
        <f t="array" ref="W46">SUMPRODUCT(--(B46:S46=INT(B46:S46)),--(B46:S46&gt;0))/18*100%</f>
        <v>0</v>
      </c>
      <c r="X46" s="4">
        <f t="shared" si="4"/>
        <v>35</v>
      </c>
      <c r="Y46" s="4">
        <f t="shared" si="5"/>
        <v>35</v>
      </c>
      <c r="Z46" s="4">
        <f t="shared" si="6"/>
        <v>35</v>
      </c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 ht="14" customHeight="1" spans="1:39">
      <c r="A47" s="13">
        <v>46</v>
      </c>
      <c r="B47" s="10"/>
      <c r="C47" s="10"/>
      <c r="D47" s="10"/>
      <c r="E47" s="10"/>
      <c r="F47" s="10"/>
      <c r="G47" s="10">
        <v>1</v>
      </c>
      <c r="H47" s="10"/>
      <c r="I47" s="10"/>
      <c r="J47" s="10"/>
      <c r="K47" s="10"/>
      <c r="L47" s="10"/>
      <c r="M47" s="10"/>
      <c r="N47" s="10">
        <v>1</v>
      </c>
      <c r="O47" s="10"/>
      <c r="P47" s="10"/>
      <c r="Q47" s="10">
        <v>1</v>
      </c>
      <c r="R47" s="10">
        <v>1</v>
      </c>
      <c r="S47" s="11"/>
      <c r="T47" s="2">
        <f t="shared" si="7"/>
        <v>4</v>
      </c>
      <c r="U47" s="3" cm="1">
        <f t="array" ref="U47">SUMPRODUCT(--(B47:S47=INT(B47:S47)),--(B47:S47&gt;0))</f>
        <v>4</v>
      </c>
      <c r="V47" s="3" cm="1">
        <f t="array" ref="V47">MAX(FREQUENCY(IF((B47:S47=INT(B47:S47))*(B47:S47&gt;0),COLUMN(B47:S47)),IF((B47:S47&lt;&gt;INT(B47:S47))+(B47:S47&lt;=0),COLUMN(B47:S47))))</f>
        <v>2</v>
      </c>
      <c r="W47" s="12" cm="1">
        <f t="array" ref="W47">SUMPRODUCT(--(B47:S47=INT(B47:S47)),--(B47:S47&gt;0))/18*100%</f>
        <v>0.222222222222222</v>
      </c>
      <c r="X47" s="4">
        <f t="shared" si="4"/>
        <v>15</v>
      </c>
      <c r="Y47" s="4">
        <f t="shared" si="5"/>
        <v>15</v>
      </c>
      <c r="Z47" s="4">
        <f t="shared" si="6"/>
        <v>11</v>
      </c>
      <c r="AA47" s="10">
        <v>1</v>
      </c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 ht="14" customHeight="1" spans="1:39">
      <c r="A48" s="13">
        <v>47</v>
      </c>
      <c r="B48" s="10"/>
      <c r="C48" s="10"/>
      <c r="D48" s="10"/>
      <c r="E48" s="10"/>
      <c r="F48" s="10"/>
      <c r="G48" s="10"/>
      <c r="H48" s="10">
        <v>1</v>
      </c>
      <c r="I48" s="10"/>
      <c r="J48" s="10"/>
      <c r="K48" s="10"/>
      <c r="L48" s="10"/>
      <c r="M48" s="10">
        <v>1</v>
      </c>
      <c r="N48" s="10"/>
      <c r="O48" s="10"/>
      <c r="P48" s="10"/>
      <c r="Q48" s="10"/>
      <c r="R48" s="10"/>
      <c r="S48" s="11"/>
      <c r="T48" s="2">
        <f t="shared" si="7"/>
        <v>2</v>
      </c>
      <c r="U48" s="3" cm="1">
        <f t="array" ref="U48">SUMPRODUCT(--(B48:S48=INT(B48:S48)),--(B48:S48&gt;0))</f>
        <v>2</v>
      </c>
      <c r="V48" s="3" cm="1">
        <f t="array" ref="V48">MAX(FREQUENCY(IF((B48:S48=INT(B48:S48))*(B48:S48&gt;0),COLUMN(B48:S48)),IF((B48:S48&lt;&gt;INT(B48:S48))+(B48:S48&lt;=0),COLUMN(B48:S48))))</f>
        <v>1</v>
      </c>
      <c r="W48" s="12" cm="1">
        <f t="array" ref="W48">SUMPRODUCT(--(B48:S48=INT(B48:S48)),--(B48:S48&gt;0))/18*100%</f>
        <v>0.111111111111111</v>
      </c>
      <c r="X48" s="4">
        <f t="shared" si="4"/>
        <v>22</v>
      </c>
      <c r="Y48" s="4">
        <f t="shared" si="5"/>
        <v>22</v>
      </c>
      <c r="Z48" s="4">
        <f t="shared" si="6"/>
        <v>15</v>
      </c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 ht="14" customHeight="1" spans="1:39">
      <c r="A49" s="13">
        <v>48</v>
      </c>
      <c r="B49" s="10"/>
      <c r="C49" s="10"/>
      <c r="D49" s="10"/>
      <c r="E49" s="10">
        <v>1</v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>
        <v>1</v>
      </c>
      <c r="S49" s="11"/>
      <c r="T49" s="2">
        <f t="shared" si="7"/>
        <v>2</v>
      </c>
      <c r="U49" s="3" cm="1">
        <f t="array" ref="U49">SUMPRODUCT(--(B49:S49=INT(B49:S49)),--(B49:S49&gt;0))</f>
        <v>2</v>
      </c>
      <c r="V49" s="3" cm="1">
        <f t="array" ref="V49">MAX(FREQUENCY(IF((B49:S49=INT(B49:S49))*(B49:S49&gt;0),COLUMN(B49:S49)),IF((B49:S49&lt;&gt;INT(B49:S49))+(B49:S49&lt;=0),COLUMN(B49:S49))))</f>
        <v>1</v>
      </c>
      <c r="W49" s="12" cm="1">
        <f t="array" ref="W49">SUMPRODUCT(--(B49:S49=INT(B49:S49)),--(B49:S49&gt;0))/18*100%</f>
        <v>0.111111111111111</v>
      </c>
      <c r="X49" s="4">
        <f t="shared" si="4"/>
        <v>22</v>
      </c>
      <c r="Y49" s="4">
        <f t="shared" si="5"/>
        <v>22</v>
      </c>
      <c r="Z49" s="4">
        <f t="shared" si="6"/>
        <v>15</v>
      </c>
      <c r="AA49" s="10">
        <v>1</v>
      </c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 ht="14" customHeight="1" spans="1:39">
      <c r="A50" s="9">
        <v>49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1"/>
      <c r="T50" s="2">
        <f t="shared" si="7"/>
        <v>0</v>
      </c>
      <c r="U50" s="3" cm="1">
        <f t="array" ref="U50">SUMPRODUCT(--(B50:S50=INT(B50:S50)),--(B50:S50&gt;0))</f>
        <v>0</v>
      </c>
      <c r="V50" s="3" cm="1">
        <f t="array" ref="V50">MAX(FREQUENCY(IF((B50:S50=INT(B50:S50))*(B50:S50&gt;0),COLUMN(B50:S50)),IF((B50:S50&lt;&gt;INT(B50:S50))+(B50:S50&lt;=0),COLUMN(B50:S50))))</f>
        <v>0</v>
      </c>
      <c r="W50" s="12" cm="1">
        <f t="array" ref="W50">SUMPRODUCT(--(B50:S50=INT(B50:S50)),--(B50:S50&gt;0))/18*100%</f>
        <v>0</v>
      </c>
      <c r="X50" s="4">
        <f t="shared" si="4"/>
        <v>35</v>
      </c>
      <c r="Y50" s="4">
        <f t="shared" si="5"/>
        <v>35</v>
      </c>
      <c r="Z50" s="4">
        <f t="shared" si="6"/>
        <v>35</v>
      </c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 ht="14" customHeight="1" spans="1:39">
      <c r="A51" s="9">
        <v>50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1"/>
      <c r="T51" s="2">
        <f t="shared" si="7"/>
        <v>0</v>
      </c>
      <c r="U51" s="3" cm="1">
        <f t="array" ref="U51">SUMPRODUCT(--(B51:S51=INT(B51:S51)),--(B51:S51&gt;0))</f>
        <v>0</v>
      </c>
      <c r="V51" s="3" cm="1">
        <f t="array" ref="V51">MAX(FREQUENCY(IF((B51:S51=INT(B51:S51))*(B51:S51&gt;0),COLUMN(B51:S51)),IF((B51:S51&lt;&gt;INT(B51:S51))+(B51:S51&lt;=0),COLUMN(B51:S51))))</f>
        <v>0</v>
      </c>
      <c r="W51" s="12" cm="1">
        <f t="array" ref="W51">SUMPRODUCT(--(B51:S51=INT(B51:S51)),--(B51:S51&gt;0))/18*100%</f>
        <v>0</v>
      </c>
      <c r="X51" s="4">
        <f t="shared" si="4"/>
        <v>35</v>
      </c>
      <c r="Y51" s="4">
        <f t="shared" si="5"/>
        <v>35</v>
      </c>
      <c r="Z51" s="4">
        <f t="shared" si="6"/>
        <v>35</v>
      </c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 ht="14" customHeight="1" spans="1:39">
      <c r="A52" s="9">
        <v>51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1"/>
      <c r="T52" s="2">
        <f t="shared" si="7"/>
        <v>0</v>
      </c>
      <c r="U52" s="3" cm="1">
        <f t="array" ref="U52">SUMPRODUCT(--(B52:S52=INT(B52:S52)),--(B52:S52&gt;0))</f>
        <v>0</v>
      </c>
      <c r="V52" s="3" cm="1">
        <f t="array" ref="V52">MAX(FREQUENCY(IF((B52:S52=INT(B52:S52))*(B52:S52&gt;0),COLUMN(B52:S52)),IF((B52:S52&lt;&gt;INT(B52:S52))+(B52:S52&lt;=0),COLUMN(B52:S52))))</f>
        <v>0</v>
      </c>
      <c r="W52" s="12" cm="1">
        <f t="array" ref="W52">SUMPRODUCT(--(B52:S52=INT(B52:S52)),--(B52:S52&gt;0))/18*100%</f>
        <v>0</v>
      </c>
      <c r="X52" s="4">
        <f t="shared" si="4"/>
        <v>35</v>
      </c>
      <c r="Y52" s="4">
        <f t="shared" si="5"/>
        <v>35</v>
      </c>
      <c r="Z52" s="4">
        <f t="shared" si="6"/>
        <v>35</v>
      </c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</row>
  </sheetData>
  <conditionalFormatting sqref="X2:X52">
    <cfRule type="colorScale" priority="32">
      <colorScale>
        <cfvo type="min"/>
        <cfvo type="max"/>
        <color rgb="FFFF7128"/>
        <color rgb="FFFFEF9C"/>
      </colorScale>
    </cfRule>
    <cfRule type="colorScale" priority="31">
      <colorScale>
        <cfvo type="min"/>
        <cfvo type="max"/>
        <color theme="9" tint="-0.5"/>
        <color theme="9" tint="0.8"/>
      </colorScale>
    </cfRule>
  </conditionalFormatting>
  <conditionalFormatting sqref="Y2:Y52">
    <cfRule type="colorScale" priority="30">
      <colorScale>
        <cfvo type="min"/>
        <cfvo type="max"/>
        <color theme="9" tint="-0.5"/>
        <color theme="9" tint="0.8"/>
      </colorScale>
    </cfRule>
  </conditionalFormatting>
  <conditionalFormatting sqref="Z2:Z52">
    <cfRule type="colorScale" priority="29">
      <colorScale>
        <cfvo type="min"/>
        <cfvo type="max"/>
        <color theme="9" tint="-0.5"/>
        <color theme="9" tint="0.8"/>
      </colorScale>
    </cfRule>
  </conditionalFormatting>
  <conditionalFormatting sqref="AA2:AA52">
    <cfRule type="colorScale" priority="26">
      <colorScale>
        <cfvo type="min"/>
        <cfvo type="max"/>
        <color theme="4" tint="-0.25"/>
        <color theme="4" tint="0.8"/>
      </colorScale>
    </cfRule>
    <cfRule type="colorScale" priority="25">
      <colorScale>
        <cfvo type="min"/>
        <cfvo type="max"/>
        <color theme="4" tint="0.8"/>
        <color theme="4" tint="-0.25"/>
      </colorScale>
    </cfRule>
  </conditionalFormatting>
  <conditionalFormatting sqref="AB2:AB52">
    <cfRule type="colorScale" priority="24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</conditionalFormatting>
  <conditionalFormatting sqref="AC2:AC52">
    <cfRule type="colorScale" priority="23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</conditionalFormatting>
  <conditionalFormatting sqref="AD2:AD52">
    <cfRule type="colorScale" priority="22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</conditionalFormatting>
  <conditionalFormatting sqref="AE2:AE52">
    <cfRule type="colorScale" priority="21">
      <colorScale>
        <cfvo type="min"/>
        <cfvo type="max"/>
        <color theme="4" tint="-0.25"/>
        <color theme="4" tint="0.8"/>
      </colorScale>
    </cfRule>
    <cfRule type="colorScale" priority="9">
      <colorScale>
        <cfvo type="min"/>
        <cfvo type="max"/>
        <color theme="4" tint="0.8"/>
        <color theme="4" tint="-0.25"/>
      </colorScale>
    </cfRule>
  </conditionalFormatting>
  <conditionalFormatting sqref="AF2:AF52">
    <cfRule type="colorScale" priority="20">
      <colorScale>
        <cfvo type="min"/>
        <cfvo type="max"/>
        <color theme="4" tint="-0.25"/>
        <color theme="4" tint="0.8"/>
      </colorScale>
    </cfRule>
    <cfRule type="colorScale" priority="8">
      <colorScale>
        <cfvo type="min"/>
        <cfvo type="max"/>
        <color theme="4" tint="0.8"/>
        <color theme="4" tint="-0.25"/>
      </colorScale>
    </cfRule>
  </conditionalFormatting>
  <conditionalFormatting sqref="AG2:AG52">
    <cfRule type="colorScale" priority="19">
      <colorScale>
        <cfvo type="min"/>
        <cfvo type="max"/>
        <color theme="4" tint="-0.25"/>
        <color theme="4" tint="0.8"/>
      </colorScale>
    </cfRule>
    <cfRule type="colorScale" priority="7">
      <colorScale>
        <cfvo type="min"/>
        <cfvo type="max"/>
        <color theme="4" tint="0.8"/>
        <color theme="4" tint="-0.25"/>
      </colorScale>
    </cfRule>
  </conditionalFormatting>
  <conditionalFormatting sqref="AH2:AH52">
    <cfRule type="colorScale" priority="18">
      <colorScale>
        <cfvo type="min"/>
        <cfvo type="max"/>
        <color theme="4" tint="-0.25"/>
        <color theme="4" tint="0.8"/>
      </colorScale>
    </cfRule>
    <cfRule type="colorScale" priority="6">
      <colorScale>
        <cfvo type="min"/>
        <cfvo type="max"/>
        <color theme="4" tint="0.8"/>
        <color theme="4" tint="-0.25"/>
      </colorScale>
    </cfRule>
  </conditionalFormatting>
  <conditionalFormatting sqref="AI2:AI52">
    <cfRule type="colorScale" priority="17">
      <colorScale>
        <cfvo type="min"/>
        <cfvo type="max"/>
        <color theme="4" tint="-0.25"/>
        <color theme="4" tint="0.8"/>
      </colorScale>
    </cfRule>
    <cfRule type="colorScale" priority="5">
      <colorScale>
        <cfvo type="min"/>
        <cfvo type="max"/>
        <color theme="4" tint="0.8"/>
        <color theme="4" tint="-0.25"/>
      </colorScale>
    </cfRule>
  </conditionalFormatting>
  <conditionalFormatting sqref="AJ2:AJ52">
    <cfRule type="colorScale" priority="16">
      <colorScale>
        <cfvo type="min"/>
        <cfvo type="max"/>
        <color theme="4" tint="-0.25"/>
        <color theme="4" tint="0.8"/>
      </colorScale>
    </cfRule>
    <cfRule type="colorScale" priority="4">
      <colorScale>
        <cfvo type="min"/>
        <cfvo type="max"/>
        <color theme="4" tint="0.8"/>
        <color theme="4" tint="-0.25"/>
      </colorScale>
    </cfRule>
  </conditionalFormatting>
  <conditionalFormatting sqref="AK2:AK52">
    <cfRule type="colorScale" priority="15">
      <colorScale>
        <cfvo type="min"/>
        <cfvo type="max"/>
        <color theme="4" tint="-0.25"/>
        <color theme="4" tint="0.8"/>
      </colorScale>
    </cfRule>
    <cfRule type="colorScale" priority="3">
      <colorScale>
        <cfvo type="min"/>
        <cfvo type="max"/>
        <color theme="4" tint="0.8"/>
        <color theme="4" tint="-0.25"/>
      </colorScale>
    </cfRule>
  </conditionalFormatting>
  <conditionalFormatting sqref="AL2:AL52">
    <cfRule type="colorScale" priority="14">
      <colorScale>
        <cfvo type="min"/>
        <cfvo type="max"/>
        <color theme="4" tint="-0.25"/>
        <color theme="4" tint="0.8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AM2:AM52">
    <cfRule type="colorScale" priority="13">
      <colorScale>
        <cfvo type="min"/>
        <cfvo type="max"/>
        <color theme="4" tint="-0.25"/>
        <color theme="4" tint="0.8"/>
      </colorScale>
    </cfRule>
    <cfRule type="colorScale" priority="1">
      <colorScale>
        <cfvo type="min"/>
        <cfvo type="max"/>
        <color theme="4" tint="0.8"/>
        <color theme="4" tint="-0.25"/>
      </colorScale>
    </cfRule>
  </conditionalFormatting>
  <conditionalFormatting sqref="B2:S52">
    <cfRule type="colorScale" priority="28">
      <colorScale>
        <cfvo type="min"/>
        <cfvo type="max"/>
        <color theme="4" tint="-0.25"/>
        <color theme="4" tint="0.8"/>
      </colorScale>
    </cfRule>
    <cfRule type="colorScale" priority="27">
      <colorScale>
        <cfvo type="min"/>
        <cfvo type="max"/>
        <color theme="4" tint="0.8"/>
        <color theme="4" tint="-0.25"/>
      </colorScale>
    </cfRule>
  </conditionalFormatting>
  <pageMargins left="0.75" right="0.75" top="0" bottom="0" header="0.5" footer="0.5"/>
  <pageSetup paperSize="9" scale="80" orientation="landscape"/>
  <headerFooter/>
  <ignoredErrors>
    <ignoredError sqref="A2:Z2 A3:R3 T3:Z3 A4:Z6 A7:R8 T7:Z8 A9:Z17 A18:R18 T18:Z18 A19:Z20 A21:R21 T21:Z21 A22:Z26 A27:R27 T27:Z27 A28:Z28 A29:R31 T29:Z31 A32:Z38 A39:R39 T39:Z39 A40:Z44 A45:R45 T45:Z45 A46:Z52 A1:E1 G1:S1" formulaRange="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2026-01-04T12:12:11Z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